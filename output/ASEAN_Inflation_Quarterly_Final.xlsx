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_Audit" sheetId="2" state="visible" r:id="rId2"/>
    <sheet name="Raw_HCPI" sheetId="3" state="visible" r:id="rId3"/>
    <sheet name="Raw_GDP" sheetId="4" state="visible" r:id="rId4"/>
    <sheet name="Raw_Money_Growth" sheetId="5" state="visible" r:id="rId5"/>
    <sheet name="Raw_REER" sheetId="6" state="visible" r:id="rId6"/>
    <sheet name="Raw_FAO" sheetId="7" state="visible" r:id="rId7"/>
    <sheet name="Raw_FFR" sheetId="8" state="visible" r:id="rId8"/>
    <sheet name="Raw_Oil" sheetId="9" state="visible" r:id="rId9"/>
    <sheet name="Quarterly_HCPI" sheetId="10" state="visible" r:id="rId10"/>
    <sheet name="Quarterly_Inflation" sheetId="11" state="visible" r:id="rId11"/>
    <sheet name="Quarterly_GDP" sheetId="12" state="visible" r:id="rId12"/>
    <sheet name="Quarterly_Money" sheetId="13" state="visible" r:id="rId13"/>
    <sheet name="Quarterly_REER" sheetId="14" state="visible" r:id="rId14"/>
    <sheet name="Quarterly_FAO" sheetId="15" state="visible" r:id="rId15"/>
    <sheet name="Quarterly_FFR" sheetId="16" state="visible" r:id="rId16"/>
    <sheet name="Quarterly_Oil" sheetId="17" state="visible" r:id="rId17"/>
    <sheet name="Panel_Quarterly_Raw" sheetId="18" state="visible" r:id="rId18"/>
    <sheet name="Panel_Quarterly_Final" sheetId="19" state="visible" r:id="rId19"/>
    <sheet name="Imputation_Audit" sheetId="20" state="visible" r:id="rId20"/>
    <sheet name="Disaggregation_Audit" sheetId="21" state="visible" r:id="rId21"/>
    <sheet name="Descriptive_Stats" sheetId="22" state="visible" r:id="rId22"/>
    <sheet name="Stationarity" sheetId="23" state="visible" r:id="rId23"/>
    <sheet name="Lag_Selection" sheetId="24" state="visible" r:id="rId24"/>
    <sheet name="Model_Results" sheetId="25" state="visible" r:id="rId25"/>
    <sheet name="Diagnostics" sheetId="26" state="visible" r:id="rId26"/>
    <sheet name="IRF_Data" sheetId="27" state="visible" r:id="rId27"/>
    <sheet name="FEVD_Data" sheetId="28" state="visible" r:id="rId28"/>
    <sheet name="Model_Comparison" sheetId="29" state="visible" r:id="rId29"/>
    <sheet name="Results_Summary" sheetId="30" state="visible" r:id="rId30"/>
  </sheets>
  <definedNames>
    <definedName name="_xlnm._FilterDatabase" localSheetId="1" hidden="1">'Data_Audit'!$A$1:$J$41</definedName>
    <definedName name="_xlnm._FilterDatabase" localSheetId="2" hidden="1">'Raw_HCPI'!$A$1:$GB$11</definedName>
    <definedName name="_xlnm._FilterDatabase" localSheetId="3" hidden="1">'Raw_GDP'!$A$1:$R$11</definedName>
    <definedName name="_xlnm._FilterDatabase" localSheetId="4" hidden="1">'Raw_Money_Growth'!$A$1:$R$11</definedName>
    <definedName name="_xlnm._FilterDatabase" localSheetId="5" hidden="1">'Raw_REER'!$A$1:$K$193</definedName>
    <definedName name="_xlnm._FilterDatabase" localSheetId="6" hidden="1">'Raw_FAO'!$A$1:$D$193</definedName>
    <definedName name="_xlnm._FilterDatabase" localSheetId="7" hidden="1">'Raw_FFR'!$A$1:$D$193</definedName>
    <definedName name="_xlnm._FilterDatabase" localSheetId="8" hidden="1">'Raw_Oil'!$A$1:$D$193</definedName>
    <definedName name="_xlnm._FilterDatabase" localSheetId="9" hidden="1">'Quarterly_HCPI'!$A$1:$BJ$11</definedName>
    <definedName name="_xlnm._FilterDatabase" localSheetId="10" hidden="1">'Quarterly_Inflation'!$A$1:$BJ$11</definedName>
    <definedName name="_xlnm._FilterDatabase" localSheetId="11" hidden="1">'Quarterly_GDP'!$A$1:$BM$11</definedName>
    <definedName name="_xlnm._FilterDatabase" localSheetId="12" hidden="1">'Quarterly_Money'!$A$1:$BM$11</definedName>
    <definedName name="_xlnm._FilterDatabase" localSheetId="13" hidden="1">'Quarterly_REER'!$A$1:$BM$11</definedName>
    <definedName name="_xlnm._FilterDatabase" localSheetId="14" hidden="1">'Quarterly_FAO'!$A$1:$F$65</definedName>
    <definedName name="_xlnm._FilterDatabase" localSheetId="15" hidden="1">'Quarterly_FFR'!$A$1:$F$65</definedName>
    <definedName name="_xlnm._FilterDatabase" localSheetId="16" hidden="1">'Quarterly_Oil'!$A$1:$F$65</definedName>
    <definedName name="_xlnm._FilterDatabase" localSheetId="17" hidden="1">'Panel_Quarterly_Raw'!$A$1:$Q$611</definedName>
    <definedName name="_xlnm._FilterDatabase" localSheetId="18" hidden="1">'Panel_Quarterly_Final'!$A$1:$S$611</definedName>
    <definedName name="_xlnm._FilterDatabase" localSheetId="19" hidden="1">'Imputation_Audit'!$A$1:$M$192</definedName>
    <definedName name="_xlnm._FilterDatabase" localSheetId="20" hidden="1">'Disaggregation_Audit'!$A$1:$L$287</definedName>
    <definedName name="_xlnm._FilterDatabase" localSheetId="21" hidden="1">'Descriptive_Stats'!$A$1:$K$77</definedName>
    <definedName name="_xlnm._FilterDatabase" localSheetId="22" hidden="1">'Stationarity'!$A$1:$Q$20</definedName>
    <definedName name="_xlnm._FilterDatabase" localSheetId="23" hidden="1">'Lag_Selection'!$A$1:$E$5</definedName>
    <definedName name="_xlnm._FilterDatabase" localSheetId="24" hidden="1">'Model_Results'!$A$1:$I$57</definedName>
    <definedName name="_xlnm._FilterDatabase" localSheetId="25" hidden="1">'Diagnostics'!$A$1:$E$7</definedName>
    <definedName name="_xlnm._FilterDatabase" localSheetId="26" hidden="1">'IRF_Data'!$A$1:$G$53</definedName>
    <definedName name="_xlnm._FilterDatabase" localSheetId="27" hidden="1">'FEVD_Data'!$A$1:$F$13</definedName>
    <definedName name="_xlnm._FilterDatabase" localSheetId="28" hidden="1">'Model_Comparison'!$A$1:$L$6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B365D"/>
      <sz val="11"/>
    </font>
    <font>
      <name val="Arial"/>
      <b val="1"/>
      <color rgb="002D3748"/>
      <sz val="10"/>
    </font>
    <font>
      <name val="Arial"/>
      <color rgb="001A202C"/>
      <sz val="10"/>
    </font>
    <font>
      <name val="Arial"/>
      <b val="1"/>
      <color rgb="00FFFFFF"/>
      <sz val="11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8F0"/>
      </patternFill>
    </fill>
    <fill>
      <patternFill patternType="solid">
        <fgColor rgb="001B365D"/>
        <bgColor rgb="001B365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2" fontId="6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1" fontId="6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5" customHeight="1">
      <c r="A1" s="1" t="inlineStr">
        <is>
          <t>WORKBOOK RISET DINAMIKA INFLASI NEGARA-NEGARA ASEAN (2010–2025)</t>
        </is>
      </c>
    </row>
    <row r="3" ht="22" customHeight="1">
      <c r="A3" s="2">
        <f>== 1. INFORMASI UMUM &amp; TUJUAN ===</f>
        <v/>
      </c>
      <c r="B3" s="2" t="inlineStr"/>
    </row>
    <row r="4" ht="22" customHeight="1">
      <c r="A4" s="3" t="inlineStr">
        <is>
          <t>Judul Riset</t>
        </is>
      </c>
      <c r="B4" s="4" t="inlineStr">
        <is>
          <t>Dinamika Inflasi di Kawasan ASEAN: Analisis Transmisi Makroekonomi Domestik dan Guncangan Global</t>
        </is>
      </c>
    </row>
    <row r="5" ht="22" customHeight="1">
      <c r="A5" s="3" t="inlineStr">
        <is>
          <t>Tujuan Workbook</t>
        </is>
      </c>
      <c r="B5" s="4" t="inlineStr">
        <is>
          <t>Menyediakan dataset panel makroekonomi kuartalan ASEAN yang bersih, transparan, terstandardisasi, dan siap dianalisis di R, lengkap dengan hasil estimasi ekonometrika.</t>
        </is>
      </c>
    </row>
    <row r="6" ht="22" customHeight="1">
      <c r="A6" s="3" t="inlineStr">
        <is>
          <t>Ruang Lingkup Wilayah</t>
        </is>
      </c>
      <c r="B6" s="4" t="inlineStr">
        <is>
          <t>10 Negara Anggota ASEAN: Indonesia, Malaysia, Brunei Darussalam, Thailand, Singapore, Philippines, Vietnam, Cambodia, Laos, Myanmar.</t>
        </is>
      </c>
    </row>
    <row r="7" ht="22" customHeight="1">
      <c r="A7" s="3" t="inlineStr">
        <is>
          <t>Rentang Waktu Observasi</t>
        </is>
      </c>
      <c r="B7" s="4" t="inlineStr">
        <is>
          <t>2010 Q1 s.d. 2025 Q1 (61 kuartal; sampel estimasi YoY: 2011 Q1 s.d. 2025 Q1 / 57 kuartal).</t>
        </is>
      </c>
    </row>
    <row r="8" ht="22" customHeight="1">
      <c r="A8" s="3" t="inlineStr">
        <is>
          <t>Frekuensi Analisis</t>
        </is>
      </c>
      <c r="B8" s="4" t="inlineStr">
        <is>
          <t>Kuartalan (Q1 = Jan–Mar, Q2 = Apr–Jun, Q3 = Jul–Sep, Q4 = Okt–Des).</t>
        </is>
      </c>
    </row>
    <row r="9" ht="22" customHeight="1">
      <c r="A9" s="3" t="inlineStr">
        <is>
          <t>Tanggal Penyusunan</t>
        </is>
      </c>
      <c r="B9" s="4" t="inlineStr">
        <is>
          <t>Oktober 2026 (Pipeline R Otomatis).</t>
        </is>
      </c>
    </row>
    <row r="10" ht="22" customHeight="1">
      <c r="A10" s="2">
        <f>== 2. SUMBER DATA ASLI ===</f>
        <v/>
      </c>
      <c r="B10" s="2" t="inlineStr"/>
    </row>
    <row r="11" ht="22" customHeight="1">
      <c r="A11" s="3" t="inlineStr">
        <is>
          <t>File Sumber</t>
        </is>
      </c>
      <c r="B11" s="4" t="inlineStr">
        <is>
          <t>Kebutuhan Data per Variabel Fix (1).xlsx.</t>
        </is>
      </c>
    </row>
    <row r="12" ht="22" customHeight="1">
      <c r="A12" s="3" t="inlineStr">
        <is>
          <t>Sheet HCPI / Inflasi</t>
        </is>
      </c>
      <c r="B12" s="4" t="inlineStr">
        <is>
          <t>'Inflasi Cleaned (kurang' - Indeks HCPI bulanan 2010M01–2025M03 (kolom 184 teridentifikasi sebagai 202503).</t>
        </is>
      </c>
    </row>
    <row r="13" ht="22" customHeight="1">
      <c r="A13" s="3" t="inlineStr">
        <is>
          <t>Sheet PDB</t>
        </is>
      </c>
      <c r="B13" s="4" t="inlineStr">
        <is>
          <t>'PDB' - Tingkat pertumbuhan PDB riil tahunan (%) 2010–2025 (100% lengkap tanpa missing).</t>
        </is>
      </c>
    </row>
    <row r="14" ht="22" customHeight="1">
      <c r="A14" s="3" t="inlineStr">
        <is>
          <t>Sheet Uang Beredar</t>
        </is>
      </c>
      <c r="B14" s="4" t="inlineStr">
        <is>
          <t>'Money Growth (kurang)' - Tingkat pertumbuhan uang beredar tahunan (%) 2010–2025.</t>
        </is>
      </c>
    </row>
    <row r="15" ht="22" customHeight="1">
      <c r="A15" s="3" t="inlineStr">
        <is>
          <t>Sheet REER</t>
        </is>
      </c>
      <c r="B15" s="4" t="inlineStr">
        <is>
          <t>'REER Cleaned (kurang)' - Real Effective Exchange Rate bulanan 2010M01–2025M12.</t>
        </is>
      </c>
    </row>
    <row r="16" ht="22" customHeight="1">
      <c r="A16" s="3" t="inlineStr">
        <is>
          <t>Sheet Pangan Global</t>
        </is>
      </c>
      <c r="B16" s="4" t="inlineStr">
        <is>
          <t>'FAO Cleaned' - Indeks Harga Pangan Global FAO bulanan 2010M01–2025M12.</t>
        </is>
      </c>
    </row>
    <row r="17" ht="22" customHeight="1">
      <c r="A17" s="3" t="inlineStr">
        <is>
          <t>Sheet Suku Bunga AS</t>
        </is>
      </c>
      <c r="B17" s="4" t="inlineStr">
        <is>
          <t>'Federal Funds Rate Cleaned' - Suku bunga acuan The Fed AS bulanan 2010M01–2025M12.</t>
        </is>
      </c>
    </row>
    <row r="18" ht="22" customHeight="1">
      <c r="A18" s="3" t="inlineStr">
        <is>
          <t>Sheet Minyak Dunia</t>
        </is>
      </c>
      <c r="B18" s="4" t="inlineStr">
        <is>
          <t>'Oil' - Harga minyak mentah dunia (Crude Oil) bulanan 2010M01–2025M12.</t>
        </is>
      </c>
    </row>
    <row r="19" ht="22" customHeight="1">
      <c r="A19" s="2">
        <f>== 3. DEFINISI &amp; STANDARDISASI VARIABEL ===</f>
        <v/>
      </c>
      <c r="B19" s="2" t="inlineStr"/>
    </row>
    <row r="20" ht="22" customHeight="1">
      <c r="A20" s="3" t="inlineStr">
        <is>
          <t>Negara ASEAN (10)</t>
        </is>
      </c>
      <c r="B20" s="4" t="inlineStr">
        <is>
          <t>Indonesia, Malaysia, Brunei Darussalam, Thailand, Singapore, Philippines, Vietnam, Cambodia, Laos, Myanmar.</t>
        </is>
      </c>
    </row>
    <row r="21" ht="22" customHeight="1">
      <c r="A21" s="3" t="inlineStr">
        <is>
          <t>hcpi_q</t>
        </is>
      </c>
      <c r="B21" s="4" t="inlineStr">
        <is>
          <t>Indeks Harga Konsumen Harmonisasi Kuartalan (rata-rata 3 bulan per kuartal).</t>
        </is>
      </c>
    </row>
    <row r="22" ht="22" customHeight="1">
      <c r="A22" s="3" t="inlineStr">
        <is>
          <t>inflation_yoy</t>
        </is>
      </c>
      <c r="B22" s="4" t="inlineStr">
        <is>
          <t>Tingkat inflasi tahunan berbasis indeks kuartalan: 100 * (hcpi_q / lag(hcpi_q, 4) - 1).</t>
        </is>
      </c>
    </row>
    <row r="23" ht="22" customHeight="1">
      <c r="A23" s="3" t="inlineStr">
        <is>
          <t>inflation_qoq</t>
        </is>
      </c>
      <c r="B23" s="4" t="inlineStr">
        <is>
          <t>Tingkat inflasi kuartal-ke-kuartal: 100 * (hcpi_q / lag(hcpi_q, 1) - 1).</t>
        </is>
      </c>
    </row>
    <row r="24" ht="22" customHeight="1">
      <c r="A24" s="3" t="inlineStr">
        <is>
          <t>gdp_growth</t>
        </is>
      </c>
      <c r="B24" s="4" t="inlineStr">
        <is>
          <t>Pertumbuhan PDB tahunan riil yang di-disaggregasi secara kuadratik ke kuartalan.</t>
        </is>
      </c>
    </row>
    <row r="25" ht="22" customHeight="1">
      <c r="A25" s="3" t="inlineStr">
        <is>
          <t>money_growth</t>
        </is>
      </c>
      <c r="B25" s="4" t="inlineStr">
        <is>
          <t>Pertumbuhan broad money tahunan yang di-disaggregasi secara kuadratik ke kuartalan.</t>
        </is>
      </c>
    </row>
    <row r="26" ht="22" customHeight="1">
      <c r="A26" s="3" t="inlineStr">
        <is>
          <t>reer_q</t>
        </is>
      </c>
      <c r="B26" s="4" t="inlineStr">
        <is>
          <t>Indeks Real Effective Exchange Rate kuartalan (rata-rata 3 bulan).</t>
        </is>
      </c>
    </row>
    <row r="27" ht="22" customHeight="1">
      <c r="A27" s="3" t="inlineStr">
        <is>
          <t>reer_yoy</t>
        </is>
      </c>
      <c r="B27" s="4" t="inlineStr">
        <is>
          <t>Perubahan persentase tahunan REER: 100 * (reer_q / lag(reer_q, 4) - 1). Apresiasi bernilai positif.</t>
        </is>
      </c>
    </row>
    <row r="28" ht="22" customHeight="1">
      <c r="A28" s="3" t="inlineStr">
        <is>
          <t>fao_q &amp; fao_yoy</t>
        </is>
      </c>
      <c r="B28" s="4" t="inlineStr">
        <is>
          <t>Indeks FAO Pangan Kuartalan dan pertumbuhan tahunannya (variabel shock global).</t>
        </is>
      </c>
    </row>
    <row r="29" ht="22" customHeight="1">
      <c r="A29" s="3" t="inlineStr">
        <is>
          <t>ffr_q &amp; ffr_change</t>
        </is>
      </c>
      <c r="B29" s="4" t="inlineStr">
        <is>
          <t>Federal Funds Rate kuartalan (%) dan perubahan kuartalan (first difference).</t>
        </is>
      </c>
    </row>
    <row r="30" ht="22" customHeight="1">
      <c r="A30" s="3" t="inlineStr">
        <is>
          <t>oil_q &amp; oil_yoy</t>
        </is>
      </c>
      <c r="B30" s="4" t="inlineStr">
        <is>
          <t>Harga minyak mentah dunia (USD/barel) dan pertumbuhan tahunan (YoY).</t>
        </is>
      </c>
    </row>
    <row r="31" ht="22" customHeight="1">
      <c r="A31" s="2">
        <f>== 4. METODOLOGI TRANSFORMASI ===</f>
        <v/>
      </c>
      <c r="B31" s="2" t="inlineStr"/>
    </row>
    <row r="32" ht="22" customHeight="1">
      <c r="A32" s="3" t="inlineStr">
        <is>
          <t>Agregasi Bulanan ke Kuartalan</t>
        </is>
      </c>
      <c r="B32" s="4" t="inlineStr">
        <is>
          <t>Variabel bulanan (HCPI, REER, FAO, FFR, Oil) dihitung rata-rata 3 bulan per kuartal.</t>
        </is>
      </c>
    </row>
    <row r="33" ht="22" customHeight="1">
      <c r="A33" s="3" t="inlineStr">
        <is>
          <t>Disaggregasi PDB &amp; Money</t>
        </is>
      </c>
      <c r="B33" s="4" t="inlineStr">
        <is>
          <t>Denton-Cholette Quadratic Smoothing (first-difference minimization) tanpa membagi rata dengan 4.</t>
        </is>
      </c>
    </row>
    <row r="34" ht="22" customHeight="1">
      <c r="A34" s="3" t="inlineStr">
        <is>
          <t>Preservasi Benchmark Tahunan</t>
        </is>
      </c>
      <c r="B34" s="4" t="inlineStr">
        <is>
          <t>Rata-rata 4 kuartal dalam setiap tahun secara eksak sama dengan angka pertumbuhan tahunan sumber (deviasi &lt; 1e-10).</t>
        </is>
      </c>
    </row>
    <row r="35" ht="22" customHeight="1">
      <c r="A35" s="3" t="inlineStr">
        <is>
          <t>Lag Transformasi YoY</t>
        </is>
      </c>
      <c r="B35" s="4" t="inlineStr">
        <is>
          <t>Empat kuartal pertama (2010 Q1–Q4) secara alami missing untuk inflasi YoY karena memerlukan lag 4.</t>
        </is>
      </c>
    </row>
    <row r="36" ht="22" customHeight="1">
      <c r="A36" s="2">
        <f>== 5. PROTOKOL IMPUTASI &amp; TRANSPARANSI ===</f>
        <v/>
      </c>
      <c r="B36" s="2" t="inlineStr"/>
    </row>
    <row r="37" ht="22" customHeight="1">
      <c r="A37" s="3" t="inlineStr">
        <is>
          <t>Prinsip Integritas Data</t>
        </is>
      </c>
      <c r="B37" s="4" t="inlineStr">
        <is>
          <t>Nilai imputasi tidak disamarkan sebagai data aktual; seluruhnya dicatat di sheet Imputation_Audit.</t>
        </is>
      </c>
    </row>
    <row r="38" ht="22" customHeight="1">
      <c r="A38" s="3" t="inlineStr">
        <is>
          <t>Metode Imputasi HCPI</t>
        </is>
      </c>
      <c r="B38" s="4" t="inlineStr">
        <is>
          <t>Trailing geometric growth extrapolation untuk beberapa kuartal akhir yang belum dirilis.</t>
        </is>
      </c>
    </row>
    <row r="39" ht="22" customHeight="1">
      <c r="A39" s="3" t="inlineStr">
        <is>
          <t>Metode Imputasi REER</t>
        </is>
      </c>
      <c r="B39" s="4" t="inlineStr">
        <is>
          <t>Backward constant fallback untuk Myanmar (2010Q1–2012Q1) sebelum unifikasi sistem kurs.</t>
        </is>
      </c>
    </row>
    <row r="40" ht="22" customHeight="1">
      <c r="A40" s="3" t="inlineStr">
        <is>
          <t>Metode Imputasi Money Growth</t>
        </is>
      </c>
      <c r="B40" s="4" t="inlineStr">
        <is>
          <t>Moving average 8 kuartal untuk periode akhir yang belum dilaporkan; historical mean untuk Laos.</t>
        </is>
      </c>
    </row>
    <row r="41" ht="22" customHeight="1">
      <c r="A41" s="3" t="inlineStr">
        <is>
          <t>Pemisahan Dataset</t>
        </is>
      </c>
      <c r="B41" s="4" t="inlineStr">
        <is>
          <t>Disediakan Panel_Quarterly_Raw (dengan missing asli) dan Panel_Quarterly_Final (terimputasi transparan).</t>
        </is>
      </c>
    </row>
    <row r="42" ht="22" customHeight="1">
      <c r="A42" s="2">
        <f>== 6. PENJELASAN DATA QUALITY FLAGS ===</f>
        <v/>
      </c>
      <c r="B42" s="2" t="inlineStr"/>
    </row>
    <row r="43" ht="22" customHeight="1">
      <c r="A43" s="3" t="inlineStr">
        <is>
          <t>High_Quality_Observed</t>
        </is>
      </c>
      <c r="B43" s="4" t="inlineStr">
        <is>
          <t>Seluruh variabel pada kuartal tersebut diobservasi langsung tanpa ada nilai yang diimputasi.</t>
        </is>
      </c>
    </row>
    <row r="44" ht="22" customHeight="1">
      <c r="A44" s="3" t="inlineStr">
        <is>
          <t>Baseline_Lag_Origin</t>
        </is>
      </c>
      <c r="B44" s="4" t="inlineStr">
        <is>
          <t>Observasi tahun dasar 2010 yang berfungsi sebagai pembentuk lag tahun pertama (YoY belum terdefinisi).</t>
        </is>
      </c>
    </row>
    <row r="45" ht="22" customHeight="1">
      <c r="A45" s="3" t="inlineStr">
        <is>
          <t>Minor_Imputation_1Var</t>
        </is>
      </c>
      <c r="B45" s="4" t="inlineStr">
        <is>
          <t>Terdapat tepat 1 variabel yang menggunakan estimasi/ekstrapolasi pada kuartal tersebut.</t>
        </is>
      </c>
    </row>
    <row r="46" ht="22" customHeight="1">
      <c r="A46" s="3" t="inlineStr">
        <is>
          <t>Major_Imputation_MultiVar</t>
        </is>
      </c>
      <c r="B46" s="4" t="inlineStr">
        <is>
          <t>Terdapat 2 atau lebih variabel yang menggunakan estimasi/ekstrapolasi (terutama Laos dan Myanmar).</t>
        </is>
      </c>
    </row>
    <row r="47" ht="22" customHeight="1">
      <c r="A47" s="2">
        <f>== 7. MODEL EKONOMETRIKA TERESTIMASI ===</f>
        <v/>
      </c>
      <c r="B47" s="2" t="inlineStr"/>
    </row>
    <row r="48" ht="22" customHeight="1">
      <c r="A48" s="3" t="inlineStr">
        <is>
          <t>Model Utama</t>
        </is>
      </c>
      <c r="B48" s="4" t="inlineStr">
        <is>
          <t>Regional ASEAN VARX(2) dengan 4 variabel endogen dan 3 shock global eksogen.</t>
        </is>
      </c>
    </row>
    <row r="49" ht="22" customHeight="1">
      <c r="A49" s="3" t="inlineStr">
        <is>
          <t>Model Komparasi Panel</t>
        </is>
      </c>
      <c r="B49" s="4" t="inlineStr">
        <is>
          <t>Dynamic Panel Fixed Effects (Within Estimator) dengan country-specific intercepts.</t>
        </is>
      </c>
    </row>
    <row r="50" ht="22" customHeight="1">
      <c r="A50" s="3" t="inlineStr">
        <is>
          <t>Urutan Identifikasi IRF</t>
        </is>
      </c>
      <c r="B50" s="4" t="inlineStr">
        <is>
          <t>Dekomposisi Cholesky rekursif: Pertumbuhan PDB -&gt; Money Growth -&gt; REER -&gt; Inflasi.</t>
        </is>
      </c>
    </row>
    <row r="51" ht="22" customHeight="1">
      <c r="A51" s="3" t="inlineStr">
        <is>
          <t>Keterbatasan Riset</t>
        </is>
      </c>
      <c r="B51" s="4" t="inlineStr">
        <is>
          <t>Keterbatasan mencakup heterogenitas struktural negara ASEAN dan ketersediaan data Money Growth di Laos.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6" customWidth="1" min="3" max="3"/>
    <col width="15" customWidth="1" min="4" max="4"/>
    <col width="22" customWidth="1" min="5" max="5"/>
    <col width="16" customWidth="1" min="6" max="6"/>
    <col width="16" customWidth="1" min="7" max="7"/>
    <col width="14" customWidth="1" min="8" max="8"/>
    <col width="38" customWidth="1" min="9" max="9"/>
    <col width="13" customWidth="1" min="10" max="10"/>
  </cols>
  <sheetData>
    <row r="1" ht="26" customHeight="1">
      <c r="A1" s="5" t="inlineStr">
        <is>
          <t>country</t>
        </is>
      </c>
      <c r="B1" s="5" t="inlineStr">
        <is>
          <t>variable</t>
        </is>
      </c>
      <c r="C1" s="5" t="inlineStr">
        <is>
          <t>source_sheet</t>
        </is>
      </c>
      <c r="D1" s="5" t="inlineStr">
        <is>
          <t>start_period</t>
        </is>
      </c>
      <c r="E1" s="5" t="inlineStr">
        <is>
          <t>end_period_recorded</t>
        </is>
      </c>
      <c r="F1" s="5" t="inlineStr">
        <is>
          <t>total_periods</t>
        </is>
      </c>
      <c r="G1" s="5" t="inlineStr">
        <is>
          <t>missing_count</t>
        </is>
      </c>
      <c r="H1" s="5" t="inlineStr">
        <is>
          <t>missing_pct</t>
        </is>
      </c>
      <c r="I1" s="5" t="inlineStr">
        <is>
          <t>notes</t>
        </is>
      </c>
      <c r="J1" s="5" t="inlineStr">
        <is>
          <t>end_period</t>
        </is>
      </c>
    </row>
    <row r="2" ht="19" customHeight="1">
      <c r="A2" s="6" t="inlineStr">
        <is>
          <t>Indonesia</t>
        </is>
      </c>
      <c r="B2" s="6" t="inlineStr">
        <is>
          <t>HCPI</t>
        </is>
      </c>
      <c r="C2" s="7" t="inlineStr">
        <is>
          <t>Inflasi Cleaned (kurang</t>
        </is>
      </c>
      <c r="D2" s="8" t="n">
        <v>201001</v>
      </c>
      <c r="E2" s="8" t="n">
        <v>202502</v>
      </c>
      <c r="F2" s="8" t="n">
        <v>183</v>
      </c>
      <c r="G2" s="8" t="n">
        <v>0</v>
      </c>
      <c r="H2" s="8" t="n">
        <v>0</v>
      </c>
      <c r="I2" s="7" t="inlineStr">
        <is>
          <t>Lengkap/Hampir lengkap</t>
        </is>
      </c>
      <c r="J2" s="9" t="inlineStr"/>
    </row>
    <row r="3" ht="19" customHeight="1">
      <c r="A3" s="6" t="inlineStr">
        <is>
          <t>Malaysia</t>
        </is>
      </c>
      <c r="B3" s="6" t="inlineStr">
        <is>
          <t>HCPI</t>
        </is>
      </c>
      <c r="C3" s="7" t="inlineStr">
        <is>
          <t>Inflasi Cleaned (kurang</t>
        </is>
      </c>
      <c r="D3" s="8" t="n">
        <v>201001</v>
      </c>
      <c r="E3" s="8" t="n">
        <v>202502</v>
      </c>
      <c r="F3" s="8" t="n">
        <v>183</v>
      </c>
      <c r="G3" s="8" t="n">
        <v>1</v>
      </c>
      <c r="H3" s="8" t="n">
        <v>0.55</v>
      </c>
      <c r="I3" s="7" t="inlineStr">
        <is>
          <t>Lengkap/Hampir lengkap</t>
        </is>
      </c>
      <c r="J3" s="9" t="inlineStr"/>
    </row>
    <row r="4" ht="19" customHeight="1">
      <c r="A4" s="7" t="inlineStr">
        <is>
          <t>Brunei Darussalam</t>
        </is>
      </c>
      <c r="B4" s="6" t="inlineStr">
        <is>
          <t>HCPI</t>
        </is>
      </c>
      <c r="C4" s="7" t="inlineStr">
        <is>
          <t>Inflasi Cleaned (kurang</t>
        </is>
      </c>
      <c r="D4" s="8" t="n">
        <v>201001</v>
      </c>
      <c r="E4" s="8" t="n">
        <v>202502</v>
      </c>
      <c r="F4" s="8" t="n">
        <v>183</v>
      </c>
      <c r="G4" s="8" t="n">
        <v>1</v>
      </c>
      <c r="H4" s="8" t="n">
        <v>0.55</v>
      </c>
      <c r="I4" s="7" t="inlineStr">
        <is>
          <t>Lengkap/Hampir lengkap</t>
        </is>
      </c>
      <c r="J4" s="9" t="inlineStr"/>
    </row>
    <row r="5" ht="19" customHeight="1">
      <c r="A5" s="6" t="inlineStr">
        <is>
          <t>Thailand</t>
        </is>
      </c>
      <c r="B5" s="6" t="inlineStr">
        <is>
          <t>HCPI</t>
        </is>
      </c>
      <c r="C5" s="7" t="inlineStr">
        <is>
          <t>Inflasi Cleaned (kurang</t>
        </is>
      </c>
      <c r="D5" s="8" t="n">
        <v>201001</v>
      </c>
      <c r="E5" s="8" t="n">
        <v>202502</v>
      </c>
      <c r="F5" s="8" t="n">
        <v>183</v>
      </c>
      <c r="G5" s="8" t="n">
        <v>6</v>
      </c>
      <c r="H5" s="8" t="n">
        <v>3.28</v>
      </c>
      <c r="I5" s="7" t="inlineStr">
        <is>
          <t>Beberapa bulan di akhir sampel belum terisi</t>
        </is>
      </c>
      <c r="J5" s="9" t="inlineStr"/>
    </row>
    <row r="6" ht="19" customHeight="1">
      <c r="A6" s="6" t="inlineStr">
        <is>
          <t>Singapore</t>
        </is>
      </c>
      <c r="B6" s="6" t="inlineStr">
        <is>
          <t>HCPI</t>
        </is>
      </c>
      <c r="C6" s="7" t="inlineStr">
        <is>
          <t>Inflasi Cleaned (kurang</t>
        </is>
      </c>
      <c r="D6" s="8" t="n">
        <v>201001</v>
      </c>
      <c r="E6" s="8" t="n">
        <v>202502</v>
      </c>
      <c r="F6" s="8" t="n">
        <v>183</v>
      </c>
      <c r="G6" s="8" t="n">
        <v>3</v>
      </c>
      <c r="H6" s="8" t="n">
        <v>1.64</v>
      </c>
      <c r="I6" s="7" t="inlineStr">
        <is>
          <t>Beberapa bulan di akhir sampel belum terisi</t>
        </is>
      </c>
      <c r="J6" s="9" t="inlineStr"/>
    </row>
    <row r="7" ht="19" customHeight="1">
      <c r="A7" s="6" t="inlineStr">
        <is>
          <t>Vietnam</t>
        </is>
      </c>
      <c r="B7" s="6" t="inlineStr">
        <is>
          <t>HCPI</t>
        </is>
      </c>
      <c r="C7" s="7" t="inlineStr">
        <is>
          <t>Inflasi Cleaned (kurang</t>
        </is>
      </c>
      <c r="D7" s="8" t="n">
        <v>201001</v>
      </c>
      <c r="E7" s="8" t="n">
        <v>202502</v>
      </c>
      <c r="F7" s="8" t="n">
        <v>183</v>
      </c>
      <c r="G7" s="8" t="n">
        <v>0</v>
      </c>
      <c r="H7" s="8" t="n">
        <v>0</v>
      </c>
      <c r="I7" s="7" t="inlineStr">
        <is>
          <t>Lengkap/Hampir lengkap</t>
        </is>
      </c>
      <c r="J7" s="9" t="inlineStr"/>
    </row>
    <row r="8" ht="19" customHeight="1">
      <c r="A8" s="7" t="inlineStr">
        <is>
          <t>Laos (Lao PDR)</t>
        </is>
      </c>
      <c r="B8" s="6" t="inlineStr">
        <is>
          <t>HCPI</t>
        </is>
      </c>
      <c r="C8" s="7" t="inlineStr">
        <is>
          <t>Inflasi Cleaned (kurang</t>
        </is>
      </c>
      <c r="D8" s="8" t="n">
        <v>201001</v>
      </c>
      <c r="E8" s="8" t="n">
        <v>202502</v>
      </c>
      <c r="F8" s="8" t="n">
        <v>183</v>
      </c>
      <c r="G8" s="8" t="n">
        <v>0</v>
      </c>
      <c r="H8" s="8" t="n">
        <v>0</v>
      </c>
      <c r="I8" s="7" t="inlineStr">
        <is>
          <t>Lengkap/Hampir lengkap</t>
        </is>
      </c>
      <c r="J8" s="9" t="inlineStr"/>
    </row>
    <row r="9" ht="19" customHeight="1">
      <c r="A9" s="6" t="inlineStr">
        <is>
          <t>Cambodia</t>
        </is>
      </c>
      <c r="B9" s="6" t="inlineStr">
        <is>
          <t>HCPI</t>
        </is>
      </c>
      <c r="C9" s="7" t="inlineStr">
        <is>
          <t>Inflasi Cleaned (kurang</t>
        </is>
      </c>
      <c r="D9" s="8" t="n">
        <v>201001</v>
      </c>
      <c r="E9" s="8" t="n">
        <v>202502</v>
      </c>
      <c r="F9" s="8" t="n">
        <v>183</v>
      </c>
      <c r="G9" s="8" t="n">
        <v>8</v>
      </c>
      <c r="H9" s="8" t="n">
        <v>4.37</v>
      </c>
      <c r="I9" s="7" t="inlineStr">
        <is>
          <t>Beberapa bulan di akhir sampel belum terisi</t>
        </is>
      </c>
      <c r="J9" s="9" t="inlineStr"/>
    </row>
    <row r="10" ht="19" customHeight="1">
      <c r="A10" s="6" t="inlineStr">
        <is>
          <t>Myanmar</t>
        </is>
      </c>
      <c r="B10" s="6" t="inlineStr">
        <is>
          <t>HCPI</t>
        </is>
      </c>
      <c r="C10" s="7" t="inlineStr">
        <is>
          <t>Inflasi Cleaned (kurang</t>
        </is>
      </c>
      <c r="D10" s="8" t="n">
        <v>201001</v>
      </c>
      <c r="E10" s="8" t="n">
        <v>202502</v>
      </c>
      <c r="F10" s="8" t="n">
        <v>183</v>
      </c>
      <c r="G10" s="8" t="n">
        <v>52</v>
      </c>
      <c r="H10" s="8" t="n">
        <v>28.42</v>
      </c>
      <c r="I10" s="7" t="inlineStr">
        <is>
          <t>Banyak periode akhir kosong</t>
        </is>
      </c>
      <c r="J10" s="9" t="inlineStr"/>
    </row>
    <row r="11" ht="19" customHeight="1">
      <c r="A11" s="6" t="inlineStr">
        <is>
          <t>Philipines</t>
        </is>
      </c>
      <c r="B11" s="6" t="inlineStr">
        <is>
          <t>HCPI</t>
        </is>
      </c>
      <c r="C11" s="7" t="inlineStr">
        <is>
          <t>Inflasi Cleaned (kurang</t>
        </is>
      </c>
      <c r="D11" s="8" t="n">
        <v>201001</v>
      </c>
      <c r="E11" s="8" t="n">
        <v>202502</v>
      </c>
      <c r="F11" s="8" t="n">
        <v>183</v>
      </c>
      <c r="G11" s="8" t="n">
        <v>0</v>
      </c>
      <c r="H11" s="8" t="n">
        <v>0</v>
      </c>
      <c r="I11" s="7" t="inlineStr">
        <is>
          <t>Lengkap/Hampir lengkap</t>
        </is>
      </c>
      <c r="J11" s="9" t="inlineStr"/>
    </row>
    <row r="12" ht="19" customHeight="1">
      <c r="A12" s="6" t="inlineStr">
        <is>
          <t>Indonesia</t>
        </is>
      </c>
      <c r="B12" s="6" t="inlineStr">
        <is>
          <t>GDP_Growth</t>
        </is>
      </c>
      <c r="C12" s="6" t="inlineStr">
        <is>
          <t>PDB</t>
        </is>
      </c>
      <c r="D12" s="8" t="n">
        <v>2010</v>
      </c>
      <c r="E12" s="9" t="inlineStr"/>
      <c r="F12" s="8" t="n">
        <v>16</v>
      </c>
      <c r="G12" s="8" t="n">
        <v>0</v>
      </c>
      <c r="H12" s="8" t="n">
        <v>0</v>
      </c>
      <c r="I12" s="7" t="inlineStr">
        <is>
          <t>Data tahunan lengkap tanpa missing</t>
        </is>
      </c>
      <c r="J12" s="8" t="n">
        <v>2025</v>
      </c>
    </row>
    <row r="13" ht="19" customHeight="1">
      <c r="A13" s="6" t="inlineStr">
        <is>
          <t>Malaysia</t>
        </is>
      </c>
      <c r="B13" s="6" t="inlineStr">
        <is>
          <t>GDP_Growth</t>
        </is>
      </c>
      <c r="C13" s="6" t="inlineStr">
        <is>
          <t>PDB</t>
        </is>
      </c>
      <c r="D13" s="8" t="n">
        <v>2010</v>
      </c>
      <c r="E13" s="9" t="inlineStr"/>
      <c r="F13" s="8" t="n">
        <v>16</v>
      </c>
      <c r="G13" s="8" t="n">
        <v>0</v>
      </c>
      <c r="H13" s="8" t="n">
        <v>0</v>
      </c>
      <c r="I13" s="7" t="inlineStr">
        <is>
          <t>Data tahunan lengkap tanpa missing</t>
        </is>
      </c>
      <c r="J13" s="8" t="n">
        <v>2025</v>
      </c>
    </row>
    <row r="14" ht="19" customHeight="1">
      <c r="A14" s="7" t="inlineStr">
        <is>
          <t>Brunei Darussalam</t>
        </is>
      </c>
      <c r="B14" s="6" t="inlineStr">
        <is>
          <t>GDP_Growth</t>
        </is>
      </c>
      <c r="C14" s="6" t="inlineStr">
        <is>
          <t>PDB</t>
        </is>
      </c>
      <c r="D14" s="8" t="n">
        <v>2010</v>
      </c>
      <c r="E14" s="9" t="inlineStr"/>
      <c r="F14" s="8" t="n">
        <v>16</v>
      </c>
      <c r="G14" s="8" t="n">
        <v>0</v>
      </c>
      <c r="H14" s="8" t="n">
        <v>0</v>
      </c>
      <c r="I14" s="7" t="inlineStr">
        <is>
          <t>Data tahunan lengkap tanpa missing</t>
        </is>
      </c>
      <c r="J14" s="8" t="n">
        <v>2025</v>
      </c>
    </row>
    <row r="15" ht="19" customHeight="1">
      <c r="A15" s="6" t="inlineStr">
        <is>
          <t>Thailand</t>
        </is>
      </c>
      <c r="B15" s="6" t="inlineStr">
        <is>
          <t>GDP_Growth</t>
        </is>
      </c>
      <c r="C15" s="6" t="inlineStr">
        <is>
          <t>PDB</t>
        </is>
      </c>
      <c r="D15" s="8" t="n">
        <v>2010</v>
      </c>
      <c r="E15" s="9" t="inlineStr"/>
      <c r="F15" s="8" t="n">
        <v>16</v>
      </c>
      <c r="G15" s="8" t="n">
        <v>0</v>
      </c>
      <c r="H15" s="8" t="n">
        <v>0</v>
      </c>
      <c r="I15" s="7" t="inlineStr">
        <is>
          <t>Data tahunan lengkap tanpa missing</t>
        </is>
      </c>
      <c r="J15" s="8" t="n">
        <v>2025</v>
      </c>
    </row>
    <row r="16" ht="19" customHeight="1">
      <c r="A16" s="6" t="inlineStr">
        <is>
          <t>Singapore</t>
        </is>
      </c>
      <c r="B16" s="6" t="inlineStr">
        <is>
          <t>GDP_Growth</t>
        </is>
      </c>
      <c r="C16" s="6" t="inlineStr">
        <is>
          <t>PDB</t>
        </is>
      </c>
      <c r="D16" s="8" t="n">
        <v>2010</v>
      </c>
      <c r="E16" s="9" t="inlineStr"/>
      <c r="F16" s="8" t="n">
        <v>16</v>
      </c>
      <c r="G16" s="8" t="n">
        <v>0</v>
      </c>
      <c r="H16" s="8" t="n">
        <v>0</v>
      </c>
      <c r="I16" s="7" t="inlineStr">
        <is>
          <t>Data tahunan lengkap tanpa missing</t>
        </is>
      </c>
      <c r="J16" s="8" t="n">
        <v>2025</v>
      </c>
    </row>
    <row r="17" ht="19" customHeight="1">
      <c r="A17" s="6" t="inlineStr">
        <is>
          <t>Vietnam</t>
        </is>
      </c>
      <c r="B17" s="6" t="inlineStr">
        <is>
          <t>GDP_Growth</t>
        </is>
      </c>
      <c r="C17" s="6" t="inlineStr">
        <is>
          <t>PDB</t>
        </is>
      </c>
      <c r="D17" s="8" t="n">
        <v>2010</v>
      </c>
      <c r="E17" s="9" t="inlineStr"/>
      <c r="F17" s="8" t="n">
        <v>16</v>
      </c>
      <c r="G17" s="8" t="n">
        <v>0</v>
      </c>
      <c r="H17" s="8" t="n">
        <v>0</v>
      </c>
      <c r="I17" s="7" t="inlineStr">
        <is>
          <t>Data tahunan lengkap tanpa missing</t>
        </is>
      </c>
      <c r="J17" s="8" t="n">
        <v>2025</v>
      </c>
    </row>
    <row r="18" ht="19" customHeight="1">
      <c r="A18" s="7" t="inlineStr">
        <is>
          <t>Laos (Lao PDR)</t>
        </is>
      </c>
      <c r="B18" s="6" t="inlineStr">
        <is>
          <t>GDP_Growth</t>
        </is>
      </c>
      <c r="C18" s="6" t="inlineStr">
        <is>
          <t>PDB</t>
        </is>
      </c>
      <c r="D18" s="8" t="n">
        <v>2010</v>
      </c>
      <c r="E18" s="9" t="inlineStr"/>
      <c r="F18" s="8" t="n">
        <v>16</v>
      </c>
      <c r="G18" s="8" t="n">
        <v>0</v>
      </c>
      <c r="H18" s="8" t="n">
        <v>0</v>
      </c>
      <c r="I18" s="7" t="inlineStr">
        <is>
          <t>Data tahunan lengkap tanpa missing</t>
        </is>
      </c>
      <c r="J18" s="8" t="n">
        <v>2025</v>
      </c>
    </row>
    <row r="19" ht="19" customHeight="1">
      <c r="A19" s="6" t="inlineStr">
        <is>
          <t>Cambodia</t>
        </is>
      </c>
      <c r="B19" s="6" t="inlineStr">
        <is>
          <t>GDP_Growth</t>
        </is>
      </c>
      <c r="C19" s="6" t="inlineStr">
        <is>
          <t>PDB</t>
        </is>
      </c>
      <c r="D19" s="8" t="n">
        <v>2010</v>
      </c>
      <c r="E19" s="9" t="inlineStr"/>
      <c r="F19" s="8" t="n">
        <v>16</v>
      </c>
      <c r="G19" s="8" t="n">
        <v>0</v>
      </c>
      <c r="H19" s="8" t="n">
        <v>0</v>
      </c>
      <c r="I19" s="7" t="inlineStr">
        <is>
          <t>Data tahunan lengkap tanpa missing</t>
        </is>
      </c>
      <c r="J19" s="8" t="n">
        <v>2025</v>
      </c>
    </row>
    <row r="20" ht="19" customHeight="1">
      <c r="A20" s="6" t="inlineStr">
        <is>
          <t>Myanmar</t>
        </is>
      </c>
      <c r="B20" s="6" t="inlineStr">
        <is>
          <t>GDP_Growth</t>
        </is>
      </c>
      <c r="C20" s="6" t="inlineStr">
        <is>
          <t>PDB</t>
        </is>
      </c>
      <c r="D20" s="8" t="n">
        <v>2010</v>
      </c>
      <c r="E20" s="9" t="inlineStr"/>
      <c r="F20" s="8" t="n">
        <v>16</v>
      </c>
      <c r="G20" s="8" t="n">
        <v>0</v>
      </c>
      <c r="H20" s="8" t="n">
        <v>0</v>
      </c>
      <c r="I20" s="7" t="inlineStr">
        <is>
          <t>Data tahunan lengkap tanpa missing</t>
        </is>
      </c>
      <c r="J20" s="8" t="n">
        <v>2025</v>
      </c>
    </row>
    <row r="21" ht="19" customHeight="1">
      <c r="A21" s="6" t="inlineStr">
        <is>
          <t>Philipines</t>
        </is>
      </c>
      <c r="B21" s="6" t="inlineStr">
        <is>
          <t>GDP_Growth</t>
        </is>
      </c>
      <c r="C21" s="6" t="inlineStr">
        <is>
          <t>PDB</t>
        </is>
      </c>
      <c r="D21" s="8" t="n">
        <v>2010</v>
      </c>
      <c r="E21" s="9" t="inlineStr"/>
      <c r="F21" s="8" t="n">
        <v>16</v>
      </c>
      <c r="G21" s="8" t="n">
        <v>0</v>
      </c>
      <c r="H21" s="8" t="n">
        <v>0</v>
      </c>
      <c r="I21" s="7" t="inlineStr">
        <is>
          <t>Data tahunan lengkap tanpa missing</t>
        </is>
      </c>
      <c r="J21" s="8" t="n">
        <v>2025</v>
      </c>
    </row>
    <row r="22" ht="19" customHeight="1">
      <c r="A22" s="6" t="inlineStr">
        <is>
          <t>Indonesia</t>
        </is>
      </c>
      <c r="B22" s="7" t="inlineStr">
        <is>
          <t>Money_Growth</t>
        </is>
      </c>
      <c r="C22" s="7" t="inlineStr">
        <is>
          <t>Money Growth (kurang)</t>
        </is>
      </c>
      <c r="D22" s="8" t="n">
        <v>2010</v>
      </c>
      <c r="E22" s="9" t="inlineStr"/>
      <c r="F22" s="8" t="n">
        <v>16</v>
      </c>
      <c r="G22" s="8" t="n">
        <v>0</v>
      </c>
      <c r="H22" s="8" t="n">
        <v>0</v>
      </c>
      <c r="I22" s="7" t="inlineStr">
        <is>
          <t>Lengkap 2010-2025</t>
        </is>
      </c>
      <c r="J22" s="8" t="n">
        <v>2025</v>
      </c>
    </row>
    <row r="23" ht="19" customHeight="1">
      <c r="A23" s="6" t="inlineStr">
        <is>
          <t>Malaysia</t>
        </is>
      </c>
      <c r="B23" s="7" t="inlineStr">
        <is>
          <t>Money_Growth</t>
        </is>
      </c>
      <c r="C23" s="7" t="inlineStr">
        <is>
          <t>Money Growth (kurang)</t>
        </is>
      </c>
      <c r="D23" s="8" t="n">
        <v>2010</v>
      </c>
      <c r="E23" s="9" t="inlineStr"/>
      <c r="F23" s="8" t="n">
        <v>16</v>
      </c>
      <c r="G23" s="8" t="n">
        <v>0</v>
      </c>
      <c r="H23" s="8" t="n">
        <v>0</v>
      </c>
      <c r="I23" s="7" t="inlineStr">
        <is>
          <t>Lengkap 2010-2025</t>
        </is>
      </c>
      <c r="J23" s="8" t="n">
        <v>2025</v>
      </c>
    </row>
    <row r="24" ht="19" customHeight="1">
      <c r="A24" s="7" t="inlineStr">
        <is>
          <t>Brunei Darussalam</t>
        </is>
      </c>
      <c r="B24" s="7" t="inlineStr">
        <is>
          <t>Money_Growth</t>
        </is>
      </c>
      <c r="C24" s="7" t="inlineStr">
        <is>
          <t>Money Growth (kurang)</t>
        </is>
      </c>
      <c r="D24" s="8" t="n">
        <v>2010</v>
      </c>
      <c r="E24" s="9" t="inlineStr"/>
      <c r="F24" s="8" t="n">
        <v>16</v>
      </c>
      <c r="G24" s="8" t="n">
        <v>0</v>
      </c>
      <c r="H24" s="8" t="n">
        <v>0</v>
      </c>
      <c r="I24" s="7" t="inlineStr">
        <is>
          <t>Lengkap 2010-2025</t>
        </is>
      </c>
      <c r="J24" s="8" t="n">
        <v>2025</v>
      </c>
    </row>
    <row r="25" ht="19" customHeight="1">
      <c r="A25" s="6" t="inlineStr">
        <is>
          <t>Thailand</t>
        </is>
      </c>
      <c r="B25" s="7" t="inlineStr">
        <is>
          <t>Money_Growth</t>
        </is>
      </c>
      <c r="C25" s="7" t="inlineStr">
        <is>
          <t>Money Growth (kurang)</t>
        </is>
      </c>
      <c r="D25" s="8" t="n">
        <v>2010</v>
      </c>
      <c r="E25" s="9" t="inlineStr"/>
      <c r="F25" s="8" t="n">
        <v>16</v>
      </c>
      <c r="G25" s="8" t="n">
        <v>0</v>
      </c>
      <c r="H25" s="8" t="n">
        <v>0</v>
      </c>
      <c r="I25" s="7" t="inlineStr">
        <is>
          <t>Lengkap 2010-2025</t>
        </is>
      </c>
      <c r="J25" s="8" t="n">
        <v>2025</v>
      </c>
    </row>
    <row r="26" ht="19" customHeight="1">
      <c r="A26" s="6" t="inlineStr">
        <is>
          <t>Singapore</t>
        </is>
      </c>
      <c r="B26" s="7" t="inlineStr">
        <is>
          <t>Money_Growth</t>
        </is>
      </c>
      <c r="C26" s="7" t="inlineStr">
        <is>
          <t>Money Growth (kurang)</t>
        </is>
      </c>
      <c r="D26" s="8" t="n">
        <v>2010</v>
      </c>
      <c r="E26" s="9" t="inlineStr"/>
      <c r="F26" s="8" t="n">
        <v>16</v>
      </c>
      <c r="G26" s="8" t="n">
        <v>5</v>
      </c>
      <c r="H26" s="8" t="n">
        <v>31.25</v>
      </c>
      <c r="I26" s="7" t="inlineStr">
        <is>
          <t>Tersedia s.d. 2020</t>
        </is>
      </c>
      <c r="J26" s="8" t="n">
        <v>2025</v>
      </c>
    </row>
    <row r="27" ht="19" customHeight="1">
      <c r="A27" s="6" t="inlineStr">
        <is>
          <t>Vietnam</t>
        </is>
      </c>
      <c r="B27" s="7" t="inlineStr">
        <is>
          <t>Money_Growth</t>
        </is>
      </c>
      <c r="C27" s="7" t="inlineStr">
        <is>
          <t>Money Growth (kurang)</t>
        </is>
      </c>
      <c r="D27" s="8" t="n">
        <v>2010</v>
      </c>
      <c r="E27" s="9" t="inlineStr"/>
      <c r="F27" s="8" t="n">
        <v>16</v>
      </c>
      <c r="G27" s="8" t="n">
        <v>3</v>
      </c>
      <c r="H27" s="8" t="n">
        <v>18.75</v>
      </c>
      <c r="I27" s="7" t="inlineStr">
        <is>
          <t>Tersedia s.d. 2022</t>
        </is>
      </c>
      <c r="J27" s="8" t="n">
        <v>2025</v>
      </c>
    </row>
    <row r="28" ht="19" customHeight="1">
      <c r="A28" s="7" t="inlineStr">
        <is>
          <t>Laos (Lao PDR)</t>
        </is>
      </c>
      <c r="B28" s="7" t="inlineStr">
        <is>
          <t>Money_Growth</t>
        </is>
      </c>
      <c r="C28" s="7" t="inlineStr">
        <is>
          <t>Money Growth (kurang)</t>
        </is>
      </c>
      <c r="D28" s="8" t="n">
        <v>2010</v>
      </c>
      <c r="E28" s="9" t="inlineStr"/>
      <c r="F28" s="8" t="n">
        <v>16</v>
      </c>
      <c r="G28" s="8" t="n">
        <v>15</v>
      </c>
      <c r="H28" s="8" t="n">
        <v>93.75</v>
      </c>
      <c r="I28" s="7" t="inlineStr">
        <is>
          <t>Hanya tersedia tahun 2010</t>
        </is>
      </c>
      <c r="J28" s="8" t="n">
        <v>2025</v>
      </c>
    </row>
    <row r="29" ht="19" customHeight="1">
      <c r="A29" s="6" t="inlineStr">
        <is>
          <t>Cambodia</t>
        </is>
      </c>
      <c r="B29" s="7" t="inlineStr">
        <is>
          <t>Money_Growth</t>
        </is>
      </c>
      <c r="C29" s="7" t="inlineStr">
        <is>
          <t>Money Growth (kurang)</t>
        </is>
      </c>
      <c r="D29" s="8" t="n">
        <v>2010</v>
      </c>
      <c r="E29" s="9" t="inlineStr"/>
      <c r="F29" s="8" t="n">
        <v>16</v>
      </c>
      <c r="G29" s="8" t="n">
        <v>3</v>
      </c>
      <c r="H29" s="8" t="n">
        <v>18.75</v>
      </c>
      <c r="I29" s="7" t="inlineStr">
        <is>
          <t>Tersedia s.d. 2022</t>
        </is>
      </c>
      <c r="J29" s="8" t="n">
        <v>2025</v>
      </c>
    </row>
    <row r="30" ht="19" customHeight="1">
      <c r="A30" s="6" t="inlineStr">
        <is>
          <t>Myanmar</t>
        </is>
      </c>
      <c r="B30" s="7" t="inlineStr">
        <is>
          <t>Money_Growth</t>
        </is>
      </c>
      <c r="C30" s="7" t="inlineStr">
        <is>
          <t>Money Growth (kurang)</t>
        </is>
      </c>
      <c r="D30" s="8" t="n">
        <v>2010</v>
      </c>
      <c r="E30" s="9" t="inlineStr"/>
      <c r="F30" s="8" t="n">
        <v>16</v>
      </c>
      <c r="G30" s="8" t="n">
        <v>5</v>
      </c>
      <c r="H30" s="8" t="n">
        <v>31.25</v>
      </c>
      <c r="I30" s="7" t="inlineStr">
        <is>
          <t>Tersedia s.d. 2020</t>
        </is>
      </c>
      <c r="J30" s="8" t="n">
        <v>2025</v>
      </c>
    </row>
    <row r="31" ht="19" customHeight="1">
      <c r="A31" s="6" t="inlineStr">
        <is>
          <t>Philipines</t>
        </is>
      </c>
      <c r="B31" s="7" t="inlineStr">
        <is>
          <t>Money_Growth</t>
        </is>
      </c>
      <c r="C31" s="7" t="inlineStr">
        <is>
          <t>Money Growth (kurang)</t>
        </is>
      </c>
      <c r="D31" s="8" t="n">
        <v>2010</v>
      </c>
      <c r="E31" s="9" t="inlineStr"/>
      <c r="F31" s="8" t="n">
        <v>16</v>
      </c>
      <c r="G31" s="8" t="n">
        <v>3</v>
      </c>
      <c r="H31" s="8" t="n">
        <v>18.75</v>
      </c>
      <c r="I31" s="7" t="inlineStr">
        <is>
          <t>Tersedia s.d. 2022</t>
        </is>
      </c>
      <c r="J31" s="8" t="n">
        <v>2025</v>
      </c>
    </row>
    <row r="32" ht="19" customHeight="1">
      <c r="A32" s="7" t="inlineStr">
        <is>
          <t>Brunei Darussalam</t>
        </is>
      </c>
      <c r="B32" s="6" t="inlineStr">
        <is>
          <t>REER</t>
        </is>
      </c>
      <c r="C32" s="7" t="inlineStr">
        <is>
          <t>REER Cleaned (kurang)</t>
        </is>
      </c>
      <c r="D32" s="6" t="inlineStr">
        <is>
          <t>2010M01</t>
        </is>
      </c>
      <c r="E32" s="9" t="inlineStr"/>
      <c r="F32" s="8" t="n">
        <v>192</v>
      </c>
      <c r="G32" s="8" t="n">
        <v>0</v>
      </c>
      <c r="H32" s="8" t="n">
        <v>0</v>
      </c>
      <c r="I32" s="7" t="inlineStr">
        <is>
          <t>Lengkap 192 bulan</t>
        </is>
      </c>
      <c r="J32" s="6" t="inlineStr">
        <is>
          <t>2025M12</t>
        </is>
      </c>
    </row>
    <row r="33" ht="19" customHeight="1">
      <c r="A33" s="6" t="inlineStr">
        <is>
          <t>Cambodia</t>
        </is>
      </c>
      <c r="B33" s="6" t="inlineStr">
        <is>
          <t>REER</t>
        </is>
      </c>
      <c r="C33" s="7" t="inlineStr">
        <is>
          <t>REER Cleaned (kurang)</t>
        </is>
      </c>
      <c r="D33" s="6" t="inlineStr">
        <is>
          <t>2010M01</t>
        </is>
      </c>
      <c r="E33" s="9" t="inlineStr"/>
      <c r="F33" s="8" t="n">
        <v>192</v>
      </c>
      <c r="G33" s="8" t="n">
        <v>0</v>
      </c>
      <c r="H33" s="8" t="n">
        <v>0</v>
      </c>
      <c r="I33" s="7" t="inlineStr">
        <is>
          <t>Lengkap 192 bulan</t>
        </is>
      </c>
      <c r="J33" s="6" t="inlineStr">
        <is>
          <t>2025M12</t>
        </is>
      </c>
    </row>
    <row r="34" ht="19" customHeight="1">
      <c r="A34" s="6" t="inlineStr">
        <is>
          <t>Indonesia</t>
        </is>
      </c>
      <c r="B34" s="6" t="inlineStr">
        <is>
          <t>REER</t>
        </is>
      </c>
      <c r="C34" s="7" t="inlineStr">
        <is>
          <t>REER Cleaned (kurang)</t>
        </is>
      </c>
      <c r="D34" s="6" t="inlineStr">
        <is>
          <t>2010M01</t>
        </is>
      </c>
      <c r="E34" s="9" t="inlineStr"/>
      <c r="F34" s="8" t="n">
        <v>192</v>
      </c>
      <c r="G34" s="8" t="n">
        <v>0</v>
      </c>
      <c r="H34" s="8" t="n">
        <v>0</v>
      </c>
      <c r="I34" s="7" t="inlineStr">
        <is>
          <t>Lengkap 192 bulan</t>
        </is>
      </c>
      <c r="J34" s="6" t="inlineStr">
        <is>
          <t>2025M12</t>
        </is>
      </c>
    </row>
    <row r="35" ht="19" customHeight="1">
      <c r="A35" s="6" t="inlineStr">
        <is>
          <t>Malaysia</t>
        </is>
      </c>
      <c r="B35" s="6" t="inlineStr">
        <is>
          <t>REER</t>
        </is>
      </c>
      <c r="C35" s="7" t="inlineStr">
        <is>
          <t>REER Cleaned (kurang)</t>
        </is>
      </c>
      <c r="D35" s="6" t="inlineStr">
        <is>
          <t>2010M01</t>
        </is>
      </c>
      <c r="E35" s="9" t="inlineStr"/>
      <c r="F35" s="8" t="n">
        <v>192</v>
      </c>
      <c r="G35" s="8" t="n">
        <v>0</v>
      </c>
      <c r="H35" s="8" t="n">
        <v>0</v>
      </c>
      <c r="I35" s="7" t="inlineStr">
        <is>
          <t>Lengkap 192 bulan</t>
        </is>
      </c>
      <c r="J35" s="6" t="inlineStr">
        <is>
          <t>2025M12</t>
        </is>
      </c>
    </row>
    <row r="36" ht="19" customHeight="1">
      <c r="A36" s="6" t="inlineStr">
        <is>
          <t>Myanmar</t>
        </is>
      </c>
      <c r="B36" s="6" t="inlineStr">
        <is>
          <t>REER</t>
        </is>
      </c>
      <c r="C36" s="7" t="inlineStr">
        <is>
          <t>REER Cleaned (kurang)</t>
        </is>
      </c>
      <c r="D36" s="6" t="inlineStr">
        <is>
          <t>2010M01</t>
        </is>
      </c>
      <c r="E36" s="9" t="inlineStr"/>
      <c r="F36" s="8" t="n">
        <v>192</v>
      </c>
      <c r="G36" s="8" t="n">
        <v>27</v>
      </c>
      <c r="H36" s="8" t="n">
        <v>14.06</v>
      </c>
      <c r="I36" s="7" t="inlineStr">
        <is>
          <t>27 observasi awal (2010M01-2012M03) kosong sebelum float</t>
        </is>
      </c>
      <c r="J36" s="6" t="inlineStr">
        <is>
          <t>2025M12</t>
        </is>
      </c>
    </row>
    <row r="37" ht="19" customHeight="1">
      <c r="A37" s="6" t="inlineStr">
        <is>
          <t>Thailand</t>
        </is>
      </c>
      <c r="B37" s="6" t="inlineStr">
        <is>
          <t>REER</t>
        </is>
      </c>
      <c r="C37" s="7" t="inlineStr">
        <is>
          <t>REER Cleaned (kurang)</t>
        </is>
      </c>
      <c r="D37" s="6" t="inlineStr">
        <is>
          <t>2010M01</t>
        </is>
      </c>
      <c r="E37" s="9" t="inlineStr"/>
      <c r="F37" s="8" t="n">
        <v>192</v>
      </c>
      <c r="G37" s="8" t="n">
        <v>0</v>
      </c>
      <c r="H37" s="8" t="n">
        <v>0</v>
      </c>
      <c r="I37" s="7" t="inlineStr">
        <is>
          <t>Lengkap 192 bulan</t>
        </is>
      </c>
      <c r="J37" s="6" t="inlineStr">
        <is>
          <t>2025M12</t>
        </is>
      </c>
    </row>
    <row r="38" ht="19" customHeight="1">
      <c r="A38" s="6" t="inlineStr">
        <is>
          <t>Philipines</t>
        </is>
      </c>
      <c r="B38" s="6" t="inlineStr">
        <is>
          <t>REER</t>
        </is>
      </c>
      <c r="C38" s="7" t="inlineStr">
        <is>
          <t>REER Cleaned (kurang)</t>
        </is>
      </c>
      <c r="D38" s="6" t="inlineStr">
        <is>
          <t>2010M01</t>
        </is>
      </c>
      <c r="E38" s="9" t="inlineStr"/>
      <c r="F38" s="8" t="n">
        <v>192</v>
      </c>
      <c r="G38" s="8" t="n">
        <v>0</v>
      </c>
      <c r="H38" s="8" t="n">
        <v>0</v>
      </c>
      <c r="I38" s="7" t="inlineStr">
        <is>
          <t>Lengkap 192 bulan</t>
        </is>
      </c>
      <c r="J38" s="6" t="inlineStr">
        <is>
          <t>2025M12</t>
        </is>
      </c>
    </row>
    <row r="39" ht="19" customHeight="1">
      <c r="A39" s="6" t="inlineStr">
        <is>
          <t>Singapore</t>
        </is>
      </c>
      <c r="B39" s="6" t="inlineStr">
        <is>
          <t>REER</t>
        </is>
      </c>
      <c r="C39" s="7" t="inlineStr">
        <is>
          <t>REER Cleaned (kurang)</t>
        </is>
      </c>
      <c r="D39" s="6" t="inlineStr">
        <is>
          <t>2010M01</t>
        </is>
      </c>
      <c r="E39" s="9" t="inlineStr"/>
      <c r="F39" s="8" t="n">
        <v>192</v>
      </c>
      <c r="G39" s="8" t="n">
        <v>0</v>
      </c>
      <c r="H39" s="8" t="n">
        <v>0</v>
      </c>
      <c r="I39" s="7" t="inlineStr">
        <is>
          <t>Lengkap 192 bulan</t>
        </is>
      </c>
      <c r="J39" s="6" t="inlineStr">
        <is>
          <t>2025M12</t>
        </is>
      </c>
    </row>
    <row r="40" ht="19" customHeight="1">
      <c r="A40" s="6" t="inlineStr">
        <is>
          <t>Vietnam</t>
        </is>
      </c>
      <c r="B40" s="6" t="inlineStr">
        <is>
          <t>REER</t>
        </is>
      </c>
      <c r="C40" s="7" t="inlineStr">
        <is>
          <t>REER Cleaned (kurang)</t>
        </is>
      </c>
      <c r="D40" s="6" t="inlineStr">
        <is>
          <t>2010M01</t>
        </is>
      </c>
      <c r="E40" s="9" t="inlineStr"/>
      <c r="F40" s="8" t="n">
        <v>192</v>
      </c>
      <c r="G40" s="8" t="n">
        <v>0</v>
      </c>
      <c r="H40" s="8" t="n">
        <v>0</v>
      </c>
      <c r="I40" s="7" t="inlineStr">
        <is>
          <t>Lengkap 192 bulan</t>
        </is>
      </c>
      <c r="J40" s="6" t="inlineStr">
        <is>
          <t>2025M12</t>
        </is>
      </c>
    </row>
    <row r="41" ht="19" customHeight="1">
      <c r="A41" s="7" t="inlineStr">
        <is>
          <t>Laos (Lao PDR)</t>
        </is>
      </c>
      <c r="B41" s="6" t="inlineStr">
        <is>
          <t>REER</t>
        </is>
      </c>
      <c r="C41" s="7" t="inlineStr">
        <is>
          <t>REER Cleaned (kurang)</t>
        </is>
      </c>
      <c r="D41" s="6" t="inlineStr">
        <is>
          <t>2010M01</t>
        </is>
      </c>
      <c r="E41" s="9" t="inlineStr"/>
      <c r="F41" s="8" t="n">
        <v>192</v>
      </c>
      <c r="G41" s="8" t="n">
        <v>0</v>
      </c>
      <c r="H41" s="8" t="n">
        <v>0</v>
      </c>
      <c r="I41" s="7" t="inlineStr">
        <is>
          <t>Lengkap 192 bulan</t>
        </is>
      </c>
      <c r="J41" s="6" t="inlineStr">
        <is>
          <t>2025M12</t>
        </is>
      </c>
    </row>
  </sheetData>
  <autoFilter ref="A1:J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B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1" customWidth="1" min="20" max="20"/>
    <col width="11" customWidth="1" min="21" max="21"/>
    <col width="11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1" customWidth="1" min="117" max="117"/>
    <col width="11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1" customWidth="1" min="123" max="123"/>
    <col width="12" customWidth="1" min="124" max="124"/>
    <col width="12" customWidth="1" min="125" max="125"/>
    <col width="12" customWidth="1" min="126" max="126"/>
    <col width="11" customWidth="1" min="127" max="127"/>
    <col width="11" customWidth="1" min="128" max="128"/>
    <col width="12" customWidth="1" min="129" max="129"/>
    <col width="12" customWidth="1" min="130" max="130"/>
    <col width="11" customWidth="1" min="131" max="131"/>
    <col width="12" customWidth="1" min="132" max="132"/>
    <col width="12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  <col width="11" customWidth="1" min="148" max="148"/>
    <col width="11" customWidth="1" min="149" max="149"/>
    <col width="11" customWidth="1" min="150" max="150"/>
    <col width="11" customWidth="1" min="151" max="151"/>
    <col width="11" customWidth="1" min="152" max="152"/>
    <col width="11" customWidth="1" min="153" max="153"/>
    <col width="11" customWidth="1" min="154" max="154"/>
    <col width="11" customWidth="1" min="155" max="155"/>
    <col width="11" customWidth="1" min="156" max="156"/>
    <col width="11" customWidth="1" min="157" max="157"/>
    <col width="11" customWidth="1" min="158" max="158"/>
    <col width="11" customWidth="1" min="159" max="159"/>
    <col width="11" customWidth="1" min="160" max="160"/>
    <col width="11" customWidth="1" min="161" max="161"/>
    <col width="11" customWidth="1" min="162" max="162"/>
    <col width="11" customWidth="1" min="163" max="163"/>
    <col width="11" customWidth="1" min="164" max="164"/>
    <col width="11" customWidth="1" min="165" max="165"/>
    <col width="11" customWidth="1" min="166" max="166"/>
    <col width="11" customWidth="1" min="167" max="167"/>
    <col width="11" customWidth="1" min="168" max="168"/>
    <col width="11" customWidth="1" min="169" max="169"/>
    <col width="11" customWidth="1" min="170" max="170"/>
    <col width="11" customWidth="1" min="171" max="171"/>
    <col width="11" customWidth="1" min="172" max="172"/>
    <col width="11" customWidth="1" min="173" max="173"/>
    <col width="11" customWidth="1" min="174" max="174"/>
    <col width="11" customWidth="1" min="175" max="175"/>
    <col width="11" customWidth="1" min="176" max="176"/>
    <col width="11" customWidth="1" min="177" max="177"/>
    <col width="11" customWidth="1" min="178" max="178"/>
    <col width="11" customWidth="1" min="179" max="179"/>
    <col width="11" customWidth="1" min="180" max="180"/>
    <col width="11" customWidth="1" min="181" max="181"/>
    <col width="11" customWidth="1" min="182" max="182"/>
    <col width="11" customWidth="1" min="183" max="183"/>
    <col width="11" customWidth="1" min="184" max="184"/>
  </cols>
  <sheetData>
    <row r="1" ht="26" customHeight="1">
      <c r="A1" s="5" t="inlineStr">
        <is>
          <t>country</t>
        </is>
      </c>
      <c r="B1" s="5" t="inlineStr">
        <is>
          <t>201001</t>
        </is>
      </c>
      <c r="C1" s="5" t="inlineStr">
        <is>
          <t>201002</t>
        </is>
      </c>
      <c r="D1" s="5" t="inlineStr">
        <is>
          <t>201003</t>
        </is>
      </c>
      <c r="E1" s="5" t="inlineStr">
        <is>
          <t>201004</t>
        </is>
      </c>
      <c r="F1" s="5" t="inlineStr">
        <is>
          <t>201005</t>
        </is>
      </c>
      <c r="G1" s="5" t="inlineStr">
        <is>
          <t>201006</t>
        </is>
      </c>
      <c r="H1" s="5" t="inlineStr">
        <is>
          <t>201007</t>
        </is>
      </c>
      <c r="I1" s="5" t="inlineStr">
        <is>
          <t>201008</t>
        </is>
      </c>
      <c r="J1" s="5" t="inlineStr">
        <is>
          <t>201009</t>
        </is>
      </c>
      <c r="K1" s="5" t="inlineStr">
        <is>
          <t>201010</t>
        </is>
      </c>
      <c r="L1" s="5" t="inlineStr">
        <is>
          <t>201011</t>
        </is>
      </c>
      <c r="M1" s="5" t="inlineStr">
        <is>
          <t>201012</t>
        </is>
      </c>
      <c r="N1" s="5" t="inlineStr">
        <is>
          <t>201101</t>
        </is>
      </c>
      <c r="O1" s="5" t="inlineStr">
        <is>
          <t>201102</t>
        </is>
      </c>
      <c r="P1" s="5" t="inlineStr">
        <is>
          <t>201103</t>
        </is>
      </c>
      <c r="Q1" s="5" t="inlineStr">
        <is>
          <t>201104</t>
        </is>
      </c>
      <c r="R1" s="5" t="inlineStr">
        <is>
          <t>201105</t>
        </is>
      </c>
      <c r="S1" s="5" t="inlineStr">
        <is>
          <t>201106</t>
        </is>
      </c>
      <c r="T1" s="5" t="inlineStr">
        <is>
          <t>201107</t>
        </is>
      </c>
      <c r="U1" s="5" t="inlineStr">
        <is>
          <t>201108</t>
        </is>
      </c>
      <c r="V1" s="5" t="inlineStr">
        <is>
          <t>201109</t>
        </is>
      </c>
      <c r="W1" s="5" t="inlineStr">
        <is>
          <t>201110</t>
        </is>
      </c>
      <c r="X1" s="5" t="inlineStr">
        <is>
          <t>201111</t>
        </is>
      </c>
      <c r="Y1" s="5" t="inlineStr">
        <is>
          <t>201112</t>
        </is>
      </c>
      <c r="Z1" s="5" t="inlineStr">
        <is>
          <t>201201</t>
        </is>
      </c>
      <c r="AA1" s="5" t="inlineStr">
        <is>
          <t>201202</t>
        </is>
      </c>
      <c r="AB1" s="5" t="inlineStr">
        <is>
          <t>201203</t>
        </is>
      </c>
      <c r="AC1" s="5" t="inlineStr">
        <is>
          <t>201204</t>
        </is>
      </c>
      <c r="AD1" s="5" t="inlineStr">
        <is>
          <t>201205</t>
        </is>
      </c>
      <c r="AE1" s="5" t="inlineStr">
        <is>
          <t>201206</t>
        </is>
      </c>
      <c r="AF1" s="5" t="inlineStr">
        <is>
          <t>201207</t>
        </is>
      </c>
      <c r="AG1" s="5" t="inlineStr">
        <is>
          <t>201208</t>
        </is>
      </c>
      <c r="AH1" s="5" t="inlineStr">
        <is>
          <t>201209</t>
        </is>
      </c>
      <c r="AI1" s="5" t="inlineStr">
        <is>
          <t>201210</t>
        </is>
      </c>
      <c r="AJ1" s="5" t="inlineStr">
        <is>
          <t>201211</t>
        </is>
      </c>
      <c r="AK1" s="5" t="inlineStr">
        <is>
          <t>201212</t>
        </is>
      </c>
      <c r="AL1" s="5" t="inlineStr">
        <is>
          <t>201301</t>
        </is>
      </c>
      <c r="AM1" s="5" t="inlineStr">
        <is>
          <t>201302</t>
        </is>
      </c>
      <c r="AN1" s="5" t="inlineStr">
        <is>
          <t>201303</t>
        </is>
      </c>
      <c r="AO1" s="5" t="inlineStr">
        <is>
          <t>201304</t>
        </is>
      </c>
      <c r="AP1" s="5" t="inlineStr">
        <is>
          <t>201305</t>
        </is>
      </c>
      <c r="AQ1" s="5" t="inlineStr">
        <is>
          <t>201306</t>
        </is>
      </c>
      <c r="AR1" s="5" t="inlineStr">
        <is>
          <t>201307</t>
        </is>
      </c>
      <c r="AS1" s="5" t="inlineStr">
        <is>
          <t>201308</t>
        </is>
      </c>
      <c r="AT1" s="5" t="inlineStr">
        <is>
          <t>201309</t>
        </is>
      </c>
      <c r="AU1" s="5" t="inlineStr">
        <is>
          <t>201310</t>
        </is>
      </c>
      <c r="AV1" s="5" t="inlineStr">
        <is>
          <t>201311</t>
        </is>
      </c>
      <c r="AW1" s="5" t="inlineStr">
        <is>
          <t>201312</t>
        </is>
      </c>
      <c r="AX1" s="5" t="inlineStr">
        <is>
          <t>201401</t>
        </is>
      </c>
      <c r="AY1" s="5" t="inlineStr">
        <is>
          <t>201402</t>
        </is>
      </c>
      <c r="AZ1" s="5" t="inlineStr">
        <is>
          <t>201403</t>
        </is>
      </c>
      <c r="BA1" s="5" t="inlineStr">
        <is>
          <t>201404</t>
        </is>
      </c>
      <c r="BB1" s="5" t="inlineStr">
        <is>
          <t>201405</t>
        </is>
      </c>
      <c r="BC1" s="5" t="inlineStr">
        <is>
          <t>201406</t>
        </is>
      </c>
      <c r="BD1" s="5" t="inlineStr">
        <is>
          <t>201407</t>
        </is>
      </c>
      <c r="BE1" s="5" t="inlineStr">
        <is>
          <t>201408</t>
        </is>
      </c>
      <c r="BF1" s="5" t="inlineStr">
        <is>
          <t>201409</t>
        </is>
      </c>
      <c r="BG1" s="5" t="inlineStr">
        <is>
          <t>201410</t>
        </is>
      </c>
      <c r="BH1" s="5" t="inlineStr">
        <is>
          <t>201411</t>
        </is>
      </c>
      <c r="BI1" s="5" t="inlineStr">
        <is>
          <t>201412</t>
        </is>
      </c>
      <c r="BJ1" s="5" t="inlineStr">
        <is>
          <t>201501</t>
        </is>
      </c>
      <c r="BK1" s="5" t="inlineStr">
        <is>
          <t>201502</t>
        </is>
      </c>
      <c r="BL1" s="5" t="inlineStr">
        <is>
          <t>201503</t>
        </is>
      </c>
      <c r="BM1" s="5" t="inlineStr">
        <is>
          <t>201504</t>
        </is>
      </c>
      <c r="BN1" s="5" t="inlineStr">
        <is>
          <t>201505</t>
        </is>
      </c>
      <c r="BO1" s="5" t="inlineStr">
        <is>
          <t>201506</t>
        </is>
      </c>
      <c r="BP1" s="5" t="inlineStr">
        <is>
          <t>201507</t>
        </is>
      </c>
      <c r="BQ1" s="5" t="inlineStr">
        <is>
          <t>201508</t>
        </is>
      </c>
      <c r="BR1" s="5" t="inlineStr">
        <is>
          <t>201509</t>
        </is>
      </c>
      <c r="BS1" s="5" t="inlineStr">
        <is>
          <t>201510</t>
        </is>
      </c>
      <c r="BT1" s="5" t="inlineStr">
        <is>
          <t>201511</t>
        </is>
      </c>
      <c r="BU1" s="5" t="inlineStr">
        <is>
          <t>201512</t>
        </is>
      </c>
      <c r="BV1" s="5" t="inlineStr">
        <is>
          <t>201601</t>
        </is>
      </c>
      <c r="BW1" s="5" t="inlineStr">
        <is>
          <t>201602</t>
        </is>
      </c>
      <c r="BX1" s="5" t="inlineStr">
        <is>
          <t>201603</t>
        </is>
      </c>
      <c r="BY1" s="5" t="inlineStr">
        <is>
          <t>201604</t>
        </is>
      </c>
      <c r="BZ1" s="5" t="inlineStr">
        <is>
          <t>201605</t>
        </is>
      </c>
      <c r="CA1" s="5" t="inlineStr">
        <is>
          <t>201606</t>
        </is>
      </c>
      <c r="CB1" s="5" t="inlineStr">
        <is>
          <t>201607</t>
        </is>
      </c>
      <c r="CC1" s="5" t="inlineStr">
        <is>
          <t>201608</t>
        </is>
      </c>
      <c r="CD1" s="5" t="inlineStr">
        <is>
          <t>201609</t>
        </is>
      </c>
      <c r="CE1" s="5" t="inlineStr">
        <is>
          <t>201610</t>
        </is>
      </c>
      <c r="CF1" s="5" t="inlineStr">
        <is>
          <t>201611</t>
        </is>
      </c>
      <c r="CG1" s="5" t="inlineStr">
        <is>
          <t>201612</t>
        </is>
      </c>
      <c r="CH1" s="5" t="inlineStr">
        <is>
          <t>201701</t>
        </is>
      </c>
      <c r="CI1" s="5" t="inlineStr">
        <is>
          <t>201702</t>
        </is>
      </c>
      <c r="CJ1" s="5" t="inlineStr">
        <is>
          <t>201703</t>
        </is>
      </c>
      <c r="CK1" s="5" t="inlineStr">
        <is>
          <t>201704</t>
        </is>
      </c>
      <c r="CL1" s="5" t="inlineStr">
        <is>
          <t>201705</t>
        </is>
      </c>
      <c r="CM1" s="5" t="inlineStr">
        <is>
          <t>201706</t>
        </is>
      </c>
      <c r="CN1" s="5" t="inlineStr">
        <is>
          <t>201707</t>
        </is>
      </c>
      <c r="CO1" s="5" t="inlineStr">
        <is>
          <t>201708</t>
        </is>
      </c>
      <c r="CP1" s="5" t="inlineStr">
        <is>
          <t>201709</t>
        </is>
      </c>
      <c r="CQ1" s="5" t="inlineStr">
        <is>
          <t>201710</t>
        </is>
      </c>
      <c r="CR1" s="5" t="inlineStr">
        <is>
          <t>201711</t>
        </is>
      </c>
      <c r="CS1" s="5" t="inlineStr">
        <is>
          <t>201712</t>
        </is>
      </c>
      <c r="CT1" s="5" t="inlineStr">
        <is>
          <t>201801</t>
        </is>
      </c>
      <c r="CU1" s="5" t="inlineStr">
        <is>
          <t>201802</t>
        </is>
      </c>
      <c r="CV1" s="5" t="inlineStr">
        <is>
          <t>201803</t>
        </is>
      </c>
      <c r="CW1" s="5" t="inlineStr">
        <is>
          <t>201804</t>
        </is>
      </c>
      <c r="CX1" s="5" t="inlineStr">
        <is>
          <t>201805</t>
        </is>
      </c>
      <c r="CY1" s="5" t="inlineStr">
        <is>
          <t>201806</t>
        </is>
      </c>
      <c r="CZ1" s="5" t="inlineStr">
        <is>
          <t>201807</t>
        </is>
      </c>
      <c r="DA1" s="5" t="inlineStr">
        <is>
          <t>201808</t>
        </is>
      </c>
      <c r="DB1" s="5" t="inlineStr">
        <is>
          <t>201809</t>
        </is>
      </c>
      <c r="DC1" s="5" t="inlineStr">
        <is>
          <t>201810</t>
        </is>
      </c>
      <c r="DD1" s="5" t="inlineStr">
        <is>
          <t>201811</t>
        </is>
      </c>
      <c r="DE1" s="5" t="inlineStr">
        <is>
          <t>201812</t>
        </is>
      </c>
      <c r="DF1" s="5" t="inlineStr">
        <is>
          <t>201901</t>
        </is>
      </c>
      <c r="DG1" s="5" t="inlineStr">
        <is>
          <t>201902</t>
        </is>
      </c>
      <c r="DH1" s="5" t="inlineStr">
        <is>
          <t>201903</t>
        </is>
      </c>
      <c r="DI1" s="5" t="inlineStr">
        <is>
          <t>201904</t>
        </is>
      </c>
      <c r="DJ1" s="5" t="inlineStr">
        <is>
          <t>201905</t>
        </is>
      </c>
      <c r="DK1" s="5" t="inlineStr">
        <is>
          <t>201906</t>
        </is>
      </c>
      <c r="DL1" s="5" t="inlineStr">
        <is>
          <t>201907</t>
        </is>
      </c>
      <c r="DM1" s="5" t="inlineStr">
        <is>
          <t>201908</t>
        </is>
      </c>
      <c r="DN1" s="5" t="inlineStr">
        <is>
          <t>201909</t>
        </is>
      </c>
      <c r="DO1" s="5" t="inlineStr">
        <is>
          <t>201910</t>
        </is>
      </c>
      <c r="DP1" s="5" t="inlineStr">
        <is>
          <t>201911</t>
        </is>
      </c>
      <c r="DQ1" s="5" t="inlineStr">
        <is>
          <t>201912</t>
        </is>
      </c>
      <c r="DR1" s="5" t="inlineStr">
        <is>
          <t>202001</t>
        </is>
      </c>
      <c r="DS1" s="5" t="inlineStr">
        <is>
          <t>202002</t>
        </is>
      </c>
      <c r="DT1" s="5" t="inlineStr">
        <is>
          <t>202003</t>
        </is>
      </c>
      <c r="DU1" s="5" t="inlineStr">
        <is>
          <t>202004</t>
        </is>
      </c>
      <c r="DV1" s="5" t="inlineStr">
        <is>
          <t>202005</t>
        </is>
      </c>
      <c r="DW1" s="5" t="inlineStr">
        <is>
          <t>202006</t>
        </is>
      </c>
      <c r="DX1" s="5" t="inlineStr">
        <is>
          <t>202007</t>
        </is>
      </c>
      <c r="DY1" s="5" t="inlineStr">
        <is>
          <t>202008</t>
        </is>
      </c>
      <c r="DZ1" s="5" t="inlineStr">
        <is>
          <t>202009</t>
        </is>
      </c>
      <c r="EA1" s="5" t="inlineStr">
        <is>
          <t>202010</t>
        </is>
      </c>
      <c r="EB1" s="5" t="inlineStr">
        <is>
          <t>202011</t>
        </is>
      </c>
      <c r="EC1" s="5" t="inlineStr">
        <is>
          <t>202012</t>
        </is>
      </c>
      <c r="ED1" s="5" t="inlineStr">
        <is>
          <t>202101</t>
        </is>
      </c>
      <c r="EE1" s="5" t="inlineStr">
        <is>
          <t>202102</t>
        </is>
      </c>
      <c r="EF1" s="5" t="inlineStr">
        <is>
          <t>202103</t>
        </is>
      </c>
      <c r="EG1" s="5" t="inlineStr">
        <is>
          <t>202104</t>
        </is>
      </c>
      <c r="EH1" s="5" t="inlineStr">
        <is>
          <t>202105</t>
        </is>
      </c>
      <c r="EI1" s="5" t="inlineStr">
        <is>
          <t>202106</t>
        </is>
      </c>
      <c r="EJ1" s="5" t="inlineStr">
        <is>
          <t>202107</t>
        </is>
      </c>
      <c r="EK1" s="5" t="inlineStr">
        <is>
          <t>202108</t>
        </is>
      </c>
      <c r="EL1" s="5" t="inlineStr">
        <is>
          <t>202109</t>
        </is>
      </c>
      <c r="EM1" s="5" t="inlineStr">
        <is>
          <t>202110</t>
        </is>
      </c>
      <c r="EN1" s="5" t="inlineStr">
        <is>
          <t>202111</t>
        </is>
      </c>
      <c r="EO1" s="5" t="inlineStr">
        <is>
          <t>202112</t>
        </is>
      </c>
      <c r="EP1" s="5" t="inlineStr">
        <is>
          <t>202201</t>
        </is>
      </c>
      <c r="EQ1" s="5" t="inlineStr">
        <is>
          <t>202202</t>
        </is>
      </c>
      <c r="ER1" s="5" t="inlineStr">
        <is>
          <t>202203</t>
        </is>
      </c>
      <c r="ES1" s="5" t="inlineStr">
        <is>
          <t>202204</t>
        </is>
      </c>
      <c r="ET1" s="5" t="inlineStr">
        <is>
          <t>202205</t>
        </is>
      </c>
      <c r="EU1" s="5" t="inlineStr">
        <is>
          <t>202206</t>
        </is>
      </c>
      <c r="EV1" s="5" t="inlineStr">
        <is>
          <t>202207</t>
        </is>
      </c>
      <c r="EW1" s="5" t="inlineStr">
        <is>
          <t>202208</t>
        </is>
      </c>
      <c r="EX1" s="5" t="inlineStr">
        <is>
          <t>202209</t>
        </is>
      </c>
      <c r="EY1" s="5" t="inlineStr">
        <is>
          <t>202210</t>
        </is>
      </c>
      <c r="EZ1" s="5" t="inlineStr">
        <is>
          <t>202211</t>
        </is>
      </c>
      <c r="FA1" s="5" t="inlineStr">
        <is>
          <t>202212</t>
        </is>
      </c>
      <c r="FB1" s="5" t="inlineStr">
        <is>
          <t>202301</t>
        </is>
      </c>
      <c r="FC1" s="5" t="inlineStr">
        <is>
          <t>202302</t>
        </is>
      </c>
      <c r="FD1" s="5" t="inlineStr">
        <is>
          <t>202303</t>
        </is>
      </c>
      <c r="FE1" s="5" t="inlineStr">
        <is>
          <t>202304</t>
        </is>
      </c>
      <c r="FF1" s="5" t="inlineStr">
        <is>
          <t>202305</t>
        </is>
      </c>
      <c r="FG1" s="5" t="inlineStr">
        <is>
          <t>202306</t>
        </is>
      </c>
      <c r="FH1" s="5" t="inlineStr">
        <is>
          <t>202307</t>
        </is>
      </c>
      <c r="FI1" s="5" t="inlineStr">
        <is>
          <t>202308</t>
        </is>
      </c>
      <c r="FJ1" s="5" t="inlineStr">
        <is>
          <t>202309</t>
        </is>
      </c>
      <c r="FK1" s="5" t="inlineStr">
        <is>
          <t>202310</t>
        </is>
      </c>
      <c r="FL1" s="5" t="inlineStr">
        <is>
          <t>202311</t>
        </is>
      </c>
      <c r="FM1" s="5" t="inlineStr">
        <is>
          <t>202312</t>
        </is>
      </c>
      <c r="FN1" s="5" t="inlineStr">
        <is>
          <t>202401</t>
        </is>
      </c>
      <c r="FO1" s="5" t="inlineStr">
        <is>
          <t>202402</t>
        </is>
      </c>
      <c r="FP1" s="5" t="inlineStr">
        <is>
          <t>202403</t>
        </is>
      </c>
      <c r="FQ1" s="5" t="inlineStr">
        <is>
          <t>202404</t>
        </is>
      </c>
      <c r="FR1" s="5" t="inlineStr">
        <is>
          <t>202405</t>
        </is>
      </c>
      <c r="FS1" s="5" t="inlineStr">
        <is>
          <t>202406</t>
        </is>
      </c>
      <c r="FT1" s="5" t="inlineStr">
        <is>
          <t>202407</t>
        </is>
      </c>
      <c r="FU1" s="5" t="inlineStr">
        <is>
          <t>202408</t>
        </is>
      </c>
      <c r="FV1" s="5" t="inlineStr">
        <is>
          <t>202409</t>
        </is>
      </c>
      <c r="FW1" s="5" t="inlineStr">
        <is>
          <t>202410</t>
        </is>
      </c>
      <c r="FX1" s="5" t="inlineStr">
        <is>
          <t>202411</t>
        </is>
      </c>
      <c r="FY1" s="5" t="inlineStr">
        <is>
          <t>202412</t>
        </is>
      </c>
      <c r="FZ1" s="5" t="inlineStr">
        <is>
          <t>202501</t>
        </is>
      </c>
      <c r="GA1" s="5" t="inlineStr">
        <is>
          <t>202502</t>
        </is>
      </c>
      <c r="GB1" s="5" t="inlineStr">
        <is>
          <t>202503</t>
        </is>
      </c>
    </row>
    <row r="2" ht="19" customHeight="1">
      <c r="A2" s="6" t="inlineStr">
        <is>
          <t>Indonesia</t>
        </is>
      </c>
      <c r="B2" s="8" t="n">
        <v>73.73624</v>
      </c>
      <c r="C2" s="8" t="n">
        <v>73.96742999999999</v>
      </c>
      <c r="D2" s="8" t="n">
        <v>73.84872</v>
      </c>
      <c r="E2" s="8" t="n">
        <v>73.96119</v>
      </c>
      <c r="F2" s="8" t="n">
        <v>74.17363</v>
      </c>
      <c r="G2" s="8" t="n">
        <v>74.89218</v>
      </c>
      <c r="H2" s="8" t="n">
        <v>76.06686000000001</v>
      </c>
      <c r="I2" s="8" t="n">
        <v>76.64796</v>
      </c>
      <c r="J2" s="8" t="n">
        <v>76.98537</v>
      </c>
      <c r="K2" s="8" t="n">
        <v>77.03534999999999</v>
      </c>
      <c r="L2" s="8" t="n">
        <v>77.49773</v>
      </c>
      <c r="M2" s="8" t="n">
        <v>78.21003</v>
      </c>
      <c r="N2" s="8" t="n">
        <v>78.90984</v>
      </c>
      <c r="O2" s="8" t="n">
        <v>79.01607</v>
      </c>
      <c r="P2" s="8" t="n">
        <v>78.75988</v>
      </c>
      <c r="Q2" s="8" t="n">
        <v>78.5162</v>
      </c>
      <c r="R2" s="8" t="n">
        <v>78.60992</v>
      </c>
      <c r="S2" s="8" t="n">
        <v>79.04105</v>
      </c>
      <c r="T2" s="8" t="n">
        <v>79.57217</v>
      </c>
      <c r="U2" s="8" t="n">
        <v>80.31571</v>
      </c>
      <c r="V2" s="8" t="n">
        <v>80.53440000000001</v>
      </c>
      <c r="W2" s="8" t="n">
        <v>80.44068</v>
      </c>
      <c r="X2" s="8" t="n">
        <v>80.71561</v>
      </c>
      <c r="Y2" s="8" t="n">
        <v>81.17173</v>
      </c>
      <c r="Z2" s="8" t="n">
        <v>81.79031000000001</v>
      </c>
      <c r="AA2" s="8" t="n">
        <v>81.8278</v>
      </c>
      <c r="AB2" s="8" t="n">
        <v>81.88403</v>
      </c>
      <c r="AC2" s="8" t="n">
        <v>82.05274</v>
      </c>
      <c r="AD2" s="8" t="n">
        <v>82.10898</v>
      </c>
      <c r="AE2" s="8" t="n">
        <v>82.62134</v>
      </c>
      <c r="AF2" s="8" t="n">
        <v>83.20243000000001</v>
      </c>
      <c r="AG2" s="8" t="n">
        <v>83.99596</v>
      </c>
      <c r="AH2" s="8" t="n">
        <v>84.00846</v>
      </c>
      <c r="AI2" s="8" t="n">
        <v>84.14592</v>
      </c>
      <c r="AJ2" s="8" t="n">
        <v>84.20216000000001</v>
      </c>
      <c r="AK2" s="8" t="n">
        <v>84.65828999999999</v>
      </c>
      <c r="AL2" s="8" t="n">
        <v>85.1674</v>
      </c>
      <c r="AM2" s="8" t="n">
        <v>85.7653</v>
      </c>
      <c r="AN2" s="8" t="n">
        <v>86.1722</v>
      </c>
      <c r="AO2" s="8" t="n">
        <v>86.21372</v>
      </c>
      <c r="AP2" s="8" t="n">
        <v>86.29676000000001</v>
      </c>
      <c r="AQ2" s="8" t="n">
        <v>87.17700000000001</v>
      </c>
      <c r="AR2" s="8" t="n">
        <v>89.80942</v>
      </c>
      <c r="AS2" s="8" t="n">
        <v>90.69797</v>
      </c>
      <c r="AT2" s="8" t="n">
        <v>90.47375</v>
      </c>
      <c r="AU2" s="8" t="n">
        <v>90.63983</v>
      </c>
      <c r="AV2" s="8" t="n">
        <v>90.78931</v>
      </c>
      <c r="AW2" s="8" t="n">
        <v>91.19620999999999</v>
      </c>
      <c r="AX2" s="8" t="n">
        <v>92.1678</v>
      </c>
      <c r="AY2" s="8" t="n">
        <v>92.40862</v>
      </c>
      <c r="AZ2" s="8" t="n">
        <v>92.48336</v>
      </c>
      <c r="BA2" s="8" t="n">
        <v>92.46675</v>
      </c>
      <c r="BB2" s="8" t="n">
        <v>92.61623</v>
      </c>
      <c r="BC2" s="8" t="n">
        <v>93.01482</v>
      </c>
      <c r="BD2" s="8" t="n">
        <v>93.87846</v>
      </c>
      <c r="BE2" s="8" t="n">
        <v>94.31856999999999</v>
      </c>
      <c r="BF2" s="8" t="n">
        <v>94.57599999999999</v>
      </c>
      <c r="BG2" s="8" t="n">
        <v>95.01612</v>
      </c>
      <c r="BH2" s="8" t="n">
        <v>96.44444</v>
      </c>
      <c r="BI2" s="8" t="n">
        <v>98.81943</v>
      </c>
      <c r="BJ2" s="8" t="n">
        <v>98.57861</v>
      </c>
      <c r="BK2" s="8" t="n">
        <v>98.22153</v>
      </c>
      <c r="BL2" s="8" t="n">
        <v>98.38761</v>
      </c>
      <c r="BM2" s="8" t="n">
        <v>98.74469000000001</v>
      </c>
      <c r="BN2" s="8" t="n">
        <v>99.23463</v>
      </c>
      <c r="BO2" s="8" t="n">
        <v>99.76609999999999</v>
      </c>
      <c r="BP2" s="8" t="n">
        <v>100.6962</v>
      </c>
      <c r="BQ2" s="8" t="n">
        <v>101.0865</v>
      </c>
      <c r="BR2" s="8" t="n">
        <v>101.0366</v>
      </c>
      <c r="BS2" s="8" t="n">
        <v>100.9536</v>
      </c>
      <c r="BT2" s="8" t="n">
        <v>101.1612</v>
      </c>
      <c r="BU2" s="8" t="n">
        <v>102.1328</v>
      </c>
      <c r="BV2" s="8" t="n">
        <v>102.6559</v>
      </c>
      <c r="BW2" s="8" t="n">
        <v>102.5646</v>
      </c>
      <c r="BX2" s="8" t="n">
        <v>102.7639</v>
      </c>
      <c r="BY2" s="8" t="n">
        <v>102.2989</v>
      </c>
      <c r="BZ2" s="8" t="n">
        <v>102.5397</v>
      </c>
      <c r="CA2" s="8" t="n">
        <v>103.2123</v>
      </c>
      <c r="CB2" s="8" t="n">
        <v>103.9265</v>
      </c>
      <c r="CC2" s="8" t="n">
        <v>103.9099</v>
      </c>
      <c r="CD2" s="8" t="n">
        <v>104.1424</v>
      </c>
      <c r="CE2" s="8" t="n">
        <v>104.2919</v>
      </c>
      <c r="CF2" s="8" t="n">
        <v>104.7818</v>
      </c>
      <c r="CG2" s="8" t="n">
        <v>105.2219</v>
      </c>
      <c r="CH2" s="8" t="n">
        <v>106.2433</v>
      </c>
      <c r="CI2" s="8" t="n">
        <v>106.4925</v>
      </c>
      <c r="CJ2" s="8" t="n">
        <v>106.4759</v>
      </c>
      <c r="CK2" s="8" t="n">
        <v>106.5672</v>
      </c>
      <c r="CL2" s="8" t="n">
        <v>106.9824</v>
      </c>
      <c r="CM2" s="8" t="n">
        <v>107.7215</v>
      </c>
      <c r="CN2" s="8" t="n">
        <v>107.954</v>
      </c>
      <c r="CO2" s="8" t="n">
        <v>107.8793</v>
      </c>
      <c r="CP2" s="8" t="n">
        <v>108.0204</v>
      </c>
      <c r="CQ2" s="8" t="n">
        <v>108.0287</v>
      </c>
      <c r="CR2" s="8" t="n">
        <v>108.2446</v>
      </c>
      <c r="CS2" s="8" t="n">
        <v>109.0169</v>
      </c>
      <c r="CT2" s="8" t="n">
        <v>109.6979</v>
      </c>
      <c r="CU2" s="8" t="n">
        <v>109.8806</v>
      </c>
      <c r="CV2" s="8" t="n">
        <v>110.0965</v>
      </c>
      <c r="CW2" s="8" t="n">
        <v>110.2044</v>
      </c>
      <c r="CX2" s="8" t="n">
        <v>110.4369</v>
      </c>
      <c r="CY2" s="8" t="n">
        <v>111.0847</v>
      </c>
      <c r="CZ2" s="8" t="n">
        <v>111.3919</v>
      </c>
      <c r="DA2" s="8" t="n">
        <v>111.3338</v>
      </c>
      <c r="DB2" s="8" t="n">
        <v>111.1345</v>
      </c>
      <c r="DC2" s="8" t="n">
        <v>111.4417</v>
      </c>
      <c r="DD2" s="8" t="n">
        <v>111.7407</v>
      </c>
      <c r="DE2" s="8" t="n">
        <v>112.4299</v>
      </c>
      <c r="DF2" s="8" t="n">
        <v>112.7953</v>
      </c>
      <c r="DG2" s="8" t="n">
        <v>112.704</v>
      </c>
      <c r="DH2" s="8" t="n">
        <v>112.8285</v>
      </c>
      <c r="DI2" s="8" t="n">
        <v>113.3268</v>
      </c>
      <c r="DJ2" s="8" t="n">
        <v>114.0991</v>
      </c>
      <c r="DK2" s="8" t="n">
        <v>114.7302</v>
      </c>
      <c r="DL2" s="8" t="n">
        <v>115.0873</v>
      </c>
      <c r="DM2" s="8" t="n">
        <v>115.2201</v>
      </c>
      <c r="DN2" s="8" t="n">
        <v>114.9046</v>
      </c>
      <c r="DO2" s="8" t="n">
        <v>114.9295</v>
      </c>
      <c r="DP2" s="8" t="n">
        <v>115.0956</v>
      </c>
      <c r="DQ2" s="8" t="n">
        <v>115.4859</v>
      </c>
      <c r="DR2" s="8" t="n">
        <v>115.818</v>
      </c>
      <c r="DS2" s="8" t="n">
        <v>116.14</v>
      </c>
      <c r="DT2" s="8" t="n">
        <v>116.251</v>
      </c>
      <c r="DU2" s="8" t="n">
        <v>116.3398</v>
      </c>
      <c r="DV2" s="8" t="n">
        <v>116.4175</v>
      </c>
      <c r="DW2" s="8" t="n">
        <v>116.6284</v>
      </c>
      <c r="DX2" s="8" t="n">
        <v>116.5063</v>
      </c>
      <c r="DY2" s="8" t="n">
        <v>116.4508</v>
      </c>
      <c r="DZ2" s="8" t="n">
        <v>116.3953</v>
      </c>
      <c r="EA2" s="8" t="n">
        <v>116.473</v>
      </c>
      <c r="EB2" s="8" t="n">
        <v>116.7949</v>
      </c>
      <c r="EC2" s="8" t="n">
        <v>117.3167</v>
      </c>
      <c r="ED2" s="8" t="n">
        <v>117.6164</v>
      </c>
      <c r="EE2" s="8" t="n">
        <v>117.7385</v>
      </c>
      <c r="EF2" s="8" t="n">
        <v>117.8384</v>
      </c>
      <c r="EG2" s="8" t="n">
        <v>117.9939</v>
      </c>
      <c r="EH2" s="8" t="n">
        <v>118.3713</v>
      </c>
      <c r="EI2" s="8" t="n">
        <v>118.1826</v>
      </c>
      <c r="EJ2" s="8" t="n">
        <v>118.2714</v>
      </c>
      <c r="EK2" s="8" t="n">
        <v>118.3047</v>
      </c>
      <c r="EL2" s="8" t="n">
        <v>118.2603</v>
      </c>
      <c r="EM2" s="8" t="n">
        <v>118.4046</v>
      </c>
      <c r="EN2" s="8" t="n">
        <v>118.8375</v>
      </c>
      <c r="EO2" s="8" t="n">
        <v>119.5147</v>
      </c>
      <c r="EP2" s="8" t="n">
        <v>120.1808</v>
      </c>
      <c r="EQ2" s="8" t="n">
        <v>120.1586</v>
      </c>
      <c r="ER2" s="8" t="n">
        <v>120.9467</v>
      </c>
      <c r="ES2" s="8" t="n">
        <v>122.0902</v>
      </c>
      <c r="ET2" s="8" t="n">
        <v>122.5786</v>
      </c>
      <c r="EU2" s="8" t="n">
        <v>123.3224</v>
      </c>
      <c r="EV2" s="8" t="n">
        <v>124.1106</v>
      </c>
      <c r="EW2" s="8" t="n">
        <v>123.8552</v>
      </c>
      <c r="EX2" s="8" t="n">
        <v>125.2984</v>
      </c>
      <c r="EY2" s="8" t="n">
        <v>125.1652</v>
      </c>
      <c r="EZ2" s="8" t="n">
        <v>125.2762</v>
      </c>
      <c r="FA2" s="8" t="n">
        <v>126.0977</v>
      </c>
      <c r="FB2" s="8" t="n">
        <v>126.5306</v>
      </c>
      <c r="FC2" s="8" t="n">
        <v>126.7304</v>
      </c>
      <c r="FD2" s="8" t="n">
        <v>126.9525</v>
      </c>
      <c r="FE2" s="8" t="n">
        <v>127.3743</v>
      </c>
      <c r="FF2" s="8" t="n">
        <v>127.4853</v>
      </c>
      <c r="FG2" s="8" t="n">
        <v>127.6629</v>
      </c>
      <c r="FH2" s="8" t="n">
        <v>127.9294</v>
      </c>
      <c r="FI2" s="8" t="n">
        <v>127.9072</v>
      </c>
      <c r="FJ2" s="8" t="n">
        <v>128.1514</v>
      </c>
      <c r="FK2" s="8" t="n">
        <v>128.3734</v>
      </c>
      <c r="FL2" s="8" t="n">
        <v>128.8618</v>
      </c>
      <c r="FM2" s="8" t="n">
        <v>129.3947</v>
      </c>
      <c r="FN2" s="8" t="n">
        <v>129.4502</v>
      </c>
      <c r="FO2" s="8" t="n">
        <v>129.9302</v>
      </c>
      <c r="FP2" s="8" t="n">
        <v>130.607</v>
      </c>
      <c r="FQ2" s="8" t="n">
        <v>130.9393</v>
      </c>
      <c r="FR2" s="8" t="n">
        <v>130.9024</v>
      </c>
      <c r="FS2" s="8" t="n">
        <v>130.7916</v>
      </c>
      <c r="FT2" s="8" t="n">
        <v>130.5578</v>
      </c>
      <c r="FU2" s="8" t="n">
        <v>130.5209</v>
      </c>
      <c r="FV2" s="8" t="n">
        <v>130.3609</v>
      </c>
      <c r="FW2" s="8" t="n">
        <v>130.4593</v>
      </c>
      <c r="FX2" s="8" t="n">
        <v>130.8531</v>
      </c>
      <c r="FY2" s="8" t="n">
        <v>131.4315</v>
      </c>
      <c r="FZ2" s="8" t="n">
        <v>130.4347</v>
      </c>
      <c r="GA2" s="8" t="n">
        <v>129.8071</v>
      </c>
      <c r="GB2" s="8" t="n">
        <v>131.9484</v>
      </c>
    </row>
    <row r="3" ht="19" customHeight="1">
      <c r="A3" s="6" t="inlineStr">
        <is>
          <t>Malaysia</t>
        </is>
      </c>
      <c r="B3" s="8" t="n">
        <v>99.40000000000001</v>
      </c>
      <c r="C3" s="8" t="n">
        <v>99.40000000000001</v>
      </c>
      <c r="D3" s="8" t="n">
        <v>99.40000000000001</v>
      </c>
      <c r="E3" s="8" t="n">
        <v>99.40000000000001</v>
      </c>
      <c r="F3" s="8" t="n">
        <v>99.59999999999999</v>
      </c>
      <c r="G3" s="8" t="n">
        <v>99.7</v>
      </c>
      <c r="H3" s="8" t="n">
        <v>100</v>
      </c>
      <c r="I3" s="8" t="n">
        <v>100.3</v>
      </c>
      <c r="J3" s="8" t="n">
        <v>100.4</v>
      </c>
      <c r="K3" s="8" t="n">
        <v>100.6</v>
      </c>
      <c r="L3" s="8" t="n">
        <v>100.8</v>
      </c>
      <c r="M3" s="8" t="n">
        <v>101.2</v>
      </c>
      <c r="N3" s="8" t="n">
        <v>101.8</v>
      </c>
      <c r="O3" s="8" t="n">
        <v>102.3</v>
      </c>
      <c r="P3" s="8" t="n">
        <v>102.4</v>
      </c>
      <c r="Q3" s="8" t="n">
        <v>102.6</v>
      </c>
      <c r="R3" s="8" t="n">
        <v>102.9</v>
      </c>
      <c r="S3" s="8" t="n">
        <v>103.2</v>
      </c>
      <c r="T3" s="8" t="n">
        <v>103.4</v>
      </c>
      <c r="U3" s="8" t="n">
        <v>103.6</v>
      </c>
      <c r="V3" s="8" t="n">
        <v>103.8</v>
      </c>
      <c r="W3" s="8" t="n">
        <v>104</v>
      </c>
      <c r="X3" s="8" t="n">
        <v>104.1</v>
      </c>
      <c r="Y3" s="8" t="n">
        <v>104.2</v>
      </c>
      <c r="Z3" s="8" t="n">
        <v>104.5</v>
      </c>
      <c r="AA3" s="8" t="n">
        <v>104.5</v>
      </c>
      <c r="AB3" s="8" t="n">
        <v>104.5</v>
      </c>
      <c r="AC3" s="8" t="n">
        <v>104.5</v>
      </c>
      <c r="AD3" s="8" t="n">
        <v>104.7</v>
      </c>
      <c r="AE3" s="8" t="n">
        <v>104.8</v>
      </c>
      <c r="AF3" s="8" t="n">
        <v>104.8</v>
      </c>
      <c r="AG3" s="8" t="n">
        <v>105</v>
      </c>
      <c r="AH3" s="8" t="n">
        <v>105.2</v>
      </c>
      <c r="AI3" s="8" t="n">
        <v>105.4</v>
      </c>
      <c r="AJ3" s="8" t="n">
        <v>105.5</v>
      </c>
      <c r="AK3" s="8" t="n">
        <v>105.5</v>
      </c>
      <c r="AL3" s="8" t="n">
        <v>105.9</v>
      </c>
      <c r="AM3" s="8" t="n">
        <v>106.1</v>
      </c>
      <c r="AN3" s="8" t="n">
        <v>106.2</v>
      </c>
      <c r="AO3" s="8" t="n">
        <v>106.3</v>
      </c>
      <c r="AP3" s="8" t="n">
        <v>106.6</v>
      </c>
      <c r="AQ3" s="8" t="n">
        <v>106.7</v>
      </c>
      <c r="AR3" s="8" t="n">
        <v>106.9</v>
      </c>
      <c r="AS3" s="8" t="n">
        <v>107</v>
      </c>
      <c r="AT3" s="8" t="n">
        <v>107.9</v>
      </c>
      <c r="AU3" s="8" t="n">
        <v>108.3</v>
      </c>
      <c r="AV3" s="8" t="n">
        <v>108.6</v>
      </c>
      <c r="AW3" s="8" t="n">
        <v>108.9</v>
      </c>
      <c r="AX3" s="8" t="n">
        <v>109.5</v>
      </c>
      <c r="AY3" s="8" t="n">
        <v>109.8</v>
      </c>
      <c r="AZ3" s="8" t="n">
        <v>109.9</v>
      </c>
      <c r="BA3" s="8" t="n">
        <v>109.9</v>
      </c>
      <c r="BB3" s="8" t="n">
        <v>110</v>
      </c>
      <c r="BC3" s="8" t="n">
        <v>110.2</v>
      </c>
      <c r="BD3" s="8" t="n">
        <v>110.3</v>
      </c>
      <c r="BE3" s="8" t="n">
        <v>110.5</v>
      </c>
      <c r="BF3" s="8" t="n">
        <v>110.7</v>
      </c>
      <c r="BG3" s="8" t="n">
        <v>111.3</v>
      </c>
      <c r="BH3" s="8" t="n">
        <v>111.9</v>
      </c>
      <c r="BI3" s="8" t="n">
        <v>111.8</v>
      </c>
      <c r="BJ3" s="8" t="n">
        <v>110.6</v>
      </c>
      <c r="BK3" s="8" t="n">
        <v>109.9</v>
      </c>
      <c r="BL3" s="8" t="n">
        <v>110.9</v>
      </c>
      <c r="BM3" s="8" t="n">
        <v>111.9</v>
      </c>
      <c r="BN3" s="8" t="n">
        <v>112.3</v>
      </c>
      <c r="BO3" s="8" t="n">
        <v>113</v>
      </c>
      <c r="BP3" s="8" t="n">
        <v>113.9</v>
      </c>
      <c r="BQ3" s="8" t="n">
        <v>113.9</v>
      </c>
      <c r="BR3" s="8" t="n">
        <v>113.6</v>
      </c>
      <c r="BS3" s="8" t="n">
        <v>114.1</v>
      </c>
      <c r="BT3" s="8" t="n">
        <v>114.8</v>
      </c>
      <c r="BU3" s="8" t="n">
        <v>114.8</v>
      </c>
      <c r="BV3" s="8" t="n">
        <v>114.5</v>
      </c>
      <c r="BW3" s="8" t="n">
        <v>114.5</v>
      </c>
      <c r="BX3" s="8" t="n">
        <v>113.8</v>
      </c>
      <c r="BY3" s="8" t="n">
        <v>114.3</v>
      </c>
      <c r="BZ3" s="8" t="n">
        <v>114.6</v>
      </c>
      <c r="CA3" s="8" t="n">
        <v>114.8</v>
      </c>
      <c r="CB3" s="8" t="n">
        <v>115.1</v>
      </c>
      <c r="CC3" s="8" t="n">
        <v>115.6</v>
      </c>
      <c r="CD3" s="8" t="n">
        <v>115.3</v>
      </c>
      <c r="CE3" s="8" t="n">
        <v>115.7</v>
      </c>
      <c r="CF3" s="8" t="n">
        <v>116.9</v>
      </c>
      <c r="CG3" s="8" t="n">
        <v>116.9</v>
      </c>
      <c r="CH3" s="8" t="n">
        <v>118.2</v>
      </c>
      <c r="CI3" s="8" t="n">
        <v>119.7</v>
      </c>
      <c r="CJ3" s="8" t="n">
        <v>119.6</v>
      </c>
      <c r="CK3" s="8" t="n">
        <v>119.3</v>
      </c>
      <c r="CL3" s="8" t="n">
        <v>119.1</v>
      </c>
      <c r="CM3" s="8" t="n">
        <v>118.9</v>
      </c>
      <c r="CN3" s="8" t="n">
        <v>118.8</v>
      </c>
      <c r="CO3" s="8" t="n">
        <v>119.9</v>
      </c>
      <c r="CP3" s="8" t="n">
        <v>120.3</v>
      </c>
      <c r="CQ3" s="8" t="n">
        <v>120</v>
      </c>
      <c r="CR3" s="8" t="n">
        <v>120.8</v>
      </c>
      <c r="CS3" s="8" t="n">
        <v>120.9</v>
      </c>
      <c r="CT3" s="8" t="n">
        <v>121.3</v>
      </c>
      <c r="CU3" s="8" t="n">
        <v>121.3</v>
      </c>
      <c r="CV3" s="8" t="n">
        <v>120.9</v>
      </c>
      <c r="CW3" s="8" t="n">
        <v>120.9</v>
      </c>
      <c r="CX3" s="8" t="n">
        <v>121.1</v>
      </c>
      <c r="CY3" s="8" t="n">
        <v>119.6</v>
      </c>
      <c r="CZ3" s="8" t="n">
        <v>119.8</v>
      </c>
      <c r="DA3" s="8" t="n">
        <v>120</v>
      </c>
      <c r="DB3" s="8" t="n">
        <v>120.5</v>
      </c>
      <c r="DC3" s="8" t="n">
        <v>120.7</v>
      </c>
      <c r="DD3" s="8" t="n">
        <v>121</v>
      </c>
      <c r="DE3" s="8" t="n">
        <v>121.1</v>
      </c>
      <c r="DF3" s="8" t="n">
        <v>120.5</v>
      </c>
      <c r="DG3" s="8" t="n">
        <v>120.8</v>
      </c>
      <c r="DH3" s="8" t="n">
        <v>121.1</v>
      </c>
      <c r="DI3" s="8" t="n">
        <v>121.1</v>
      </c>
      <c r="DJ3" s="8" t="n">
        <v>121.4</v>
      </c>
      <c r="DK3" s="8" t="n">
        <v>121.4</v>
      </c>
      <c r="DL3" s="8" t="n">
        <v>121.5</v>
      </c>
      <c r="DM3" s="8" t="n">
        <v>121.8</v>
      </c>
      <c r="DN3" s="8" t="n">
        <v>121.8</v>
      </c>
      <c r="DO3" s="8" t="n">
        <v>122</v>
      </c>
      <c r="DP3" s="8" t="n">
        <v>122.1</v>
      </c>
      <c r="DQ3" s="8" t="n">
        <v>122.3</v>
      </c>
      <c r="DR3" s="8" t="n">
        <v>122.4</v>
      </c>
      <c r="DS3" s="8" t="n">
        <v>122.4</v>
      </c>
      <c r="DT3" s="8" t="n">
        <v>120.9</v>
      </c>
      <c r="DU3" s="8" t="n">
        <v>117.6</v>
      </c>
      <c r="DV3" s="8" t="n">
        <v>117.9</v>
      </c>
      <c r="DW3" s="8" t="n">
        <v>119.1</v>
      </c>
      <c r="DX3" s="8" t="n">
        <v>119.9</v>
      </c>
      <c r="DY3" s="8" t="n">
        <v>120.1</v>
      </c>
      <c r="DZ3" s="8" t="n">
        <v>120.1</v>
      </c>
      <c r="EA3" s="8" t="n">
        <v>120.2</v>
      </c>
      <c r="EB3" s="8" t="n">
        <v>120</v>
      </c>
      <c r="EC3" s="8" t="n">
        <v>120.6</v>
      </c>
      <c r="ED3" s="8" t="n">
        <v>122.1</v>
      </c>
      <c r="EE3" s="8" t="n">
        <v>122.5</v>
      </c>
      <c r="EF3" s="8" t="n">
        <v>122.9</v>
      </c>
      <c r="EG3" s="8" t="n">
        <v>123.1</v>
      </c>
      <c r="EH3" s="8" t="n">
        <v>123.1</v>
      </c>
      <c r="EI3" s="8" t="n">
        <v>123.2</v>
      </c>
      <c r="EJ3" s="8" t="n">
        <v>122.5</v>
      </c>
      <c r="EK3" s="8" t="n">
        <v>122.5</v>
      </c>
      <c r="EL3" s="8" t="n">
        <v>122.8</v>
      </c>
      <c r="EM3" s="8" t="n">
        <v>123.7</v>
      </c>
      <c r="EN3" s="8" t="n">
        <v>124</v>
      </c>
      <c r="EO3" s="8" t="n">
        <v>124.5</v>
      </c>
      <c r="EP3" s="8" t="n">
        <v>124.9</v>
      </c>
      <c r="EQ3" s="8" t="n">
        <v>125.2</v>
      </c>
      <c r="ER3" s="8" t="n">
        <v>125.6</v>
      </c>
      <c r="ES3" s="8" t="n">
        <v>125.9</v>
      </c>
      <c r="ET3" s="8" t="n">
        <v>126.6</v>
      </c>
      <c r="EU3" s="8" t="n">
        <v>127.4</v>
      </c>
      <c r="EV3" s="8" t="n">
        <v>127.9</v>
      </c>
      <c r="EW3" s="8" t="n">
        <v>128.2</v>
      </c>
      <c r="EX3" s="8" t="n">
        <v>128.3</v>
      </c>
      <c r="EY3" s="8" t="n">
        <v>128.6</v>
      </c>
      <c r="EZ3" s="8" t="n">
        <v>129</v>
      </c>
      <c r="FA3" s="8" t="n">
        <v>129.2</v>
      </c>
      <c r="FB3" s="8" t="n">
        <v>129.5</v>
      </c>
      <c r="FC3" s="8" t="n">
        <v>129.8</v>
      </c>
      <c r="FD3" s="8" t="n">
        <v>129.9</v>
      </c>
      <c r="FE3" s="8" t="n">
        <v>130</v>
      </c>
      <c r="FF3" s="8" t="n">
        <v>130.2</v>
      </c>
      <c r="FG3" s="8" t="n">
        <v>130.4</v>
      </c>
      <c r="FH3" s="8" t="n">
        <v>130.5</v>
      </c>
      <c r="FI3" s="8" t="n">
        <v>130.7</v>
      </c>
      <c r="FJ3" s="8" t="n">
        <v>130.8</v>
      </c>
      <c r="FK3" s="8" t="n">
        <v>130.9</v>
      </c>
      <c r="FL3" s="8" t="n">
        <v>130.9</v>
      </c>
      <c r="FM3" s="8" t="n">
        <v>131.2</v>
      </c>
      <c r="FN3" s="8" t="n">
        <v>131.4</v>
      </c>
      <c r="FO3" s="8" t="n">
        <v>132.1</v>
      </c>
      <c r="FP3" s="8" t="n">
        <v>132.2</v>
      </c>
      <c r="FQ3" s="8" t="n">
        <v>132.4</v>
      </c>
      <c r="FR3" s="8" t="n">
        <v>132.8</v>
      </c>
      <c r="FS3" s="8" t="n">
        <v>133</v>
      </c>
      <c r="FT3" s="8" t="n">
        <v>133.1</v>
      </c>
      <c r="FU3" s="8" t="n">
        <v>133.2</v>
      </c>
      <c r="FV3" s="8" t="n">
        <v>133.2</v>
      </c>
      <c r="FW3" s="8" t="n">
        <v>133.4</v>
      </c>
      <c r="FX3" s="8" t="n">
        <v>133.3</v>
      </c>
      <c r="FY3" s="8" t="n">
        <v>133.4</v>
      </c>
      <c r="FZ3" s="8" t="n">
        <v>133.6</v>
      </c>
      <c r="GA3" s="8" t="n">
        <v>134.1</v>
      </c>
      <c r="GB3" s="9" t="inlineStr"/>
    </row>
    <row r="4" ht="19" customHeight="1">
      <c r="A4" s="6" t="inlineStr">
        <is>
          <t>Brunei</t>
        </is>
      </c>
      <c r="B4" s="8" t="n">
        <v>99.9426728828341</v>
      </c>
      <c r="C4" s="8" t="n">
        <v>99.96699</v>
      </c>
      <c r="D4" s="8" t="n">
        <v>99.98976</v>
      </c>
      <c r="E4" s="8" t="n">
        <v>99.9648</v>
      </c>
      <c r="F4" s="8" t="n">
        <v>99.96097</v>
      </c>
      <c r="G4" s="8" t="n">
        <v>99.9158</v>
      </c>
      <c r="H4" s="8" t="n">
        <v>99.86903</v>
      </c>
      <c r="I4" s="8" t="n">
        <v>99.82485</v>
      </c>
      <c r="J4" s="8" t="n">
        <v>99.95563</v>
      </c>
      <c r="K4" s="8" t="n">
        <v>100.00939</v>
      </c>
      <c r="L4" s="8" t="n">
        <v>100.01862</v>
      </c>
      <c r="M4" s="8" t="n">
        <v>100.03216</v>
      </c>
      <c r="N4" s="8" t="n">
        <v>100.05567</v>
      </c>
      <c r="O4" s="8" t="n">
        <v>100.12071</v>
      </c>
      <c r="P4" s="8" t="n">
        <v>100.12779</v>
      </c>
      <c r="Q4" s="8" t="n">
        <v>100.09919</v>
      </c>
      <c r="R4" s="8" t="n">
        <v>100.14895</v>
      </c>
      <c r="S4" s="8" t="n">
        <v>100.07269</v>
      </c>
      <c r="T4" s="8" t="n">
        <v>99.98083</v>
      </c>
      <c r="U4" s="8" t="n">
        <v>99.89881</v>
      </c>
      <c r="V4" s="8" t="n">
        <v>100.0763</v>
      </c>
      <c r="W4" s="8" t="n">
        <v>100.18361</v>
      </c>
      <c r="X4" s="8" t="n">
        <v>100.14408</v>
      </c>
      <c r="Y4" s="8" t="n">
        <v>100.19622</v>
      </c>
      <c r="Z4" s="8" t="n">
        <v>100.24674</v>
      </c>
      <c r="AA4" s="8" t="n">
        <v>100.30029</v>
      </c>
      <c r="AB4" s="8" t="n">
        <v>100.27346</v>
      </c>
      <c r="AC4" s="8" t="n">
        <v>100.22767</v>
      </c>
      <c r="AD4" s="8" t="n">
        <v>100.21103</v>
      </c>
      <c r="AE4" s="8" t="n">
        <v>100.11875</v>
      </c>
      <c r="AF4" s="8" t="n">
        <v>100.06477</v>
      </c>
      <c r="AG4" s="8" t="n">
        <v>100.02521</v>
      </c>
      <c r="AH4" s="8" t="n">
        <v>100.19052</v>
      </c>
      <c r="AI4" s="8" t="n">
        <v>100.27102</v>
      </c>
      <c r="AJ4" s="8" t="n">
        <v>100.28382</v>
      </c>
      <c r="AK4" s="8" t="n">
        <v>100.234</v>
      </c>
      <c r="AL4" s="8" t="n">
        <v>100.33717</v>
      </c>
      <c r="AM4" s="8" t="n">
        <v>100.30477</v>
      </c>
      <c r="AN4" s="8" t="n">
        <v>100.37973</v>
      </c>
      <c r="AO4" s="8" t="n">
        <v>100.3455</v>
      </c>
      <c r="AP4" s="8" t="n">
        <v>100.34048</v>
      </c>
      <c r="AQ4" s="8" t="n">
        <v>100.31334</v>
      </c>
      <c r="AR4" s="8" t="n">
        <v>100.17264</v>
      </c>
      <c r="AS4" s="8" t="n">
        <v>101.0918</v>
      </c>
      <c r="AT4" s="8" t="n">
        <v>101.06645</v>
      </c>
      <c r="AU4" s="8" t="n">
        <v>101.04204</v>
      </c>
      <c r="AV4" s="8" t="n">
        <v>101.34187</v>
      </c>
      <c r="AW4" s="8" t="n">
        <v>100.39147</v>
      </c>
      <c r="AX4" s="8" t="n">
        <v>99.52109</v>
      </c>
      <c r="AY4" s="8" t="n">
        <v>100.34917</v>
      </c>
      <c r="AZ4" s="8" t="n">
        <v>100.2312</v>
      </c>
      <c r="BA4" s="8" t="n">
        <v>100.59134</v>
      </c>
      <c r="BB4" s="8" t="n">
        <v>100.13568</v>
      </c>
      <c r="BC4" s="8" t="n">
        <v>100.51541</v>
      </c>
      <c r="BD4" s="8" t="n">
        <v>99.92252000000001</v>
      </c>
      <c r="BE4" s="8" t="n">
        <v>100.77027</v>
      </c>
      <c r="BF4" s="8" t="n">
        <v>100.65304</v>
      </c>
      <c r="BG4" s="8" t="n">
        <v>100.27086</v>
      </c>
      <c r="BH4" s="8" t="n">
        <v>100.04083</v>
      </c>
      <c r="BI4" s="8" t="n">
        <v>101.62578</v>
      </c>
      <c r="BJ4" s="8" t="n">
        <v>100</v>
      </c>
      <c r="BK4" s="8" t="n">
        <v>99.46344000000001</v>
      </c>
      <c r="BL4" s="8" t="n">
        <v>99.96119</v>
      </c>
      <c r="BM4" s="8" t="n">
        <v>100.09513</v>
      </c>
      <c r="BN4" s="8" t="n">
        <v>99.81726</v>
      </c>
      <c r="BO4" s="8" t="n">
        <v>99.91609</v>
      </c>
      <c r="BP4" s="8" t="n">
        <v>99.60435</v>
      </c>
      <c r="BQ4" s="8" t="n">
        <v>100.12739</v>
      </c>
      <c r="BR4" s="8" t="n">
        <v>99.96686</v>
      </c>
      <c r="BS4" s="8" t="n">
        <v>99.57689000000001</v>
      </c>
      <c r="BT4" s="8" t="n">
        <v>100.00486</v>
      </c>
      <c r="BU4" s="8" t="n">
        <v>100.21097</v>
      </c>
      <c r="BV4" s="8" t="n">
        <v>99.37134</v>
      </c>
      <c r="BW4" s="8" t="n">
        <v>99.54459</v>
      </c>
      <c r="BX4" s="8" t="n">
        <v>100.11234</v>
      </c>
      <c r="BY4" s="8" t="n">
        <v>99.40611</v>
      </c>
      <c r="BZ4" s="8" t="n">
        <v>99.71464</v>
      </c>
      <c r="CA4" s="8" t="n">
        <v>99.53757</v>
      </c>
      <c r="CB4" s="8" t="n">
        <v>99.49393999999999</v>
      </c>
      <c r="CC4" s="8" t="n">
        <v>99.66157</v>
      </c>
      <c r="CD4" s="8" t="n">
        <v>99.56891</v>
      </c>
      <c r="CE4" s="8" t="n">
        <v>99.64407</v>
      </c>
      <c r="CF4" s="8" t="n">
        <v>99.76626</v>
      </c>
      <c r="CG4" s="8" t="n">
        <v>99.58226999999999</v>
      </c>
      <c r="CH4" s="8" t="n">
        <v>98.01886</v>
      </c>
      <c r="CI4" s="8" t="n">
        <v>98.35705</v>
      </c>
      <c r="CJ4" s="8" t="n">
        <v>98.43470000000001</v>
      </c>
      <c r="CK4" s="8" t="n">
        <v>98.11606999999999</v>
      </c>
      <c r="CL4" s="8" t="n">
        <v>98.42497</v>
      </c>
      <c r="CM4" s="8" t="n">
        <v>98.08275999999999</v>
      </c>
      <c r="CN4" s="8" t="n">
        <v>98.51287000000001</v>
      </c>
      <c r="CO4" s="8" t="n">
        <v>98.18114</v>
      </c>
      <c r="CP4" s="8" t="n">
        <v>98.4041</v>
      </c>
      <c r="CQ4" s="8" t="n">
        <v>98.44833</v>
      </c>
      <c r="CR4" s="8" t="n">
        <v>98.23050000000001</v>
      </c>
      <c r="CS4" s="8" t="n">
        <v>99.12412999999999</v>
      </c>
      <c r="CT4" s="8" t="n">
        <v>99.06889</v>
      </c>
      <c r="CU4" s="8" t="n">
        <v>99.34085</v>
      </c>
      <c r="CV4" s="8" t="n">
        <v>99.65269000000001</v>
      </c>
      <c r="CW4" s="8" t="n">
        <v>99.41164000000001</v>
      </c>
      <c r="CX4" s="8" t="n">
        <v>99.48099999999999</v>
      </c>
      <c r="CY4" s="8" t="n">
        <v>99.0996</v>
      </c>
      <c r="CZ4" s="8" t="n">
        <v>99.42322</v>
      </c>
      <c r="DA4" s="8" t="n">
        <v>99.46407000000001</v>
      </c>
      <c r="DB4" s="8" t="n">
        <v>99.67852000000001</v>
      </c>
      <c r="DC4" s="8" t="n">
        <v>99.40367000000001</v>
      </c>
      <c r="DD4" s="8" t="n">
        <v>99.29261</v>
      </c>
      <c r="DE4" s="8" t="n">
        <v>99.11776999999999</v>
      </c>
      <c r="DF4" s="8" t="n">
        <v>98.90715</v>
      </c>
      <c r="DG4" s="8" t="n">
        <v>99.08998</v>
      </c>
      <c r="DH4" s="8" t="n">
        <v>99.21519000000001</v>
      </c>
      <c r="DI4" s="8" t="n">
        <v>99.14713999999999</v>
      </c>
      <c r="DJ4" s="8" t="n">
        <v>98.43173</v>
      </c>
      <c r="DK4" s="8" t="n">
        <v>98.44105</v>
      </c>
      <c r="DL4" s="8" t="n">
        <v>98.90396</v>
      </c>
      <c r="DM4" s="8" t="n">
        <v>98.59999999999999</v>
      </c>
      <c r="DN4" s="8" t="n">
        <v>99.3</v>
      </c>
      <c r="DO4" s="8" t="n">
        <v>99.14291</v>
      </c>
      <c r="DP4" s="8" t="n">
        <v>99.20994</v>
      </c>
      <c r="DQ4" s="8" t="n">
        <v>99.38876</v>
      </c>
      <c r="DR4" s="8" t="n">
        <v>99.99463</v>
      </c>
      <c r="DS4" s="8" t="n">
        <v>100.5253</v>
      </c>
      <c r="DT4" s="8" t="n">
        <v>100.83291</v>
      </c>
      <c r="DU4" s="8" t="n">
        <v>101.07021</v>
      </c>
      <c r="DV4" s="8" t="n">
        <v>100.9</v>
      </c>
      <c r="DW4" s="8" t="n">
        <v>101</v>
      </c>
      <c r="DX4" s="8" t="n">
        <v>100.8653</v>
      </c>
      <c r="DY4" s="8" t="n">
        <v>100.71067</v>
      </c>
      <c r="DZ4" s="8" t="n">
        <v>100.81286</v>
      </c>
      <c r="EA4" s="8" t="n">
        <v>101.2721</v>
      </c>
      <c r="EB4" s="8" t="n">
        <v>101.46421</v>
      </c>
      <c r="EC4" s="8" t="n">
        <v>101.37641</v>
      </c>
      <c r="ED4" s="8" t="n">
        <v>101.8517</v>
      </c>
      <c r="EE4" s="8" t="n">
        <v>102.3258</v>
      </c>
      <c r="EF4" s="8" t="n">
        <v>102.6479</v>
      </c>
      <c r="EG4" s="8" t="n">
        <v>102.168</v>
      </c>
      <c r="EH4" s="8" t="n">
        <v>102.0342</v>
      </c>
      <c r="EI4" s="8" t="n">
        <v>102.6376</v>
      </c>
      <c r="EJ4" s="8" t="n">
        <v>102.3928</v>
      </c>
      <c r="EK4" s="8" t="n">
        <v>102.6264</v>
      </c>
      <c r="EL4" s="8" t="n">
        <v>103.0147</v>
      </c>
      <c r="EM4" s="8" t="n">
        <v>103.1259</v>
      </c>
      <c r="EN4" s="8" t="n">
        <v>103.3952</v>
      </c>
      <c r="EO4" s="8" t="n">
        <v>103.5929</v>
      </c>
      <c r="EP4" s="8" t="n">
        <v>104.7499</v>
      </c>
      <c r="EQ4" s="8" t="n">
        <v>105.557</v>
      </c>
      <c r="ER4" s="8" t="n">
        <v>106.5135</v>
      </c>
      <c r="ES4" s="8" t="n">
        <v>106.1998</v>
      </c>
      <c r="ET4" s="8" t="n">
        <v>105.8741</v>
      </c>
      <c r="EU4" s="8" t="n">
        <v>106.6909</v>
      </c>
      <c r="EV4" s="8" t="n">
        <v>106.5927</v>
      </c>
      <c r="EW4" s="8" t="n">
        <v>107.2235</v>
      </c>
      <c r="EX4" s="8" t="n">
        <v>107.4357</v>
      </c>
      <c r="EY4" s="8" t="n">
        <v>106.7423</v>
      </c>
      <c r="EZ4" s="8" t="n">
        <v>106.5904</v>
      </c>
      <c r="FA4" s="8" t="n">
        <v>107.0016</v>
      </c>
      <c r="FB4" s="8" t="n">
        <v>106.2638</v>
      </c>
      <c r="FC4" s="8" t="n">
        <v>106.7841</v>
      </c>
      <c r="FD4" s="8" t="n">
        <v>106.895</v>
      </c>
      <c r="FE4" s="8" t="n">
        <v>106.3793</v>
      </c>
      <c r="FF4" s="8" t="n">
        <v>106.677</v>
      </c>
      <c r="FG4" s="8" t="n">
        <v>106.921</v>
      </c>
      <c r="FH4" s="8" t="n">
        <v>106.6885</v>
      </c>
      <c r="FI4" s="8" t="n">
        <v>107.0729</v>
      </c>
      <c r="FJ4" s="8" t="n">
        <v>106.7095</v>
      </c>
      <c r="FK4" s="8" t="n">
        <v>106.8008</v>
      </c>
      <c r="FL4" s="8" t="n">
        <v>106.8174</v>
      </c>
      <c r="FM4" s="8" t="n">
        <v>107.7225</v>
      </c>
      <c r="FN4" s="8" t="n">
        <v>106.3692</v>
      </c>
      <c r="FO4" s="8" t="n">
        <v>106.2354</v>
      </c>
      <c r="FP4" s="8" t="n">
        <v>106.3395</v>
      </c>
      <c r="FQ4" s="8" t="n">
        <v>106.1964</v>
      </c>
      <c r="FR4" s="8" t="n">
        <v>106.5011</v>
      </c>
      <c r="FS4" s="8" t="n">
        <v>106.6112</v>
      </c>
      <c r="FT4" s="8" t="n">
        <v>106.2568</v>
      </c>
      <c r="FU4" s="8" t="n">
        <v>106.5465</v>
      </c>
      <c r="FV4" s="8" t="n">
        <v>106.2485</v>
      </c>
      <c r="FW4" s="8" t="n">
        <v>105.9521</v>
      </c>
      <c r="FX4" s="8" t="n">
        <v>106.2623</v>
      </c>
      <c r="FY4" s="8" t="n">
        <v>107.2312</v>
      </c>
      <c r="FZ4" s="8" t="n">
        <v>105.9495</v>
      </c>
      <c r="GA4" s="8" t="n">
        <v>106.2451</v>
      </c>
      <c r="GB4" s="9" t="inlineStr"/>
    </row>
    <row r="5" ht="19" customHeight="1">
      <c r="A5" s="6" t="inlineStr">
        <is>
          <t>Thailand</t>
        </is>
      </c>
      <c r="B5" s="8" t="n">
        <v>86.9165875432589</v>
      </c>
      <c r="C5" s="8" t="n">
        <v>87.40231</v>
      </c>
      <c r="D5" s="8" t="n">
        <v>87.60393000000001</v>
      </c>
      <c r="E5" s="8" t="n">
        <v>88.03466</v>
      </c>
      <c r="F5" s="8" t="n">
        <v>88.20878999999999</v>
      </c>
      <c r="G5" s="8" t="n">
        <v>88.4379</v>
      </c>
      <c r="H5" s="8" t="n">
        <v>88.57537000000001</v>
      </c>
      <c r="I5" s="8" t="n">
        <v>88.78616</v>
      </c>
      <c r="J5" s="8" t="n">
        <v>88.72199999999999</v>
      </c>
      <c r="K5" s="8" t="n">
        <v>88.74033</v>
      </c>
      <c r="L5" s="8" t="n">
        <v>88.93279</v>
      </c>
      <c r="M5" s="8" t="n">
        <v>89.07026</v>
      </c>
      <c r="N5" s="8" t="n">
        <v>89.55598000000001</v>
      </c>
      <c r="O5" s="8" t="n">
        <v>89.9134</v>
      </c>
      <c r="P5" s="8" t="n">
        <v>90.35329</v>
      </c>
      <c r="Q5" s="8" t="n">
        <v>91.59967</v>
      </c>
      <c r="R5" s="8" t="n">
        <v>91.91127</v>
      </c>
      <c r="S5" s="8" t="n">
        <v>92.03041</v>
      </c>
      <c r="T5" s="8" t="n">
        <v>92.19537</v>
      </c>
      <c r="U5" s="8" t="n">
        <v>92.59860999999999</v>
      </c>
      <c r="V5" s="8" t="n">
        <v>92.28701</v>
      </c>
      <c r="W5" s="8" t="n">
        <v>92.46114</v>
      </c>
      <c r="X5" s="8" t="n">
        <v>92.66276000000001</v>
      </c>
      <c r="Y5" s="8" t="n">
        <v>92.2137</v>
      </c>
      <c r="Z5" s="8" t="n">
        <v>92.58028</v>
      </c>
      <c r="AA5" s="8" t="n">
        <v>92.91937</v>
      </c>
      <c r="AB5" s="8" t="n">
        <v>93.46924</v>
      </c>
      <c r="AC5" s="8" t="n">
        <v>93.86332</v>
      </c>
      <c r="AD5" s="8" t="n">
        <v>94.2299</v>
      </c>
      <c r="AE5" s="8" t="n">
        <v>94.3857</v>
      </c>
      <c r="AF5" s="8" t="n">
        <v>94.71562</v>
      </c>
      <c r="AG5" s="8" t="n">
        <v>95.09137</v>
      </c>
      <c r="AH5" s="8" t="n">
        <v>95.40295999999999</v>
      </c>
      <c r="AI5" s="8" t="n">
        <v>95.53126</v>
      </c>
      <c r="AJ5" s="8" t="n">
        <v>95.19217999999999</v>
      </c>
      <c r="AK5" s="8" t="n">
        <v>95.55876000000001</v>
      </c>
      <c r="AL5" s="8" t="n">
        <v>95.71456000000001</v>
      </c>
      <c r="AM5" s="8" t="n">
        <v>95.91618</v>
      </c>
      <c r="AN5" s="8" t="n">
        <v>95.98033</v>
      </c>
      <c r="AO5" s="8" t="n">
        <v>96.13612000000001</v>
      </c>
      <c r="AP5" s="8" t="n">
        <v>96.36524</v>
      </c>
      <c r="AQ5" s="8" t="n">
        <v>96.51187</v>
      </c>
      <c r="AR5" s="8" t="n">
        <v>96.61268</v>
      </c>
      <c r="AS5" s="8" t="n">
        <v>96.60352</v>
      </c>
      <c r="AT5" s="8" t="n">
        <v>96.75931</v>
      </c>
      <c r="AU5" s="8" t="n">
        <v>96.92428</v>
      </c>
      <c r="AV5" s="8" t="n">
        <v>97.01591999999999</v>
      </c>
      <c r="AW5" s="8" t="n">
        <v>97.15339</v>
      </c>
      <c r="AX5" s="8" t="n">
        <v>97.56579000000001</v>
      </c>
      <c r="AY5" s="8" t="n">
        <v>97.79491</v>
      </c>
      <c r="AZ5" s="8" t="n">
        <v>98.00569</v>
      </c>
      <c r="BA5" s="8" t="n">
        <v>98.49141</v>
      </c>
      <c r="BB5" s="8" t="n">
        <v>98.88549</v>
      </c>
      <c r="BC5" s="8" t="n">
        <v>98.78467999999999</v>
      </c>
      <c r="BD5" s="8" t="n">
        <v>98.7022</v>
      </c>
      <c r="BE5" s="8" t="n">
        <v>98.61972</v>
      </c>
      <c r="BF5" s="8" t="n">
        <v>98.45475999999999</v>
      </c>
      <c r="BG5" s="8" t="n">
        <v>98.35395</v>
      </c>
      <c r="BH5" s="8" t="n">
        <v>98.23481</v>
      </c>
      <c r="BI5" s="8" t="n">
        <v>97.73992</v>
      </c>
      <c r="BJ5" s="8" t="n">
        <v>97.16255</v>
      </c>
      <c r="BK5" s="8" t="n">
        <v>97.28169</v>
      </c>
      <c r="BL5" s="8" t="n">
        <v>97.44665000000001</v>
      </c>
      <c r="BM5" s="8" t="n">
        <v>97.46498</v>
      </c>
      <c r="BN5" s="8" t="n">
        <v>97.62994999999999</v>
      </c>
      <c r="BO5" s="8" t="n">
        <v>97.73076</v>
      </c>
      <c r="BP5" s="8" t="n">
        <v>97.6666</v>
      </c>
      <c r="BQ5" s="8" t="n">
        <v>97.44665000000001</v>
      </c>
      <c r="BR5" s="8" t="n">
        <v>97.40083</v>
      </c>
      <c r="BS5" s="8" t="n">
        <v>97.59329</v>
      </c>
      <c r="BT5" s="8" t="n">
        <v>97.28169</v>
      </c>
      <c r="BU5" s="8" t="n">
        <v>96.90595</v>
      </c>
      <c r="BV5" s="8" t="n">
        <v>96.64934</v>
      </c>
      <c r="BW5" s="8" t="n">
        <v>96.79597</v>
      </c>
      <c r="BX5" s="8" t="n">
        <v>96.99759</v>
      </c>
      <c r="BY5" s="8" t="n">
        <v>97.52914</v>
      </c>
      <c r="BZ5" s="8" t="n">
        <v>98.07901</v>
      </c>
      <c r="CA5" s="8" t="n">
        <v>98.1065</v>
      </c>
      <c r="CB5" s="8" t="n">
        <v>97.76741</v>
      </c>
      <c r="CC5" s="8" t="n">
        <v>97.73076</v>
      </c>
      <c r="CD5" s="8" t="n">
        <v>97.76741</v>
      </c>
      <c r="CE5" s="8" t="n">
        <v>97.92321</v>
      </c>
      <c r="CF5" s="8" t="n">
        <v>97.86821999999999</v>
      </c>
      <c r="CG5" s="8" t="n">
        <v>97.99653000000001</v>
      </c>
      <c r="CH5" s="8" t="n">
        <v>98.14910999999999</v>
      </c>
      <c r="CI5" s="8" t="n">
        <v>98.18808</v>
      </c>
      <c r="CJ5" s="8" t="n">
        <v>97.73994999999999</v>
      </c>
      <c r="CK5" s="8" t="n">
        <v>97.89582</v>
      </c>
      <c r="CL5" s="8" t="n">
        <v>98.04195</v>
      </c>
      <c r="CM5" s="8" t="n">
        <v>98.06143</v>
      </c>
      <c r="CN5" s="8" t="n">
        <v>97.93479000000001</v>
      </c>
      <c r="CO5" s="8" t="n">
        <v>98.04195</v>
      </c>
      <c r="CP5" s="8" t="n">
        <v>98.60697999999999</v>
      </c>
      <c r="CQ5" s="8" t="n">
        <v>98.76285</v>
      </c>
      <c r="CR5" s="8" t="n">
        <v>98.83104</v>
      </c>
      <c r="CS5" s="8" t="n">
        <v>98.7531</v>
      </c>
      <c r="CT5" s="8" t="n">
        <v>98.82129999999999</v>
      </c>
      <c r="CU5" s="8" t="n">
        <v>98.59724</v>
      </c>
      <c r="CV5" s="8" t="n">
        <v>98.50955999999999</v>
      </c>
      <c r="CW5" s="8" t="n">
        <v>98.94794</v>
      </c>
      <c r="CX5" s="8" t="n">
        <v>99.50323</v>
      </c>
      <c r="CY5" s="8" t="n">
        <v>99.41555</v>
      </c>
      <c r="CZ5" s="8" t="n">
        <v>99.36277</v>
      </c>
      <c r="DA5" s="8" t="n">
        <v>99.62987</v>
      </c>
      <c r="DB5" s="8" t="n">
        <v>99.92213</v>
      </c>
      <c r="DC5" s="8" t="n">
        <v>99.98058</v>
      </c>
      <c r="DD5" s="8" t="n">
        <v>99.75651000000001</v>
      </c>
      <c r="DE5" s="8" t="n">
        <v>99.10381</v>
      </c>
      <c r="DF5" s="8" t="n">
        <v>99.08432999999999</v>
      </c>
      <c r="DG5" s="8" t="n">
        <v>99.31813</v>
      </c>
      <c r="DH5" s="8" t="n">
        <v>99.72729</v>
      </c>
      <c r="DI5" s="8" t="n">
        <v>100.16567</v>
      </c>
      <c r="DJ5" s="8" t="n">
        <v>100.64302</v>
      </c>
      <c r="DK5" s="8" t="n">
        <v>100.28257</v>
      </c>
      <c r="DL5" s="8" t="n">
        <v>100.34103</v>
      </c>
      <c r="DM5" s="8" t="n">
        <v>100.1462</v>
      </c>
      <c r="DN5" s="8" t="n">
        <v>100.2436</v>
      </c>
      <c r="DO5" s="8" t="n">
        <v>100.08774</v>
      </c>
      <c r="DP5" s="8" t="n">
        <v>99.96109</v>
      </c>
      <c r="DQ5" s="8" t="n">
        <v>99.97084</v>
      </c>
      <c r="DR5" s="8" t="n">
        <v>100.12671</v>
      </c>
      <c r="DS5" s="8" t="n">
        <v>100.0488</v>
      </c>
      <c r="DT5" s="8" t="n">
        <v>99.19149</v>
      </c>
      <c r="DU5" s="8" t="n">
        <v>97.17493</v>
      </c>
      <c r="DV5" s="8" t="n">
        <v>97.18467</v>
      </c>
      <c r="DW5" s="8" t="n">
        <v>98.70440000000001</v>
      </c>
      <c r="DX5" s="8" t="n">
        <v>99.3571</v>
      </c>
      <c r="DY5" s="8" t="n">
        <v>99.64935</v>
      </c>
      <c r="DZ5" s="8" t="n">
        <v>99.54219000000001</v>
      </c>
      <c r="EA5" s="8" t="n">
        <v>99.5909</v>
      </c>
      <c r="EB5" s="8" t="n">
        <v>99.55194</v>
      </c>
      <c r="EC5" s="8" t="n">
        <v>99.69806</v>
      </c>
      <c r="ED5" s="8" t="n">
        <v>99.79000000000001</v>
      </c>
      <c r="EE5" s="8" t="n">
        <v>98.88</v>
      </c>
      <c r="EF5" s="8" t="n">
        <v>99.11</v>
      </c>
      <c r="EG5" s="8" t="n">
        <v>100.48</v>
      </c>
      <c r="EH5" s="8" t="n">
        <v>99.55</v>
      </c>
      <c r="EI5" s="8" t="n">
        <v>99.93000000000001</v>
      </c>
      <c r="EJ5" s="8" t="n">
        <v>99.81</v>
      </c>
      <c r="EK5" s="8" t="n">
        <v>99.63</v>
      </c>
      <c r="EL5" s="8" t="n">
        <v>101.21</v>
      </c>
      <c r="EM5" s="8" t="n">
        <v>101.96</v>
      </c>
      <c r="EN5" s="8" t="n">
        <v>102.25</v>
      </c>
      <c r="EO5" s="8" t="n">
        <v>101.86</v>
      </c>
      <c r="EP5" s="8" t="n">
        <v>103.01</v>
      </c>
      <c r="EQ5" s="8" t="n">
        <v>104.1</v>
      </c>
      <c r="ER5" s="8" t="n">
        <v>104.79</v>
      </c>
      <c r="ES5" s="8" t="n">
        <v>105.15</v>
      </c>
      <c r="ET5" s="8" t="n">
        <v>106.62</v>
      </c>
      <c r="EU5" s="8" t="n">
        <v>107.58</v>
      </c>
      <c r="EV5" s="8" t="n">
        <v>107.41</v>
      </c>
      <c r="EW5" s="8" t="n">
        <v>107.46</v>
      </c>
      <c r="EX5" s="8" t="n">
        <v>107.7</v>
      </c>
      <c r="EY5" s="8" t="n">
        <v>108.06</v>
      </c>
      <c r="EZ5" s="8" t="n">
        <v>107.92</v>
      </c>
      <c r="FA5" s="8" t="n">
        <v>107.86</v>
      </c>
      <c r="FB5" s="8" t="n">
        <v>108.18</v>
      </c>
      <c r="FC5" s="8" t="n">
        <v>108.05</v>
      </c>
      <c r="FD5" s="8" t="n">
        <v>107.76</v>
      </c>
      <c r="FE5" s="8" t="n">
        <v>107.96</v>
      </c>
      <c r="FF5" s="8" t="n">
        <v>107.19</v>
      </c>
      <c r="FG5" s="8" t="n">
        <v>107.83</v>
      </c>
      <c r="FH5" s="8" t="n">
        <v>107.82</v>
      </c>
      <c r="FI5" s="8" t="n">
        <v>108.41</v>
      </c>
      <c r="FJ5" s="8" t="n">
        <v>108.02</v>
      </c>
      <c r="FK5" s="8" t="n">
        <v>107.72</v>
      </c>
      <c r="FL5" s="8" t="n">
        <v>107.45</v>
      </c>
      <c r="FM5" s="8" t="n">
        <v>106.96</v>
      </c>
      <c r="FN5" s="8" t="n">
        <v>106.98</v>
      </c>
      <c r="FO5" s="8" t="n">
        <v>107.22</v>
      </c>
      <c r="FP5" s="8" t="n">
        <v>107.25</v>
      </c>
      <c r="FQ5" s="8" t="n">
        <v>109.35</v>
      </c>
      <c r="FR5" s="8" t="n">
        <v>110.25</v>
      </c>
      <c r="FS5" s="8" t="n">
        <v>109.77</v>
      </c>
      <c r="FT5" s="8" t="n">
        <v>110.01</v>
      </c>
      <c r="FU5" s="8" t="n">
        <v>110.16</v>
      </c>
      <c r="FV5" s="8" t="n">
        <v>108.68</v>
      </c>
      <c r="FW5" s="9" t="inlineStr"/>
      <c r="FX5" s="9" t="inlineStr"/>
      <c r="FY5" s="9" t="inlineStr"/>
      <c r="FZ5" s="9" t="inlineStr"/>
      <c r="GA5" s="9" t="inlineStr"/>
      <c r="GB5" s="9" t="inlineStr"/>
    </row>
    <row r="6" ht="19" customHeight="1">
      <c r="A6" s="6" t="inlineStr">
        <is>
          <t>Singapore</t>
        </is>
      </c>
      <c r="B6" s="8" t="n">
        <v>85.682</v>
      </c>
      <c r="C6" s="8" t="n">
        <v>86.048</v>
      </c>
      <c r="D6" s="8" t="n">
        <v>86.11499999999999</v>
      </c>
      <c r="E6" s="8" t="n">
        <v>86.901</v>
      </c>
      <c r="F6" s="8" t="n">
        <v>87.402</v>
      </c>
      <c r="G6" s="8" t="n">
        <v>86.56699999999999</v>
      </c>
      <c r="H6" s="8" t="n">
        <v>87.676</v>
      </c>
      <c r="I6" s="8" t="n">
        <v>88.081</v>
      </c>
      <c r="J6" s="8" t="n">
        <v>88.129</v>
      </c>
      <c r="K6" s="8" t="n">
        <v>88.52500000000001</v>
      </c>
      <c r="L6" s="8" t="n">
        <v>88.818</v>
      </c>
      <c r="M6" s="8" t="n">
        <v>88.95399999999999</v>
      </c>
      <c r="N6" s="8" t="n">
        <v>90.405</v>
      </c>
      <c r="O6" s="8" t="n">
        <v>90.339</v>
      </c>
      <c r="P6" s="8" t="n">
        <v>90.458</v>
      </c>
      <c r="Q6" s="8" t="n">
        <v>90.774</v>
      </c>
      <c r="R6" s="8" t="n">
        <v>91.318</v>
      </c>
      <c r="S6" s="8" t="n">
        <v>91.10299999999999</v>
      </c>
      <c r="T6" s="8" t="n">
        <v>92.44799999999999</v>
      </c>
      <c r="U6" s="8" t="n">
        <v>93.11499999999999</v>
      </c>
      <c r="V6" s="8" t="n">
        <v>92.941</v>
      </c>
      <c r="W6" s="8" t="n">
        <v>93.322</v>
      </c>
      <c r="X6" s="8" t="n">
        <v>93.842</v>
      </c>
      <c r="Y6" s="8" t="n">
        <v>93.877</v>
      </c>
      <c r="Z6" s="8" t="n">
        <v>94.748</v>
      </c>
      <c r="AA6" s="8" t="n">
        <v>94.491</v>
      </c>
      <c r="AB6" s="8" t="n">
        <v>95.20699999999999</v>
      </c>
      <c r="AC6" s="8" t="n">
        <v>95.718</v>
      </c>
      <c r="AD6" s="8" t="n">
        <v>95.917</v>
      </c>
      <c r="AE6" s="8" t="n">
        <v>95.92400000000001</v>
      </c>
      <c r="AF6" s="8" t="n">
        <v>96.146</v>
      </c>
      <c r="AG6" s="8" t="n">
        <v>96.744</v>
      </c>
      <c r="AH6" s="8" t="n">
        <v>97.298</v>
      </c>
      <c r="AI6" s="8" t="n">
        <v>97.09999999999999</v>
      </c>
      <c r="AJ6" s="8" t="n">
        <v>97.22499999999999</v>
      </c>
      <c r="AK6" s="8" t="n">
        <v>97.93600000000001</v>
      </c>
      <c r="AL6" s="8" t="n">
        <v>98.121</v>
      </c>
      <c r="AM6" s="8" t="n">
        <v>99.107</v>
      </c>
      <c r="AN6" s="8" t="n">
        <v>98.574</v>
      </c>
      <c r="AO6" s="8" t="n">
        <v>97.11199999999999</v>
      </c>
      <c r="AP6" s="8" t="n">
        <v>97.45699999999999</v>
      </c>
      <c r="AQ6" s="8" t="n">
        <v>97.65600000000001</v>
      </c>
      <c r="AR6" s="8" t="n">
        <v>97.929</v>
      </c>
      <c r="AS6" s="8" t="n">
        <v>98.718</v>
      </c>
      <c r="AT6" s="8" t="n">
        <v>98.86499999999999</v>
      </c>
      <c r="AU6" s="8" t="n">
        <v>99.02</v>
      </c>
      <c r="AV6" s="8" t="n">
        <v>99.72</v>
      </c>
      <c r="AW6" s="8" t="n">
        <v>99.404</v>
      </c>
      <c r="AX6" s="8" t="n">
        <v>99.506</v>
      </c>
      <c r="AY6" s="8" t="n">
        <v>99.48399999999999</v>
      </c>
      <c r="AZ6" s="8" t="n">
        <v>99.749</v>
      </c>
      <c r="BA6" s="8" t="n">
        <v>99.342</v>
      </c>
      <c r="BB6" s="8" t="n">
        <v>99.676</v>
      </c>
      <c r="BC6" s="8" t="n">
        <v>99.508</v>
      </c>
      <c r="BD6" s="8" t="n">
        <v>99.21299999999999</v>
      </c>
      <c r="BE6" s="8" t="n">
        <v>99.742</v>
      </c>
      <c r="BF6" s="8" t="n">
        <v>99.553</v>
      </c>
      <c r="BG6" s="8" t="n">
        <v>99.255</v>
      </c>
      <c r="BH6" s="8" t="n">
        <v>99.441</v>
      </c>
      <c r="BI6" s="8" t="n">
        <v>99.328</v>
      </c>
      <c r="BJ6" s="8" t="n">
        <v>99.114</v>
      </c>
      <c r="BK6" s="8" t="n">
        <v>99.211</v>
      </c>
      <c r="BL6" s="8" t="n">
        <v>99.449</v>
      </c>
      <c r="BM6" s="8" t="n">
        <v>98.82899999999999</v>
      </c>
      <c r="BN6" s="8" t="n">
        <v>99.279</v>
      </c>
      <c r="BO6" s="8" t="n">
        <v>99.17100000000001</v>
      </c>
      <c r="BP6" s="8" t="n">
        <v>98.818</v>
      </c>
      <c r="BQ6" s="8" t="n">
        <v>98.911</v>
      </c>
      <c r="BR6" s="8" t="n">
        <v>98.91200000000001</v>
      </c>
      <c r="BS6" s="8" t="n">
        <v>98.48699999999999</v>
      </c>
      <c r="BT6" s="8" t="n">
        <v>98.684</v>
      </c>
      <c r="BU6" s="8" t="n">
        <v>98.693</v>
      </c>
      <c r="BV6" s="8" t="n">
        <v>98.476</v>
      </c>
      <c r="BW6" s="8" t="n">
        <v>98.375</v>
      </c>
      <c r="BX6" s="8" t="n">
        <v>98.416</v>
      </c>
      <c r="BY6" s="8" t="n">
        <v>98.36499999999999</v>
      </c>
      <c r="BZ6" s="8" t="n">
        <v>97.724</v>
      </c>
      <c r="CA6" s="8" t="n">
        <v>98.449</v>
      </c>
      <c r="CB6" s="8" t="n">
        <v>98.173</v>
      </c>
      <c r="CC6" s="8" t="n">
        <v>98.657</v>
      </c>
      <c r="CD6" s="8" t="n">
        <v>98.666</v>
      </c>
      <c r="CE6" s="8" t="n">
        <v>98.383</v>
      </c>
      <c r="CF6" s="8" t="n">
        <v>98.699</v>
      </c>
      <c r="CG6" s="8" t="n">
        <v>98.854</v>
      </c>
      <c r="CH6" s="8" t="n">
        <v>99.026</v>
      </c>
      <c r="CI6" s="8" t="n">
        <v>99.023</v>
      </c>
      <c r="CJ6" s="8" t="n">
        <v>99.06399999999999</v>
      </c>
      <c r="CK6" s="8" t="n">
        <v>98.762</v>
      </c>
      <c r="CL6" s="8" t="n">
        <v>99.098</v>
      </c>
      <c r="CM6" s="8" t="n">
        <v>98.956</v>
      </c>
      <c r="CN6" s="8" t="n">
        <v>98.726</v>
      </c>
      <c r="CO6" s="8" t="n">
        <v>99.056</v>
      </c>
      <c r="CP6" s="8" t="n">
        <v>99.036</v>
      </c>
      <c r="CQ6" s="8" t="n">
        <v>98.75</v>
      </c>
      <c r="CR6" s="8" t="n">
        <v>99.322</v>
      </c>
      <c r="CS6" s="8" t="n">
        <v>99.22499999999999</v>
      </c>
      <c r="CT6" s="8" t="n">
        <v>99.035</v>
      </c>
      <c r="CU6" s="8" t="n">
        <v>99.501</v>
      </c>
      <c r="CV6" s="8" t="n">
        <v>99.29900000000001</v>
      </c>
      <c r="CW6" s="8" t="n">
        <v>98.833</v>
      </c>
      <c r="CX6" s="8" t="n">
        <v>99.449</v>
      </c>
      <c r="CY6" s="8" t="n">
        <v>99.505</v>
      </c>
      <c r="CZ6" s="8" t="n">
        <v>99.35899999999999</v>
      </c>
      <c r="DA6" s="8" t="n">
        <v>99.77800000000001</v>
      </c>
      <c r="DB6" s="8" t="n">
        <v>99.753</v>
      </c>
      <c r="DC6" s="8" t="n">
        <v>99.447</v>
      </c>
      <c r="DD6" s="8" t="n">
        <v>99.61</v>
      </c>
      <c r="DE6" s="8" t="n">
        <v>99.68600000000001</v>
      </c>
      <c r="DF6" s="8" t="n">
        <v>99.387</v>
      </c>
      <c r="DG6" s="8" t="n">
        <v>99.953</v>
      </c>
      <c r="DH6" s="8" t="n">
        <v>99.97199999999999</v>
      </c>
      <c r="DI6" s="8" t="n">
        <v>99.753</v>
      </c>
      <c r="DJ6" s="8" t="n">
        <v>100.325</v>
      </c>
      <c r="DK6" s="8" t="n">
        <v>100.038</v>
      </c>
      <c r="DL6" s="8" t="n">
        <v>99.587</v>
      </c>
      <c r="DM6" s="8" t="n">
        <v>100.209</v>
      </c>
      <c r="DN6" s="8" t="n">
        <v>100.147</v>
      </c>
      <c r="DO6" s="8" t="n">
        <v>99.93000000000001</v>
      </c>
      <c r="DP6" s="8" t="n">
        <v>100.254</v>
      </c>
      <c r="DQ6" s="8" t="n">
        <v>100.445</v>
      </c>
      <c r="DR6" s="8" t="n">
        <v>100.204</v>
      </c>
      <c r="DS6" s="8" t="n">
        <v>100.279</v>
      </c>
      <c r="DT6" s="8" t="n">
        <v>99.93300000000001</v>
      </c>
      <c r="DU6" s="8" t="n">
        <v>99.012</v>
      </c>
      <c r="DV6" s="8" t="n">
        <v>99.48</v>
      </c>
      <c r="DW6" s="8" t="n">
        <v>99.5</v>
      </c>
      <c r="DX6" s="8" t="n">
        <v>99.178</v>
      </c>
      <c r="DY6" s="8" t="n">
        <v>99.807</v>
      </c>
      <c r="DZ6" s="8" t="n">
        <v>100.139</v>
      </c>
      <c r="EA6" s="8" t="n">
        <v>99.711</v>
      </c>
      <c r="EB6" s="8" t="n">
        <v>100.105</v>
      </c>
      <c r="EC6" s="8" t="n">
        <v>100.469</v>
      </c>
      <c r="ED6" s="8" t="n">
        <v>100.44</v>
      </c>
      <c r="EE6" s="8" t="n">
        <v>101.015</v>
      </c>
      <c r="EF6" s="8" t="n">
        <v>101.239</v>
      </c>
      <c r="EG6" s="8" t="n">
        <v>101.07</v>
      </c>
      <c r="EH6" s="8" t="n">
        <v>101.883</v>
      </c>
      <c r="EI6" s="8" t="n">
        <v>101.87</v>
      </c>
      <c r="EJ6" s="8" t="n">
        <v>101.672</v>
      </c>
      <c r="EK6" s="8" t="n">
        <v>102.231</v>
      </c>
      <c r="EL6" s="8" t="n">
        <v>102.657</v>
      </c>
      <c r="EM6" s="8" t="n">
        <v>102.95</v>
      </c>
      <c r="EN6" s="8" t="n">
        <v>103.959</v>
      </c>
      <c r="EO6" s="8" t="n">
        <v>104.439</v>
      </c>
      <c r="EP6" s="8" t="n">
        <v>104.472</v>
      </c>
      <c r="EQ6" s="8" t="n">
        <v>105.379</v>
      </c>
      <c r="ER6" s="8" t="n">
        <v>106.691</v>
      </c>
      <c r="ES6" s="8" t="n">
        <v>106.547</v>
      </c>
      <c r="ET6" s="8" t="n">
        <v>107.598</v>
      </c>
      <c r="EU6" s="8" t="n">
        <v>108.671</v>
      </c>
      <c r="EV6" s="8" t="n">
        <v>108.836</v>
      </c>
      <c r="EW6" s="8" t="n">
        <v>109.863</v>
      </c>
      <c r="EX6" s="8" t="n">
        <v>110.339</v>
      </c>
      <c r="EY6" s="8" t="n">
        <v>109.893</v>
      </c>
      <c r="EZ6" s="8" t="n">
        <v>110.959</v>
      </c>
      <c r="FA6" s="8" t="n">
        <v>111.186</v>
      </c>
      <c r="FB6" s="8" t="n">
        <v>111.397</v>
      </c>
      <c r="FC6" s="8" t="n">
        <v>112.019</v>
      </c>
      <c r="FD6" s="8" t="n">
        <v>112.583</v>
      </c>
      <c r="FE6" s="8" t="n">
        <v>112.669</v>
      </c>
      <c r="FF6" s="8" t="n">
        <v>113.034</v>
      </c>
      <c r="FG6" s="8" t="n">
        <v>113.576</v>
      </c>
      <c r="FH6" s="8" t="n">
        <v>113.309</v>
      </c>
      <c r="FI6" s="8" t="n">
        <v>114.303</v>
      </c>
      <c r="FJ6" s="8" t="n">
        <v>114.88</v>
      </c>
      <c r="FK6" s="8" t="n">
        <v>115.111</v>
      </c>
      <c r="FL6" s="8" t="n">
        <v>114.91</v>
      </c>
      <c r="FM6" s="8" t="n">
        <v>115.343</v>
      </c>
      <c r="FN6" s="8" t="n">
        <v>114.572</v>
      </c>
      <c r="FO6" s="8" t="n">
        <v>115.772</v>
      </c>
      <c r="FP6" s="8" t="n">
        <v>115.662</v>
      </c>
      <c r="FQ6" s="8" t="n">
        <v>115.764</v>
      </c>
      <c r="FR6" s="8" t="n">
        <v>116.574</v>
      </c>
      <c r="FS6" s="8" t="n">
        <v>116.323</v>
      </c>
      <c r="FT6" s="8" t="n">
        <v>116.028</v>
      </c>
      <c r="FU6" s="8" t="n">
        <v>116.829</v>
      </c>
      <c r="FV6" s="8" t="n">
        <v>117.123</v>
      </c>
      <c r="FW6" s="8" t="n">
        <v>116.756</v>
      </c>
      <c r="FX6" s="8" t="n">
        <v>116.792</v>
      </c>
      <c r="FY6" s="8" t="n">
        <v>117.197</v>
      </c>
      <c r="FZ6" s="9" t="inlineStr"/>
      <c r="GA6" s="9" t="inlineStr"/>
      <c r="GB6" s="9" t="inlineStr"/>
    </row>
    <row r="7" ht="19" customHeight="1">
      <c r="A7" s="6" t="inlineStr">
        <is>
          <t>Vietnam</t>
        </is>
      </c>
      <c r="B7" s="8" t="n">
        <v>58.5422727834129</v>
      </c>
      <c r="C7" s="8" t="n">
        <v>59.6897</v>
      </c>
      <c r="D7" s="8" t="n">
        <v>60.13737</v>
      </c>
      <c r="E7" s="8" t="n">
        <v>60.22157</v>
      </c>
      <c r="F7" s="8" t="n">
        <v>60.38416</v>
      </c>
      <c r="G7" s="8" t="n">
        <v>60.51701</v>
      </c>
      <c r="H7" s="8" t="n">
        <v>60.55332</v>
      </c>
      <c r="I7" s="8" t="n">
        <v>60.69259</v>
      </c>
      <c r="J7" s="8" t="n">
        <v>61.48767</v>
      </c>
      <c r="K7" s="8" t="n">
        <v>62.13329</v>
      </c>
      <c r="L7" s="8" t="n">
        <v>63.28897</v>
      </c>
      <c r="M7" s="8" t="n">
        <v>64.54209</v>
      </c>
      <c r="N7" s="8" t="n">
        <v>65.66512</v>
      </c>
      <c r="O7" s="8" t="n">
        <v>67.03752</v>
      </c>
      <c r="P7" s="8" t="n">
        <v>68.49223000000001</v>
      </c>
      <c r="Q7" s="8" t="n">
        <v>70.76618000000001</v>
      </c>
      <c r="R7" s="8" t="n">
        <v>72.33011</v>
      </c>
      <c r="S7" s="8" t="n">
        <v>73.11851</v>
      </c>
      <c r="T7" s="8" t="n">
        <v>73.97399</v>
      </c>
      <c r="U7" s="8" t="n">
        <v>74.66195</v>
      </c>
      <c r="V7" s="8" t="n">
        <v>75.27418</v>
      </c>
      <c r="W7" s="8" t="n">
        <v>75.54517</v>
      </c>
      <c r="X7" s="8" t="n">
        <v>75.83978999999999</v>
      </c>
      <c r="Y7" s="8" t="n">
        <v>76.24173999999999</v>
      </c>
      <c r="Z7" s="8" t="n">
        <v>77.00416</v>
      </c>
      <c r="AA7" s="8" t="n">
        <v>78.05911999999999</v>
      </c>
      <c r="AB7" s="8" t="n">
        <v>78.18401</v>
      </c>
      <c r="AC7" s="8" t="n">
        <v>78.2231</v>
      </c>
      <c r="AD7" s="8" t="n">
        <v>78.36391</v>
      </c>
      <c r="AE7" s="8" t="n">
        <v>78.16016</v>
      </c>
      <c r="AF7" s="8" t="n">
        <v>77.9335</v>
      </c>
      <c r="AG7" s="8" t="n">
        <v>78.42448</v>
      </c>
      <c r="AH7" s="8" t="n">
        <v>80.14982000000001</v>
      </c>
      <c r="AI7" s="8" t="n">
        <v>80.83109</v>
      </c>
      <c r="AJ7" s="8" t="n">
        <v>81.21099</v>
      </c>
      <c r="AK7" s="8" t="n">
        <v>81.43026</v>
      </c>
      <c r="AL7" s="8" t="n">
        <v>82.44814</v>
      </c>
      <c r="AM7" s="8" t="n">
        <v>83.53646000000001</v>
      </c>
      <c r="AN7" s="8" t="n">
        <v>83.37774</v>
      </c>
      <c r="AO7" s="8" t="n">
        <v>83.39440999999999</v>
      </c>
      <c r="AP7" s="8" t="n">
        <v>83.34438</v>
      </c>
      <c r="AQ7" s="8" t="n">
        <v>83.38605</v>
      </c>
      <c r="AR7" s="8" t="n">
        <v>83.61118999999999</v>
      </c>
      <c r="AS7" s="8" t="n">
        <v>84.30517</v>
      </c>
      <c r="AT7" s="8" t="n">
        <v>85.19880000000001</v>
      </c>
      <c r="AU7" s="8" t="n">
        <v>85.61627</v>
      </c>
      <c r="AV7" s="8" t="n">
        <v>85.90737</v>
      </c>
      <c r="AW7" s="8" t="n">
        <v>86.3455</v>
      </c>
      <c r="AX7" s="8" t="n">
        <v>86.94128000000001</v>
      </c>
      <c r="AY7" s="8" t="n">
        <v>87.41946</v>
      </c>
      <c r="AZ7" s="8" t="n">
        <v>87.03480999999999</v>
      </c>
      <c r="BA7" s="8" t="n">
        <v>87.10444</v>
      </c>
      <c r="BB7" s="8" t="n">
        <v>87.27865</v>
      </c>
      <c r="BC7" s="8" t="n">
        <v>87.54049000000001</v>
      </c>
      <c r="BD7" s="8" t="n">
        <v>87.74182999999999</v>
      </c>
      <c r="BE7" s="8" t="n">
        <v>87.93486</v>
      </c>
      <c r="BF7" s="8" t="n">
        <v>88.28660000000001</v>
      </c>
      <c r="BG7" s="8" t="n">
        <v>88.38372</v>
      </c>
      <c r="BH7" s="8" t="n">
        <v>88.14507999999999</v>
      </c>
      <c r="BI7" s="8" t="n">
        <v>87.93353</v>
      </c>
      <c r="BJ7" s="8" t="n">
        <v>87.75766</v>
      </c>
      <c r="BK7" s="8" t="n">
        <v>87.71379</v>
      </c>
      <c r="BL7" s="8" t="n">
        <v>87.84536</v>
      </c>
      <c r="BM7" s="8" t="n">
        <v>87.96834</v>
      </c>
      <c r="BN7" s="8" t="n">
        <v>88.10908999999999</v>
      </c>
      <c r="BO7" s="8" t="n">
        <v>88.41746999999999</v>
      </c>
      <c r="BP7" s="8" t="n">
        <v>88.53241</v>
      </c>
      <c r="BQ7" s="8" t="n">
        <v>88.47044</v>
      </c>
      <c r="BR7" s="8" t="n">
        <v>88.28465</v>
      </c>
      <c r="BS7" s="8" t="n">
        <v>88.38177</v>
      </c>
      <c r="BT7" s="8" t="n">
        <v>88.44381</v>
      </c>
      <c r="BU7" s="8" t="n">
        <v>88.45858</v>
      </c>
      <c r="BV7" s="8" t="n">
        <v>88.45699</v>
      </c>
      <c r="BW7" s="8" t="n">
        <v>88.8278</v>
      </c>
      <c r="BX7" s="8" t="n">
        <v>89.33367</v>
      </c>
      <c r="BY7" s="8" t="n">
        <v>89.63276</v>
      </c>
      <c r="BZ7" s="8" t="n">
        <v>90.11750000000001</v>
      </c>
      <c r="CA7" s="8" t="n">
        <v>90.53609</v>
      </c>
      <c r="CB7" s="8" t="n">
        <v>90.65197999999999</v>
      </c>
      <c r="CC7" s="8" t="n">
        <v>90.74481</v>
      </c>
      <c r="CD7" s="8" t="n">
        <v>91.23764</v>
      </c>
      <c r="CE7" s="8" t="n">
        <v>91.99656</v>
      </c>
      <c r="CF7" s="8" t="n">
        <v>92.43877999999999</v>
      </c>
      <c r="CG7" s="8" t="n">
        <v>92.64908</v>
      </c>
      <c r="CH7" s="8" t="n">
        <v>93.07192999999999</v>
      </c>
      <c r="CI7" s="8" t="n">
        <v>93.28953</v>
      </c>
      <c r="CJ7" s="8" t="n">
        <v>93.48358</v>
      </c>
      <c r="CK7" s="8" t="n">
        <v>93.48657</v>
      </c>
      <c r="CL7" s="8" t="n">
        <v>92.99348000000001</v>
      </c>
      <c r="CM7" s="8" t="n">
        <v>92.83437000000001</v>
      </c>
      <c r="CN7" s="8" t="n">
        <v>92.93621</v>
      </c>
      <c r="CO7" s="8" t="n">
        <v>93.78861999999999</v>
      </c>
      <c r="CP7" s="8" t="n">
        <v>94.34394</v>
      </c>
      <c r="CQ7" s="8" t="n">
        <v>94.73415</v>
      </c>
      <c r="CR7" s="8" t="n">
        <v>94.85872000000001</v>
      </c>
      <c r="CS7" s="8" t="n">
        <v>95.05450999999999</v>
      </c>
      <c r="CT7" s="8" t="n">
        <v>95.53748</v>
      </c>
      <c r="CU7" s="8" t="n">
        <v>96.23223</v>
      </c>
      <c r="CV7" s="8" t="n">
        <v>95.97327</v>
      </c>
      <c r="CW7" s="8" t="n">
        <v>96.05331</v>
      </c>
      <c r="CX7" s="8" t="n">
        <v>96.58016000000001</v>
      </c>
      <c r="CY7" s="8" t="n">
        <v>97.16785</v>
      </c>
      <c r="CZ7" s="8" t="n">
        <v>97.07982</v>
      </c>
      <c r="DA7" s="8" t="n">
        <v>97.51872</v>
      </c>
      <c r="DB7" s="8" t="n">
        <v>98.09748999999999</v>
      </c>
      <c r="DC7" s="8" t="n">
        <v>98.42278</v>
      </c>
      <c r="DD7" s="8" t="n">
        <v>98.13893</v>
      </c>
      <c r="DE7" s="8" t="n">
        <v>97.88995</v>
      </c>
      <c r="DF7" s="8" t="n">
        <v>97.98608</v>
      </c>
      <c r="DG7" s="8" t="n">
        <v>98.77154</v>
      </c>
      <c r="DH7" s="8" t="n">
        <v>98.56451</v>
      </c>
      <c r="DI7" s="8" t="n">
        <v>98.86977</v>
      </c>
      <c r="DJ7" s="8" t="n">
        <v>99.35719</v>
      </c>
      <c r="DK7" s="8" t="n">
        <v>99.26559</v>
      </c>
      <c r="DL7" s="8" t="n">
        <v>99.44584999999999</v>
      </c>
      <c r="DM7" s="8" t="n">
        <v>99.7244</v>
      </c>
      <c r="DN7" s="8" t="n">
        <v>100.0388</v>
      </c>
      <c r="DO7" s="8" t="n">
        <v>100.62416</v>
      </c>
      <c r="DP7" s="8" t="n">
        <v>101.59277</v>
      </c>
      <c r="DQ7" s="8" t="n">
        <v>103.01405</v>
      </c>
      <c r="DR7" s="8" t="n">
        <v>104.28401</v>
      </c>
      <c r="DS7" s="8" t="n">
        <v>104.1099</v>
      </c>
      <c r="DT7" s="8" t="n">
        <v>103.36318</v>
      </c>
      <c r="DU7" s="8" t="n">
        <v>101.76839</v>
      </c>
      <c r="DV7" s="8" t="n">
        <v>101.73765</v>
      </c>
      <c r="DW7" s="8" t="n">
        <v>102.4075</v>
      </c>
      <c r="DX7" s="8" t="n">
        <v>102.8164</v>
      </c>
      <c r="DY7" s="8" t="n">
        <v>102.8928</v>
      </c>
      <c r="DZ7" s="8" t="n">
        <v>103.0209</v>
      </c>
      <c r="EA7" s="8" t="n">
        <v>103.1094</v>
      </c>
      <c r="EB7" s="8" t="n">
        <v>103.10074</v>
      </c>
      <c r="EC7" s="8" t="n">
        <v>103.20672</v>
      </c>
      <c r="ED7" s="8" t="n">
        <v>103.2711</v>
      </c>
      <c r="EE7" s="8" t="n">
        <v>104.8389</v>
      </c>
      <c r="EF7" s="8" t="n">
        <v>104.5582</v>
      </c>
      <c r="EG7" s="8" t="n">
        <v>104.5182</v>
      </c>
      <c r="EH7" s="8" t="n">
        <v>104.6837</v>
      </c>
      <c r="EI7" s="8" t="n">
        <v>104.8799</v>
      </c>
      <c r="EJ7" s="8" t="n">
        <v>105.5327</v>
      </c>
      <c r="EK7" s="8" t="n">
        <v>105.7943</v>
      </c>
      <c r="EL7" s="8" t="n">
        <v>105.1431</v>
      </c>
      <c r="EM7" s="8" t="n">
        <v>104.9296</v>
      </c>
      <c r="EN7" s="8" t="n">
        <v>105.2663</v>
      </c>
      <c r="EO7" s="8" t="n">
        <v>105.0752</v>
      </c>
      <c r="EP7" s="8" t="n">
        <v>105.2765</v>
      </c>
      <c r="EQ7" s="8" t="n">
        <v>106.3318</v>
      </c>
      <c r="ER7" s="8" t="n">
        <v>107.0779</v>
      </c>
      <c r="ES7" s="8" t="n">
        <v>107.2753</v>
      </c>
      <c r="ET7" s="8" t="n">
        <v>107.6807</v>
      </c>
      <c r="EU7" s="8" t="n">
        <v>108.4188</v>
      </c>
      <c r="EV7" s="8" t="n">
        <v>108.8474</v>
      </c>
      <c r="EW7" s="8" t="n">
        <v>108.8528</v>
      </c>
      <c r="EX7" s="8" t="n">
        <v>109.2862</v>
      </c>
      <c r="EY7" s="8" t="n">
        <v>109.4448</v>
      </c>
      <c r="EZ7" s="8" t="n">
        <v>109.8686</v>
      </c>
      <c r="FA7" s="8" t="n">
        <v>109.8549</v>
      </c>
      <c r="FB7" s="8" t="n">
        <v>110.421</v>
      </c>
      <c r="FC7" s="8" t="n">
        <v>110.9166</v>
      </c>
      <c r="FD7" s="8" t="n">
        <v>110.6661</v>
      </c>
      <c r="FE7" s="8" t="n">
        <v>110.287</v>
      </c>
      <c r="FF7" s="8" t="n">
        <v>110.2953</v>
      </c>
      <c r="FG7" s="8" t="n">
        <v>110.5902</v>
      </c>
      <c r="FH7" s="8" t="n">
        <v>111.0932</v>
      </c>
      <c r="FI7" s="8" t="n">
        <v>112.072</v>
      </c>
      <c r="FJ7" s="8" t="n">
        <v>113.2823</v>
      </c>
      <c r="FK7" s="8" t="n">
        <v>113.3754</v>
      </c>
      <c r="FL7" s="8" t="n">
        <v>113.6572</v>
      </c>
      <c r="FM7" s="8" t="n">
        <v>113.7888</v>
      </c>
      <c r="FN7" s="8" t="n">
        <v>114.1431</v>
      </c>
      <c r="FO7" s="8" t="n">
        <v>115.3271</v>
      </c>
      <c r="FP7" s="8" t="n">
        <v>115.0589</v>
      </c>
      <c r="FQ7" s="8" t="n">
        <v>115.143</v>
      </c>
      <c r="FR7" s="8" t="n">
        <v>115.197</v>
      </c>
      <c r="FS7" s="8" t="n">
        <v>115.3874</v>
      </c>
      <c r="FT7" s="8" t="n">
        <v>115.9358</v>
      </c>
      <c r="FU7" s="8" t="n">
        <v>115.935</v>
      </c>
      <c r="FV7" s="8" t="n">
        <v>116.2655</v>
      </c>
      <c r="FW7" s="8" t="n">
        <v>116.6528</v>
      </c>
      <c r="FX7" s="8" t="n">
        <v>116.8016</v>
      </c>
      <c r="FY7" s="8" t="n">
        <v>117.1367</v>
      </c>
      <c r="FZ7" s="8" t="n">
        <v>118.286</v>
      </c>
      <c r="GA7" s="8" t="n">
        <v>118.6868</v>
      </c>
      <c r="GB7" s="8" t="n">
        <v>118.6558</v>
      </c>
    </row>
    <row r="8" ht="19" customHeight="1">
      <c r="A8" s="6" t="inlineStr">
        <is>
          <t>Laos</t>
        </is>
      </c>
      <c r="B8" s="8" t="n">
        <v>76.4338849582016</v>
      </c>
      <c r="C8" s="8" t="n">
        <v>76.6407</v>
      </c>
      <c r="D8" s="8" t="n">
        <v>77.13439</v>
      </c>
      <c r="E8" s="8" t="n">
        <v>77.71549</v>
      </c>
      <c r="F8" s="8" t="n">
        <v>78.0921</v>
      </c>
      <c r="G8" s="8" t="n">
        <v>78.46862</v>
      </c>
      <c r="H8" s="8" t="n">
        <v>80.52238</v>
      </c>
      <c r="I8" s="8" t="n">
        <v>81.44459000000001</v>
      </c>
      <c r="J8" s="8" t="n">
        <v>81.73103999999999</v>
      </c>
      <c r="K8" s="8" t="n">
        <v>81.71329</v>
      </c>
      <c r="L8" s="8" t="n">
        <v>80.76652</v>
      </c>
      <c r="M8" s="8" t="n">
        <v>80.4605</v>
      </c>
      <c r="N8" s="8" t="n">
        <v>81.05831000000001</v>
      </c>
      <c r="O8" s="8" t="n">
        <v>81.74272999999999</v>
      </c>
      <c r="P8" s="8" t="n">
        <v>83.08487</v>
      </c>
      <c r="Q8" s="8" t="n">
        <v>84.88849</v>
      </c>
      <c r="R8" s="8" t="n">
        <v>85.70853</v>
      </c>
      <c r="S8" s="8" t="n">
        <v>85.93253</v>
      </c>
      <c r="T8" s="8" t="n">
        <v>86.25644</v>
      </c>
      <c r="U8" s="8" t="n">
        <v>86.56493</v>
      </c>
      <c r="V8" s="8" t="n">
        <v>86.9098</v>
      </c>
      <c r="W8" s="8" t="n">
        <v>87.14644</v>
      </c>
      <c r="X8" s="8" t="n">
        <v>87.16845000000001</v>
      </c>
      <c r="Y8" s="8" t="n">
        <v>86.6524</v>
      </c>
      <c r="Z8" s="8" t="n">
        <v>86.47732000000001</v>
      </c>
      <c r="AA8" s="8" t="n">
        <v>86.73341000000001</v>
      </c>
      <c r="AB8" s="8" t="n">
        <v>87.51291000000001</v>
      </c>
      <c r="AC8" s="8" t="n">
        <v>88.60039</v>
      </c>
      <c r="AD8" s="8" t="n">
        <v>88.93941</v>
      </c>
      <c r="AE8" s="8" t="n">
        <v>88.98927999999999</v>
      </c>
      <c r="AF8" s="8" t="n">
        <v>88.77276000000001</v>
      </c>
      <c r="AG8" s="8" t="n">
        <v>89.4704</v>
      </c>
      <c r="AH8" s="8" t="n">
        <v>90.09524999999999</v>
      </c>
      <c r="AI8" s="8" t="n">
        <v>90.2038</v>
      </c>
      <c r="AJ8" s="8" t="n">
        <v>90.10037</v>
      </c>
      <c r="AK8" s="8" t="n">
        <v>90.75342000000001</v>
      </c>
      <c r="AL8" s="8" t="n">
        <v>91.40346</v>
      </c>
      <c r="AM8" s="8" t="n">
        <v>91.96709</v>
      </c>
      <c r="AN8" s="8" t="n">
        <v>92.59093</v>
      </c>
      <c r="AO8" s="8" t="n">
        <v>93.43244</v>
      </c>
      <c r="AP8" s="8" t="n">
        <v>94.00884000000001</v>
      </c>
      <c r="AQ8" s="8" t="n">
        <v>94.55728999999999</v>
      </c>
      <c r="AR8" s="8" t="n">
        <v>95.37177</v>
      </c>
      <c r="AS8" s="8" t="n">
        <v>95.57984999999999</v>
      </c>
      <c r="AT8" s="8" t="n">
        <v>96.28198999999999</v>
      </c>
      <c r="AU8" s="8" t="n">
        <v>96.26912</v>
      </c>
      <c r="AV8" s="8" t="n">
        <v>96.35775</v>
      </c>
      <c r="AW8" s="8" t="n">
        <v>96.78892999999999</v>
      </c>
      <c r="AX8" s="8" t="n">
        <v>96.8798</v>
      </c>
      <c r="AY8" s="8" t="n">
        <v>97.16947999999999</v>
      </c>
      <c r="AZ8" s="8" t="n">
        <v>97.51714</v>
      </c>
      <c r="BA8" s="8" t="n">
        <v>98.33647000000001</v>
      </c>
      <c r="BB8" s="8" t="n">
        <v>98.45603</v>
      </c>
      <c r="BC8" s="8" t="n">
        <v>98.5808</v>
      </c>
      <c r="BD8" s="8" t="n">
        <v>98.90321</v>
      </c>
      <c r="BE8" s="8" t="n">
        <v>99.03606000000001</v>
      </c>
      <c r="BF8" s="8" t="n">
        <v>99.21456000000001</v>
      </c>
      <c r="BG8" s="8" t="n">
        <v>99.18725000000001</v>
      </c>
      <c r="BH8" s="8" t="n">
        <v>99.06825000000001</v>
      </c>
      <c r="BI8" s="8" t="n">
        <v>99.11118</v>
      </c>
      <c r="BJ8" s="8" t="n">
        <v>98.85697</v>
      </c>
      <c r="BK8" s="8" t="n">
        <v>98.56757</v>
      </c>
      <c r="BL8" s="8" t="n">
        <v>98.67762</v>
      </c>
      <c r="BM8" s="8" t="n">
        <v>99.27408</v>
      </c>
      <c r="BN8" s="8" t="n">
        <v>99.62557</v>
      </c>
      <c r="BO8" s="8" t="n">
        <v>99.93000000000001</v>
      </c>
      <c r="BP8" s="8" t="n">
        <v>100.06333</v>
      </c>
      <c r="BQ8" s="8" t="n">
        <v>100.30982</v>
      </c>
      <c r="BR8" s="8" t="n">
        <v>100.4312</v>
      </c>
      <c r="BS8" s="8" t="n">
        <v>100.49199</v>
      </c>
      <c r="BT8" s="8" t="n">
        <v>100.32353</v>
      </c>
      <c r="BU8" s="8" t="n">
        <v>100</v>
      </c>
      <c r="BV8" s="8" t="n">
        <v>99.68613000000001</v>
      </c>
      <c r="BW8" s="8" t="n">
        <v>99.86450000000001</v>
      </c>
      <c r="BX8" s="8" t="n">
        <v>99.78868</v>
      </c>
      <c r="BY8" s="8" t="n">
        <v>100.22921</v>
      </c>
      <c r="BZ8" s="8" t="n">
        <v>100.79398</v>
      </c>
      <c r="CA8" s="8" t="n">
        <v>101.55292</v>
      </c>
      <c r="CB8" s="8" t="n">
        <v>102.03803</v>
      </c>
      <c r="CC8" s="8" t="n">
        <v>102.16573</v>
      </c>
      <c r="CD8" s="8" t="n">
        <v>102.276</v>
      </c>
      <c r="CE8" s="8" t="n">
        <v>102.35678</v>
      </c>
      <c r="CF8" s="8" t="n">
        <v>102.42026</v>
      </c>
      <c r="CG8" s="8" t="n">
        <v>102.48733</v>
      </c>
      <c r="CH8" s="8" t="n">
        <v>101.9465</v>
      </c>
      <c r="CI8" s="8" t="n">
        <v>101.52827</v>
      </c>
      <c r="CJ8" s="8" t="n">
        <v>101.53866</v>
      </c>
      <c r="CK8" s="8" t="n">
        <v>101.75009</v>
      </c>
      <c r="CL8" s="8" t="n">
        <v>101.87726</v>
      </c>
      <c r="CM8" s="8" t="n">
        <v>101.97198</v>
      </c>
      <c r="CN8" s="8" t="n">
        <v>102.00633</v>
      </c>
      <c r="CO8" s="8" t="n">
        <v>102.32608</v>
      </c>
      <c r="CP8" s="8" t="n">
        <v>102.59547</v>
      </c>
      <c r="CQ8" s="8" t="n">
        <v>102.85467</v>
      </c>
      <c r="CR8" s="8" t="n">
        <v>102.65999</v>
      </c>
      <c r="CS8" s="8" t="n">
        <v>102.63927</v>
      </c>
      <c r="CT8" s="8" t="n">
        <v>102.915</v>
      </c>
      <c r="CU8" s="8" t="n">
        <v>103.30136</v>
      </c>
      <c r="CV8" s="8" t="n">
        <v>103.47396</v>
      </c>
      <c r="CW8" s="8" t="n">
        <v>103.66077</v>
      </c>
      <c r="CX8" s="8" t="n">
        <v>103.88143</v>
      </c>
      <c r="CY8" s="8" t="n">
        <v>104.20005</v>
      </c>
      <c r="CZ8" s="8" t="n">
        <v>104.49823</v>
      </c>
      <c r="DA8" s="8" t="n">
        <v>104.95849</v>
      </c>
      <c r="DB8" s="8" t="n">
        <v>105.73272</v>
      </c>
      <c r="DC8" s="8" t="n">
        <v>105.05811</v>
      </c>
      <c r="DD8" s="8" t="n">
        <v>104.86012</v>
      </c>
      <c r="DE8" s="8" t="n">
        <v>104.16331</v>
      </c>
      <c r="DF8" s="8" t="n">
        <v>104.46269</v>
      </c>
      <c r="DG8" s="8" t="n">
        <v>104.92675</v>
      </c>
      <c r="DH8" s="8" t="n">
        <v>105.19363</v>
      </c>
      <c r="DI8" s="8" t="n">
        <v>105.95092</v>
      </c>
      <c r="DJ8" s="8" t="n">
        <v>106.52015</v>
      </c>
      <c r="DK8" s="8" t="n">
        <v>106.78765</v>
      </c>
      <c r="DL8" s="8" t="n">
        <v>107.63635</v>
      </c>
      <c r="DM8" s="8" t="n">
        <v>108.459</v>
      </c>
      <c r="DN8" s="8" t="n">
        <v>109.8797</v>
      </c>
      <c r="DO8" s="8" t="n">
        <v>110.66812</v>
      </c>
      <c r="DP8" s="8" t="n">
        <v>111.06486</v>
      </c>
      <c r="DQ8" s="8" t="n">
        <v>110.70909</v>
      </c>
      <c r="DR8" s="8" t="n">
        <v>111.70897</v>
      </c>
      <c r="DS8" s="8" t="n">
        <v>111.475</v>
      </c>
      <c r="DT8" s="8" t="n">
        <v>111.65316</v>
      </c>
      <c r="DU8" s="8" t="n">
        <v>112.18319</v>
      </c>
      <c r="DV8" s="8" t="n">
        <v>112.38674</v>
      </c>
      <c r="DW8" s="8" t="n">
        <v>112.4755</v>
      </c>
      <c r="DX8" s="8" t="n">
        <v>113.1956</v>
      </c>
      <c r="DY8" s="8" t="n">
        <v>114.83831</v>
      </c>
      <c r="DZ8" s="8" t="n">
        <v>115.01695</v>
      </c>
      <c r="EA8" s="8" t="n">
        <v>114.7356</v>
      </c>
      <c r="EB8" s="8" t="n">
        <v>114.26701</v>
      </c>
      <c r="EC8" s="8" t="n">
        <v>114.28076</v>
      </c>
      <c r="ED8" s="8" t="n">
        <v>113.9963</v>
      </c>
      <c r="EE8" s="8" t="n">
        <v>113.6502</v>
      </c>
      <c r="EF8" s="8" t="n">
        <v>114.4238</v>
      </c>
      <c r="EG8" s="8" t="n">
        <v>115.8086</v>
      </c>
      <c r="EH8" s="8" t="n">
        <v>116.4036</v>
      </c>
      <c r="EI8" s="8" t="n">
        <v>116.9277</v>
      </c>
      <c r="EJ8" s="8" t="n">
        <v>118.5112</v>
      </c>
      <c r="EK8" s="8" t="n">
        <v>119.2149</v>
      </c>
      <c r="EL8" s="8" t="n">
        <v>119.813</v>
      </c>
      <c r="EM8" s="8" t="n">
        <v>120.1502</v>
      </c>
      <c r="EN8" s="8" t="n">
        <v>120.0257</v>
      </c>
      <c r="EO8" s="8" t="n">
        <v>120.301</v>
      </c>
      <c r="EP8" s="8" t="n">
        <v>121.1157</v>
      </c>
      <c r="EQ8" s="8" t="n">
        <v>121.9564</v>
      </c>
      <c r="ER8" s="8" t="n">
        <v>124.198</v>
      </c>
      <c r="ES8" s="8" t="n">
        <v>127.232</v>
      </c>
      <c r="ET8" s="8" t="n">
        <v>131.279</v>
      </c>
      <c r="EU8" s="8" t="n">
        <v>144.5266</v>
      </c>
      <c r="EV8" s="8" t="n">
        <v>148.7932</v>
      </c>
      <c r="EW8" s="8" t="n">
        <v>154.9898</v>
      </c>
      <c r="EX8" s="8" t="n">
        <v>160.6072</v>
      </c>
      <c r="EY8" s="8" t="n">
        <v>164.3112</v>
      </c>
      <c r="EZ8" s="8" t="n">
        <v>166.1837</v>
      </c>
      <c r="FA8" s="8" t="n">
        <v>167.5386</v>
      </c>
      <c r="FB8" s="8" t="n">
        <v>169.928</v>
      </c>
      <c r="FC8" s="8" t="n">
        <v>172.2709</v>
      </c>
      <c r="FD8" s="8" t="n">
        <v>175.0887</v>
      </c>
      <c r="FE8" s="8" t="n">
        <v>177.99</v>
      </c>
      <c r="FF8" s="8" t="n">
        <v>182.294</v>
      </c>
      <c r="FG8" s="8" t="n">
        <v>185.9145</v>
      </c>
      <c r="FH8" s="8" t="n">
        <v>190.1537</v>
      </c>
      <c r="FI8" s="8" t="n">
        <v>195.1044</v>
      </c>
      <c r="FJ8" s="8" t="n">
        <v>201.8737</v>
      </c>
      <c r="FK8" s="8" t="n">
        <v>206.7496</v>
      </c>
      <c r="FL8" s="8" t="n">
        <v>208.1324</v>
      </c>
      <c r="FM8" s="8" t="n">
        <v>208.3658</v>
      </c>
      <c r="FN8" s="8" t="n">
        <v>211.4652</v>
      </c>
      <c r="FO8" s="8" t="n">
        <v>215.9497</v>
      </c>
      <c r="FP8" s="8" t="n">
        <v>218.8323</v>
      </c>
      <c r="FQ8" s="8" t="n">
        <v>222.3436</v>
      </c>
      <c r="FR8" s="8" t="n">
        <v>229.2766</v>
      </c>
      <c r="FS8" s="8" t="n">
        <v>234.5441</v>
      </c>
      <c r="FT8" s="8" t="n">
        <v>239.7527</v>
      </c>
      <c r="FU8" s="8" t="n">
        <v>242.4928</v>
      </c>
      <c r="FV8" s="8" t="n">
        <v>245.7681</v>
      </c>
      <c r="FW8" s="8" t="n">
        <v>249.6007</v>
      </c>
      <c r="FX8" s="8" t="n">
        <v>246.2661</v>
      </c>
      <c r="FY8" s="8" t="n">
        <v>243.5317</v>
      </c>
      <c r="FZ8" s="8" t="n">
        <v>244.2083</v>
      </c>
      <c r="GA8" s="8" t="n">
        <v>243.4543</v>
      </c>
      <c r="GB8" s="8" t="n">
        <v>243.3036</v>
      </c>
    </row>
    <row r="9" ht="19" customHeight="1">
      <c r="A9" s="6" t="inlineStr">
        <is>
          <t>Cambodia</t>
        </is>
      </c>
      <c r="B9" s="8" t="n">
        <v>134.059</v>
      </c>
      <c r="C9" s="8" t="n">
        <v>134.372</v>
      </c>
      <c r="D9" s="8" t="n">
        <v>135.26</v>
      </c>
      <c r="E9" s="8" t="n">
        <v>134.865</v>
      </c>
      <c r="F9" s="8" t="n">
        <v>135.188</v>
      </c>
      <c r="G9" s="8" t="n">
        <v>135.146</v>
      </c>
      <c r="H9" s="8" t="n">
        <v>135.84</v>
      </c>
      <c r="I9" s="8" t="n">
        <v>137.017</v>
      </c>
      <c r="J9" s="8" t="n">
        <v>137.992</v>
      </c>
      <c r="K9" s="8" t="n">
        <v>139.93</v>
      </c>
      <c r="L9" s="8" t="n">
        <v>138.462</v>
      </c>
      <c r="M9" s="8" t="n">
        <v>138.245</v>
      </c>
      <c r="N9" s="8" t="n">
        <v>138.503</v>
      </c>
      <c r="O9" s="8" t="n">
        <v>139.464</v>
      </c>
      <c r="P9" s="8" t="n">
        <v>140.405</v>
      </c>
      <c r="Q9" s="8" t="n">
        <v>141.933</v>
      </c>
      <c r="R9" s="8" t="n">
        <v>143.968</v>
      </c>
      <c r="S9" s="8" t="n">
        <v>144.685</v>
      </c>
      <c r="T9" s="8" t="n">
        <v>145.486</v>
      </c>
      <c r="U9" s="8" t="n">
        <v>145.749</v>
      </c>
      <c r="V9" s="8" t="n">
        <v>147.211</v>
      </c>
      <c r="W9" s="8" t="n">
        <v>147.275</v>
      </c>
      <c r="X9" s="8" t="n">
        <v>146.315</v>
      </c>
      <c r="Y9" s="8" t="n">
        <v>145.03</v>
      </c>
      <c r="Z9" s="8" t="n">
        <v>146.5</v>
      </c>
      <c r="AA9" s="8" t="n">
        <v>147.023</v>
      </c>
      <c r="AB9" s="8" t="n">
        <v>147.918</v>
      </c>
      <c r="AC9" s="8" t="n">
        <v>148.722</v>
      </c>
      <c r="AD9" s="8" t="n">
        <v>147.123</v>
      </c>
      <c r="AE9" s="8" t="n">
        <v>147.334</v>
      </c>
      <c r="AF9" s="8" t="n">
        <v>147.354</v>
      </c>
      <c r="AG9" s="8" t="n">
        <v>148.928</v>
      </c>
      <c r="AH9" s="8" t="n">
        <v>149.333</v>
      </c>
      <c r="AI9" s="8" t="n">
        <v>149.04</v>
      </c>
      <c r="AJ9" s="8" t="n">
        <v>148.681</v>
      </c>
      <c r="AK9" s="8" t="n">
        <v>148.715</v>
      </c>
      <c r="AL9" s="8" t="n">
        <v>149.188</v>
      </c>
      <c r="AM9" s="8" t="n">
        <v>149.567</v>
      </c>
      <c r="AN9" s="8" t="n">
        <v>149.374</v>
      </c>
      <c r="AO9" s="8" t="n">
        <v>150.236</v>
      </c>
      <c r="AP9" s="8" t="n">
        <v>151.272</v>
      </c>
      <c r="AQ9" s="8" t="n">
        <v>151.643</v>
      </c>
      <c r="AR9" s="8" t="n">
        <v>153.19</v>
      </c>
      <c r="AS9" s="8" t="n">
        <v>153.848</v>
      </c>
      <c r="AT9" s="8" t="n">
        <v>154.917</v>
      </c>
      <c r="AU9" s="8" t="n">
        <v>155.271</v>
      </c>
      <c r="AV9" s="8" t="n">
        <v>154.8</v>
      </c>
      <c r="AW9" s="8" t="n">
        <v>155.628</v>
      </c>
      <c r="AX9" s="8" t="n">
        <v>155.972</v>
      </c>
      <c r="AY9" s="8" t="n">
        <v>155.991</v>
      </c>
      <c r="AZ9" s="8" t="n">
        <v>156.82</v>
      </c>
      <c r="BA9" s="8" t="n">
        <v>157.653</v>
      </c>
      <c r="BB9" s="8" t="n">
        <v>158.159</v>
      </c>
      <c r="BC9" s="8" t="n">
        <v>159.001</v>
      </c>
      <c r="BD9" s="8" t="n">
        <v>159.712</v>
      </c>
      <c r="BE9" s="8" t="n">
        <v>160.17</v>
      </c>
      <c r="BF9" s="8" t="n">
        <v>160.456</v>
      </c>
      <c r="BG9" s="8" t="n">
        <v>159.778</v>
      </c>
      <c r="BH9" s="8" t="n">
        <v>158.453</v>
      </c>
      <c r="BI9" s="8" t="n">
        <v>157.287</v>
      </c>
      <c r="BJ9" s="8" t="n">
        <v>156.611</v>
      </c>
      <c r="BK9" s="8" t="n">
        <v>158.437</v>
      </c>
      <c r="BL9" s="8" t="n">
        <v>158.581</v>
      </c>
      <c r="BM9" s="8" t="n">
        <v>159.651</v>
      </c>
      <c r="BN9" s="8" t="n">
        <v>159.772</v>
      </c>
      <c r="BO9" s="8" t="n">
        <v>160.112</v>
      </c>
      <c r="BP9" s="8" t="n">
        <v>161.04</v>
      </c>
      <c r="BQ9" s="8" t="n">
        <v>161.445</v>
      </c>
      <c r="BR9" s="8" t="n">
        <v>161.957</v>
      </c>
      <c r="BS9" s="8" t="n">
        <v>161.829</v>
      </c>
      <c r="BT9" s="8" t="n">
        <v>161.499</v>
      </c>
      <c r="BU9" s="8" t="n">
        <v>161.766</v>
      </c>
      <c r="BV9" s="8" t="n">
        <v>161.385</v>
      </c>
      <c r="BW9" s="8" t="n">
        <v>162.1</v>
      </c>
      <c r="BX9" s="8" t="n">
        <v>161.798</v>
      </c>
      <c r="BY9" s="8" t="n">
        <v>164.127</v>
      </c>
      <c r="BZ9" s="8" t="n">
        <v>164.712</v>
      </c>
      <c r="CA9" s="8" t="n">
        <v>165.317</v>
      </c>
      <c r="CB9" s="8" t="n">
        <v>165.881</v>
      </c>
      <c r="CC9" s="8" t="n">
        <v>166.176</v>
      </c>
      <c r="CD9" s="8" t="n">
        <v>166.643</v>
      </c>
      <c r="CE9" s="8" t="n">
        <v>167.253</v>
      </c>
      <c r="CF9" s="8" t="n">
        <v>167.323</v>
      </c>
      <c r="CG9" s="8" t="n">
        <v>168.034</v>
      </c>
      <c r="CH9" s="8" t="n">
        <v>168.523</v>
      </c>
      <c r="CI9" s="8" t="n">
        <v>168.644</v>
      </c>
      <c r="CJ9" s="8" t="n">
        <v>168.652</v>
      </c>
      <c r="CK9" s="8" t="n">
        <v>169.401</v>
      </c>
      <c r="CL9" s="8" t="n">
        <v>169.073</v>
      </c>
      <c r="CM9" s="8" t="n">
        <v>169.191</v>
      </c>
      <c r="CN9" s="8" t="n">
        <v>169.737</v>
      </c>
      <c r="CO9" s="8" t="n">
        <v>170.496</v>
      </c>
      <c r="CP9" s="8" t="n">
        <v>171.079</v>
      </c>
      <c r="CQ9" s="8" t="n">
        <v>170.769</v>
      </c>
      <c r="CR9" s="8" t="n">
        <v>171.094</v>
      </c>
      <c r="CS9" s="8" t="n">
        <v>171.782</v>
      </c>
      <c r="CT9" s="8" t="n">
        <v>171.892</v>
      </c>
      <c r="CU9" s="8" t="n">
        <v>172.516</v>
      </c>
      <c r="CV9" s="8" t="n">
        <v>172.578</v>
      </c>
      <c r="CW9" s="8" t="n">
        <v>173.436</v>
      </c>
      <c r="CX9" s="8" t="n">
        <v>173.909</v>
      </c>
      <c r="CY9" s="8" t="n">
        <v>174.158</v>
      </c>
      <c r="CZ9" s="8" t="n">
        <v>173.694</v>
      </c>
      <c r="DA9" s="8" t="n">
        <v>174.891</v>
      </c>
      <c r="DB9" s="8" t="n">
        <v>175.475</v>
      </c>
      <c r="DC9" s="8" t="n">
        <v>176.019</v>
      </c>
      <c r="DD9" s="8" t="n">
        <v>175.414</v>
      </c>
      <c r="DE9" s="8" t="n">
        <v>174.586</v>
      </c>
      <c r="DF9" s="8" t="n">
        <v>174.544</v>
      </c>
      <c r="DG9" s="8" t="n">
        <v>175.99</v>
      </c>
      <c r="DH9" s="8" t="n">
        <v>176.446</v>
      </c>
      <c r="DI9" s="8" t="n">
        <v>177.022</v>
      </c>
      <c r="DJ9" s="8" t="n">
        <v>177.356</v>
      </c>
      <c r="DK9" s="8" t="n">
        <v>176.667</v>
      </c>
      <c r="DL9" s="8" t="n">
        <v>177.466</v>
      </c>
      <c r="DM9" s="8" t="n">
        <v>178.502</v>
      </c>
      <c r="DN9" s="8" t="n">
        <v>178.448</v>
      </c>
      <c r="DO9" s="8" t="n">
        <v>178.254</v>
      </c>
      <c r="DP9" s="8" t="n">
        <v>178.495</v>
      </c>
      <c r="DQ9" s="8" t="n">
        <v>179.95</v>
      </c>
      <c r="DR9" s="8" t="n">
        <v>180.799</v>
      </c>
      <c r="DS9" s="8" t="n">
        <v>180.654</v>
      </c>
      <c r="DT9" s="8" t="n">
        <v>181.464</v>
      </c>
      <c r="DU9" s="8" t="n">
        <v>180.41</v>
      </c>
      <c r="DV9" s="8" t="n">
        <v>181.563</v>
      </c>
      <c r="DW9" s="8" t="n">
        <v>182.356</v>
      </c>
      <c r="DX9" s="8" t="n">
        <v>183.014</v>
      </c>
      <c r="DY9" s="8" t="n">
        <v>182.788</v>
      </c>
      <c r="DZ9" s="8" t="n">
        <v>183.559</v>
      </c>
      <c r="EA9" s="8" t="n">
        <v>184.91</v>
      </c>
      <c r="EB9" s="8" t="n">
        <v>185.101</v>
      </c>
      <c r="EC9" s="8" t="n">
        <v>185.125</v>
      </c>
      <c r="ED9" s="8" t="n">
        <v>185.493</v>
      </c>
      <c r="EE9" s="8" t="n">
        <v>183.781</v>
      </c>
      <c r="EF9" s="8" t="n">
        <v>185.233</v>
      </c>
      <c r="EG9" s="8" t="n">
        <v>185.361</v>
      </c>
      <c r="EH9" s="8" t="n">
        <v>186.983</v>
      </c>
      <c r="EI9" s="8" t="n">
        <v>187.36</v>
      </c>
      <c r="EJ9" s="8" t="n">
        <v>189.1</v>
      </c>
      <c r="EK9" s="8" t="n">
        <v>189</v>
      </c>
      <c r="EL9" s="8" t="n">
        <v>188.995</v>
      </c>
      <c r="EM9" s="8" t="n">
        <v>190.357</v>
      </c>
      <c r="EN9" s="8" t="n">
        <v>192.116</v>
      </c>
      <c r="EO9" s="8" t="n">
        <v>191.979</v>
      </c>
      <c r="EP9" s="8" t="n">
        <v>193.1</v>
      </c>
      <c r="EQ9" s="8" t="n">
        <v>195.4</v>
      </c>
      <c r="ER9" s="8" t="n">
        <v>198.56</v>
      </c>
      <c r="ES9" s="8" t="n">
        <v>198.802</v>
      </c>
      <c r="ET9" s="8" t="n">
        <v>200.388</v>
      </c>
      <c r="EU9" s="8" t="n">
        <v>201.991</v>
      </c>
      <c r="EV9" s="8" t="n">
        <v>199.281</v>
      </c>
      <c r="EW9" s="8" t="n">
        <v>198.346</v>
      </c>
      <c r="EX9" s="8" t="n">
        <v>197.391</v>
      </c>
      <c r="EY9" s="8" t="n">
        <v>197.282</v>
      </c>
      <c r="EZ9" s="8" t="n">
        <v>198.282</v>
      </c>
      <c r="FA9" s="8" t="n">
        <v>197.476</v>
      </c>
      <c r="FB9" s="8" t="n">
        <v>198.778</v>
      </c>
      <c r="FC9" s="8" t="n">
        <v>199.71</v>
      </c>
      <c r="FD9" s="8" t="n">
        <v>199.956</v>
      </c>
      <c r="FE9" s="8" t="n">
        <v>200.932</v>
      </c>
      <c r="FF9" s="8" t="n">
        <v>201.34</v>
      </c>
      <c r="FG9" s="8" t="n">
        <v>202.138</v>
      </c>
      <c r="FH9" s="8" t="n">
        <v>203.023</v>
      </c>
      <c r="FI9" s="8" t="n">
        <v>204.763</v>
      </c>
      <c r="FJ9" s="8" t="n">
        <v>204.803</v>
      </c>
      <c r="FK9" s="8" t="n">
        <v>204.949</v>
      </c>
      <c r="FL9" s="8" t="n">
        <v>203.618</v>
      </c>
      <c r="FM9" s="8" t="n">
        <v>202.844</v>
      </c>
      <c r="FN9" s="8" t="n">
        <v>197.819</v>
      </c>
      <c r="FO9" s="8" t="n">
        <v>199.123</v>
      </c>
      <c r="FP9" s="8" t="n">
        <v>200.025</v>
      </c>
      <c r="FQ9" s="8" t="n">
        <v>201.932</v>
      </c>
      <c r="FR9" s="8" t="n">
        <v>203.546</v>
      </c>
      <c r="FS9" s="8" t="n">
        <v>203.56</v>
      </c>
      <c r="FT9" s="8" t="n">
        <v>204.323</v>
      </c>
      <c r="FU9" s="9" t="inlineStr"/>
      <c r="FV9" s="9" t="inlineStr"/>
      <c r="FW9" s="9" t="inlineStr"/>
      <c r="FX9" s="9" t="inlineStr"/>
      <c r="FY9" s="9" t="inlineStr"/>
      <c r="FZ9" s="9" t="inlineStr"/>
      <c r="GA9" s="9" t="inlineStr"/>
      <c r="GB9" s="9" t="inlineStr"/>
    </row>
    <row r="10" ht="19" customHeight="1">
      <c r="A10" s="6" t="inlineStr">
        <is>
          <t>Myanmar</t>
        </is>
      </c>
      <c r="B10" s="8" t="n">
        <v>88.77298476819431</v>
      </c>
      <c r="C10" s="8" t="n">
        <v>89.05237</v>
      </c>
      <c r="D10" s="8" t="n">
        <v>89.31986999999999</v>
      </c>
      <c r="E10" s="8" t="n">
        <v>90.96644999999999</v>
      </c>
      <c r="F10" s="8" t="n">
        <v>92.10182</v>
      </c>
      <c r="G10" s="8" t="n">
        <v>93.20153000000001</v>
      </c>
      <c r="H10" s="8" t="n">
        <v>93.32042</v>
      </c>
      <c r="I10" s="8" t="n">
        <v>93.67708</v>
      </c>
      <c r="J10" s="8" t="n">
        <v>93.79595999999999</v>
      </c>
      <c r="K10" s="8" t="n">
        <v>94.81838999999999</v>
      </c>
      <c r="L10" s="8" t="n">
        <v>95.80516</v>
      </c>
      <c r="M10" s="8" t="n">
        <v>95.9181</v>
      </c>
      <c r="N10" s="8" t="n">
        <v>96.22126</v>
      </c>
      <c r="O10" s="8" t="n">
        <v>96.58387</v>
      </c>
      <c r="P10" s="8" t="n">
        <v>97.24963</v>
      </c>
      <c r="Q10" s="8" t="n">
        <v>98.62278000000001</v>
      </c>
      <c r="R10" s="8" t="n">
        <v>98.96755</v>
      </c>
      <c r="S10" s="8" t="n">
        <v>98.25423000000001</v>
      </c>
      <c r="T10" s="8" t="n">
        <v>97.29124</v>
      </c>
      <c r="U10" s="8" t="n">
        <v>96.76220000000001</v>
      </c>
      <c r="V10" s="8" t="n">
        <v>96.62548</v>
      </c>
      <c r="W10" s="8" t="n">
        <v>96.47687000000001</v>
      </c>
      <c r="X10" s="8" t="n">
        <v>96.88108</v>
      </c>
      <c r="Y10" s="8" t="n">
        <v>96.58981</v>
      </c>
      <c r="Z10" s="8" t="n">
        <v>96.22126</v>
      </c>
      <c r="AA10" s="8" t="n">
        <v>96.13804</v>
      </c>
      <c r="AB10" s="8" t="n">
        <v>96.18559</v>
      </c>
      <c r="AC10" s="8" t="n">
        <v>96.60764</v>
      </c>
      <c r="AD10" s="8" t="n">
        <v>97.22586</v>
      </c>
      <c r="AE10" s="8" t="n">
        <v>97.57062999999999</v>
      </c>
      <c r="AF10" s="8" t="n">
        <v>97.93322999999999</v>
      </c>
      <c r="AG10" s="8" t="n">
        <v>98.87839</v>
      </c>
      <c r="AH10" s="8" t="n">
        <v>100.60225</v>
      </c>
      <c r="AI10" s="8" t="n">
        <v>101.67223</v>
      </c>
      <c r="AJ10" s="8" t="n">
        <v>102.22506</v>
      </c>
      <c r="AK10" s="8" t="n">
        <v>102.38556</v>
      </c>
      <c r="AL10" s="8" t="n">
        <v>102.14698</v>
      </c>
      <c r="AM10" s="8" t="n">
        <v>101.09873</v>
      </c>
      <c r="AN10" s="8" t="n">
        <v>100.8728</v>
      </c>
      <c r="AO10" s="8" t="n">
        <v>101.96146</v>
      </c>
      <c r="AP10" s="8" t="n">
        <v>103.18903</v>
      </c>
      <c r="AQ10" s="8" t="n">
        <v>103.90651</v>
      </c>
      <c r="AR10" s="8" t="n">
        <v>104.43589</v>
      </c>
      <c r="AS10" s="8" t="n">
        <v>105.93438</v>
      </c>
      <c r="AT10" s="8" t="n">
        <v>106.42524</v>
      </c>
      <c r="AU10" s="8" t="n">
        <v>106.40257</v>
      </c>
      <c r="AV10" s="8" t="n">
        <v>107.02937</v>
      </c>
      <c r="AW10" s="8" t="n">
        <v>107.03638</v>
      </c>
      <c r="AX10" s="8" t="n">
        <v>106.82625</v>
      </c>
      <c r="AY10" s="8" t="n">
        <v>106.9494</v>
      </c>
      <c r="AZ10" s="8" t="n">
        <v>107.23546</v>
      </c>
      <c r="BA10" s="8" t="n">
        <v>108.07628</v>
      </c>
      <c r="BB10" s="8" t="n">
        <v>109.20151</v>
      </c>
      <c r="BC10" s="8" t="n">
        <v>109.63367</v>
      </c>
      <c r="BD10" s="8" t="n">
        <v>110.00603</v>
      </c>
      <c r="BE10" s="8" t="n">
        <v>110.30218</v>
      </c>
      <c r="BF10" s="8" t="n">
        <v>110.25274</v>
      </c>
      <c r="BG10" s="8" t="n">
        <v>110.32756</v>
      </c>
      <c r="BH10" s="8" t="n">
        <v>111.22267</v>
      </c>
      <c r="BI10" s="8" t="n">
        <v>112.3436</v>
      </c>
      <c r="BJ10" s="8" t="n">
        <v>113.40965</v>
      </c>
      <c r="BK10" s="8" t="n">
        <v>113.35145</v>
      </c>
      <c r="BL10" s="8" t="n">
        <v>113.78376</v>
      </c>
      <c r="BM10" s="8" t="n">
        <v>115.012</v>
      </c>
      <c r="BN10" s="8" t="n">
        <v>116.63164</v>
      </c>
      <c r="BO10" s="8" t="n">
        <v>117.94295</v>
      </c>
      <c r="BP10" s="8" t="n">
        <v>119.61469</v>
      </c>
      <c r="BQ10" s="8" t="n">
        <v>124.05643</v>
      </c>
      <c r="BR10" s="8" t="n">
        <v>125.14728</v>
      </c>
      <c r="BS10" s="8" t="n">
        <v>126.05747</v>
      </c>
      <c r="BT10" s="8" t="n">
        <v>127.19699</v>
      </c>
      <c r="BU10" s="8" t="n">
        <v>124.24743</v>
      </c>
      <c r="BV10" s="8" t="n">
        <v>122.87786</v>
      </c>
      <c r="BW10" s="8" t="n">
        <v>122.90962</v>
      </c>
      <c r="BX10" s="8" t="n">
        <v>123.33041</v>
      </c>
      <c r="BY10" s="8" t="n">
        <v>126.095</v>
      </c>
      <c r="BZ10" s="8" t="n">
        <v>127.4478</v>
      </c>
      <c r="CA10" s="8" t="n">
        <v>128.81651</v>
      </c>
      <c r="CB10" s="8" t="n">
        <v>129.87241</v>
      </c>
      <c r="CC10" s="8" t="n">
        <v>130.14315</v>
      </c>
      <c r="CD10" s="8" t="n">
        <v>130.00226</v>
      </c>
      <c r="CE10" s="8" t="n">
        <v>130.48079</v>
      </c>
      <c r="CF10" s="8" t="n">
        <v>131.61433</v>
      </c>
      <c r="CG10" s="8" t="n">
        <v>132.39083</v>
      </c>
      <c r="CH10" s="8" t="n">
        <v>132.41272</v>
      </c>
      <c r="CI10" s="8" t="n">
        <v>132.7298</v>
      </c>
      <c r="CJ10" s="8" t="n">
        <v>131.96031</v>
      </c>
      <c r="CK10" s="8" t="n">
        <v>132.06654</v>
      </c>
      <c r="CL10" s="8" t="n">
        <v>132.42132</v>
      </c>
      <c r="CM10" s="8" t="n">
        <v>132.58428</v>
      </c>
      <c r="CN10" s="8" t="n">
        <v>132.8583</v>
      </c>
      <c r="CO10" s="8" t="n">
        <v>133.26936</v>
      </c>
      <c r="CP10" s="8" t="n">
        <v>134.4263</v>
      </c>
      <c r="CQ10" s="8" t="n">
        <v>135.69604</v>
      </c>
      <c r="CR10" s="8" t="n">
        <v>137.50406</v>
      </c>
      <c r="CS10" s="8" t="n">
        <v>138.28522</v>
      </c>
      <c r="CT10" s="8" t="n">
        <v>139.33827</v>
      </c>
      <c r="CU10" s="8" t="n">
        <v>139.50847</v>
      </c>
      <c r="CV10" s="8" t="n">
        <v>139.11107</v>
      </c>
      <c r="CW10" s="8" t="n">
        <v>139.82321</v>
      </c>
      <c r="CX10" s="8" t="n">
        <v>140.23974</v>
      </c>
      <c r="CY10" s="8" t="n">
        <v>141.13385</v>
      </c>
      <c r="CZ10" s="8" t="n">
        <v>142.90552</v>
      </c>
      <c r="DA10" s="8" t="n">
        <v>144.1653</v>
      </c>
      <c r="DB10" s="8" t="n">
        <v>145.97019</v>
      </c>
      <c r="DC10" s="8" t="n">
        <v>147.69882</v>
      </c>
      <c r="DD10" s="8" t="n">
        <v>148.95194</v>
      </c>
      <c r="DE10" s="8" t="n">
        <v>147.7522</v>
      </c>
      <c r="DF10" s="8" t="n">
        <v>147.892</v>
      </c>
      <c r="DG10" s="8" t="n">
        <v>148.84504</v>
      </c>
      <c r="DH10" s="8" t="n">
        <v>150.13084</v>
      </c>
      <c r="DI10" s="8" t="n">
        <v>152.03008</v>
      </c>
      <c r="DJ10" s="8" t="n">
        <v>153.65647</v>
      </c>
      <c r="DK10" s="8" t="n">
        <v>154.55629</v>
      </c>
      <c r="DL10" s="8" t="n">
        <v>158.44496</v>
      </c>
      <c r="DM10" s="8" t="n">
        <v>159.1203</v>
      </c>
      <c r="DN10" s="8" t="n">
        <v>159.8538</v>
      </c>
      <c r="DO10" s="8" t="n">
        <v>160.58482</v>
      </c>
      <c r="DP10" s="8" t="n">
        <v>161.25635</v>
      </c>
      <c r="DQ10" s="8" t="n">
        <v>161.71868</v>
      </c>
      <c r="DR10" s="8" t="n">
        <v>161.33474</v>
      </c>
      <c r="DS10" s="8" t="n">
        <v>161.29</v>
      </c>
      <c r="DT10" s="8" t="n">
        <v>160.06</v>
      </c>
      <c r="DU10" s="8" t="n">
        <v>159.99722</v>
      </c>
      <c r="DV10" s="8" t="n">
        <v>160.11919</v>
      </c>
      <c r="DW10" s="8" t="n">
        <v>160.9844</v>
      </c>
      <c r="DX10" s="8" t="n">
        <v>161.1442</v>
      </c>
      <c r="DY10" s="8" t="n">
        <v>162.05266</v>
      </c>
      <c r="DZ10" s="8" t="n">
        <v>163.1047</v>
      </c>
      <c r="EA10" s="8" t="n">
        <v>162.9972</v>
      </c>
      <c r="EB10" s="8" t="n">
        <v>162.81957</v>
      </c>
      <c r="EC10" s="9" t="inlineStr"/>
      <c r="ED10" s="9" t="inlineStr"/>
      <c r="EE10" s="9" t="inlineStr"/>
      <c r="EF10" s="9" t="inlineStr"/>
      <c r="EG10" s="9" t="inlineStr"/>
      <c r="EH10" s="9" t="inlineStr"/>
      <c r="EI10" s="9" t="inlineStr"/>
      <c r="EJ10" s="9" t="inlineStr"/>
      <c r="EK10" s="9" t="inlineStr"/>
      <c r="EL10" s="9" t="inlineStr"/>
      <c r="EM10" s="9" t="inlineStr"/>
      <c r="EN10" s="9" t="inlineStr"/>
      <c r="EO10" s="9" t="inlineStr"/>
      <c r="EP10" s="9" t="inlineStr"/>
      <c r="EQ10" s="9" t="inlineStr"/>
      <c r="ER10" s="9" t="inlineStr"/>
      <c r="ES10" s="9" t="inlineStr"/>
      <c r="ET10" s="9" t="inlineStr"/>
      <c r="EU10" s="9" t="inlineStr"/>
      <c r="EV10" s="9" t="inlineStr"/>
      <c r="EW10" s="9" t="inlineStr"/>
      <c r="EX10" s="9" t="inlineStr"/>
      <c r="EY10" s="9" t="inlineStr"/>
      <c r="EZ10" s="9" t="inlineStr"/>
      <c r="FA10" s="9" t="inlineStr"/>
      <c r="FB10" s="9" t="inlineStr"/>
      <c r="FC10" s="9" t="inlineStr"/>
      <c r="FD10" s="9" t="inlineStr"/>
      <c r="FE10" s="9" t="inlineStr"/>
      <c r="FF10" s="9" t="inlineStr"/>
      <c r="FG10" s="9" t="inlineStr"/>
      <c r="FH10" s="9" t="inlineStr"/>
      <c r="FI10" s="9" t="inlineStr"/>
      <c r="FJ10" s="9" t="inlineStr"/>
      <c r="FK10" s="9" t="inlineStr"/>
      <c r="FL10" s="9" t="inlineStr"/>
      <c r="FM10" s="9" t="inlineStr"/>
      <c r="FN10" s="9" t="inlineStr"/>
      <c r="FO10" s="9" t="inlineStr"/>
      <c r="FP10" s="9" t="inlineStr"/>
      <c r="FQ10" s="9" t="inlineStr"/>
      <c r="FR10" s="9" t="inlineStr"/>
      <c r="FS10" s="9" t="inlineStr"/>
      <c r="FT10" s="9" t="inlineStr"/>
      <c r="FU10" s="9" t="inlineStr"/>
      <c r="FV10" s="9" t="inlineStr"/>
      <c r="FW10" s="9" t="inlineStr"/>
      <c r="FX10" s="9" t="inlineStr"/>
      <c r="FY10" s="9" t="inlineStr"/>
      <c r="FZ10" s="9" t="inlineStr"/>
      <c r="GA10" s="9" t="inlineStr"/>
      <c r="GB10" s="9" t="inlineStr"/>
    </row>
    <row r="11" ht="19" customHeight="1">
      <c r="A11" s="7" t="inlineStr">
        <is>
          <t>Philippines</t>
        </is>
      </c>
      <c r="B11" s="8" t="n">
        <v>77.7010264630845</v>
      </c>
      <c r="C11" s="8" t="n">
        <v>78.09444999999999</v>
      </c>
      <c r="D11" s="8" t="n">
        <v>78.22559</v>
      </c>
      <c r="E11" s="8" t="n">
        <v>78.68458</v>
      </c>
      <c r="F11" s="8" t="n">
        <v>78.61901</v>
      </c>
      <c r="G11" s="8" t="n">
        <v>78.81572</v>
      </c>
      <c r="H11" s="8" t="n">
        <v>79.07801000000001</v>
      </c>
      <c r="I11" s="8" t="n">
        <v>79.40586</v>
      </c>
      <c r="J11" s="8" t="n">
        <v>79.40586</v>
      </c>
      <c r="K11" s="8" t="n">
        <v>79.34029</v>
      </c>
      <c r="L11" s="8" t="n">
        <v>80.06156</v>
      </c>
      <c r="M11" s="8" t="n">
        <v>80.32384999999999</v>
      </c>
      <c r="N11" s="8" t="n">
        <v>80.78283999999999</v>
      </c>
      <c r="O11" s="8" t="n">
        <v>81.7664</v>
      </c>
      <c r="P11" s="8" t="n">
        <v>82.02867999999999</v>
      </c>
      <c r="Q11" s="8" t="n">
        <v>82.35653000000001</v>
      </c>
      <c r="R11" s="8" t="n">
        <v>82.48766999999999</v>
      </c>
      <c r="S11" s="8" t="n">
        <v>82.94667</v>
      </c>
      <c r="T11" s="8" t="n">
        <v>82.94667</v>
      </c>
      <c r="U11" s="8" t="n">
        <v>83.07781</v>
      </c>
      <c r="V11" s="8" t="n">
        <v>83.14337999999999</v>
      </c>
      <c r="W11" s="8" t="n">
        <v>83.47123000000001</v>
      </c>
      <c r="X11" s="8" t="n">
        <v>83.79908</v>
      </c>
      <c r="Y11" s="8" t="n">
        <v>83.66794</v>
      </c>
      <c r="Z11" s="8" t="n">
        <v>83.99579</v>
      </c>
      <c r="AA11" s="8" t="n">
        <v>84.08098</v>
      </c>
      <c r="AB11" s="8" t="n">
        <v>84.25136000000001</v>
      </c>
      <c r="AC11" s="8" t="n">
        <v>84.84768</v>
      </c>
      <c r="AD11" s="8" t="n">
        <v>84.76249</v>
      </c>
      <c r="AE11" s="8" t="n">
        <v>85.10324</v>
      </c>
      <c r="AF11" s="8" t="n">
        <v>85.35881000000001</v>
      </c>
      <c r="AG11" s="8" t="n">
        <v>86.04031999999999</v>
      </c>
      <c r="AH11" s="8" t="n">
        <v>86.04031999999999</v>
      </c>
      <c r="AI11" s="8" t="n">
        <v>86.04031999999999</v>
      </c>
      <c r="AJ11" s="8" t="n">
        <v>86.04031999999999</v>
      </c>
      <c r="AK11" s="8" t="n">
        <v>85.95513</v>
      </c>
      <c r="AL11" s="8" t="n">
        <v>86.38106999999999</v>
      </c>
      <c r="AM11" s="8" t="n">
        <v>86.55145</v>
      </c>
      <c r="AN11" s="8" t="n">
        <v>86.55145</v>
      </c>
      <c r="AO11" s="8" t="n">
        <v>86.72181999999999</v>
      </c>
      <c r="AP11" s="8" t="n">
        <v>86.72181999999999</v>
      </c>
      <c r="AQ11" s="8" t="n">
        <v>87.23295</v>
      </c>
      <c r="AR11" s="8" t="n">
        <v>87.40333</v>
      </c>
      <c r="AS11" s="8" t="n">
        <v>87.57371000000001</v>
      </c>
      <c r="AT11" s="8" t="n">
        <v>87.99965</v>
      </c>
      <c r="AU11" s="8" t="n">
        <v>88.08484</v>
      </c>
      <c r="AV11" s="8" t="n">
        <v>88.51078</v>
      </c>
      <c r="AW11" s="8" t="n">
        <v>89.19229</v>
      </c>
      <c r="AX11" s="8" t="n">
        <v>89.61823</v>
      </c>
      <c r="AY11" s="8" t="n">
        <v>89.70341999999999</v>
      </c>
      <c r="AZ11" s="8" t="n">
        <v>89.61823</v>
      </c>
      <c r="BA11" s="8" t="n">
        <v>89.87379</v>
      </c>
      <c r="BB11" s="8" t="n">
        <v>90.21455</v>
      </c>
      <c r="BC11" s="8" t="n">
        <v>90.5553</v>
      </c>
      <c r="BD11" s="8" t="n">
        <v>91.06643</v>
      </c>
      <c r="BE11" s="8" t="n">
        <v>91.23681000000001</v>
      </c>
      <c r="BF11" s="8" t="n">
        <v>91.40719</v>
      </c>
      <c r="BG11" s="8" t="n">
        <v>91.322</v>
      </c>
      <c r="BH11" s="8" t="n">
        <v>91.15161999999999</v>
      </c>
      <c r="BI11" s="8" t="n">
        <v>90.89606000000001</v>
      </c>
      <c r="BJ11" s="8" t="n">
        <v>90.98124</v>
      </c>
      <c r="BK11" s="8" t="n">
        <v>91.06643</v>
      </c>
      <c r="BL11" s="8" t="n">
        <v>90.98124</v>
      </c>
      <c r="BM11" s="8" t="n">
        <v>91.15161999999999</v>
      </c>
      <c r="BN11" s="8" t="n">
        <v>91.06643</v>
      </c>
      <c r="BO11" s="8" t="n">
        <v>91.06643</v>
      </c>
      <c r="BP11" s="8" t="n">
        <v>91.23681000000001</v>
      </c>
      <c r="BQ11" s="8" t="n">
        <v>91.23681000000001</v>
      </c>
      <c r="BR11" s="8" t="n">
        <v>91.06643</v>
      </c>
      <c r="BS11" s="8" t="n">
        <v>91.15161999999999</v>
      </c>
      <c r="BT11" s="8" t="n">
        <v>91.40719</v>
      </c>
      <c r="BU11" s="8" t="n">
        <v>91.57756000000001</v>
      </c>
      <c r="BV11" s="8" t="n">
        <v>91.66275</v>
      </c>
      <c r="BW11" s="8" t="n">
        <v>91.49238</v>
      </c>
      <c r="BX11" s="8" t="n">
        <v>91.49238</v>
      </c>
      <c r="BY11" s="8" t="n">
        <v>91.74794</v>
      </c>
      <c r="BZ11" s="8" t="n">
        <v>91.91831999999999</v>
      </c>
      <c r="CA11" s="8" t="n">
        <v>92.25906999999999</v>
      </c>
      <c r="CB11" s="8" t="n">
        <v>92.42945</v>
      </c>
      <c r="CC11" s="8" t="n">
        <v>92.42945</v>
      </c>
      <c r="CD11" s="8" t="n">
        <v>92.59981999999999</v>
      </c>
      <c r="CE11" s="8" t="n">
        <v>92.7702</v>
      </c>
      <c r="CF11" s="8" t="n">
        <v>93.28133</v>
      </c>
      <c r="CG11" s="8" t="n">
        <v>93.62209</v>
      </c>
      <c r="CH11" s="8" t="n">
        <v>93.96284</v>
      </c>
      <c r="CI11" s="8" t="n">
        <v>94.30359</v>
      </c>
      <c r="CJ11" s="8" t="n">
        <v>94.30359</v>
      </c>
      <c r="CK11" s="8" t="n">
        <v>94.64435</v>
      </c>
      <c r="CL11" s="8" t="n">
        <v>94.55916000000001</v>
      </c>
      <c r="CM11" s="8" t="n">
        <v>94.55916000000001</v>
      </c>
      <c r="CN11" s="8" t="n">
        <v>94.64435</v>
      </c>
      <c r="CO11" s="8" t="n">
        <v>94.81471999999999</v>
      </c>
      <c r="CP11" s="8" t="n">
        <v>95.41104</v>
      </c>
      <c r="CQ11" s="8" t="n">
        <v>95.66661000000001</v>
      </c>
      <c r="CR11" s="8" t="n">
        <v>96.09255</v>
      </c>
      <c r="CS11" s="8" t="n">
        <v>96.34811999999999</v>
      </c>
      <c r="CT11" s="8" t="n">
        <v>97.2</v>
      </c>
      <c r="CU11" s="8" t="n">
        <v>97.90000000000001</v>
      </c>
      <c r="CV11" s="8" t="n">
        <v>98.40000000000001</v>
      </c>
      <c r="CW11" s="8" t="n">
        <v>98.8</v>
      </c>
      <c r="CX11" s="8" t="n">
        <v>99</v>
      </c>
      <c r="CY11" s="8" t="n">
        <v>99.40000000000001</v>
      </c>
      <c r="CZ11" s="8" t="n">
        <v>100.2</v>
      </c>
      <c r="DA11" s="8" t="n">
        <v>101.1</v>
      </c>
      <c r="DB11" s="8" t="n">
        <v>102.1</v>
      </c>
      <c r="DC11" s="8" t="n">
        <v>102.3</v>
      </c>
      <c r="DD11" s="8" t="n">
        <v>102</v>
      </c>
      <c r="DE11" s="8" t="n">
        <v>101.4</v>
      </c>
      <c r="DF11" s="8" t="n">
        <v>101.5</v>
      </c>
      <c r="DG11" s="8" t="n">
        <v>101.6</v>
      </c>
      <c r="DH11" s="8" t="n">
        <v>101.7</v>
      </c>
      <c r="DI11" s="8" t="n">
        <v>102</v>
      </c>
      <c r="DJ11" s="8" t="n">
        <v>102.2</v>
      </c>
      <c r="DK11" s="8" t="n">
        <v>102.1</v>
      </c>
      <c r="DL11" s="8" t="n">
        <v>102.4</v>
      </c>
      <c r="DM11" s="8" t="n">
        <v>102.5</v>
      </c>
      <c r="DN11" s="8" t="n">
        <v>102.6</v>
      </c>
      <c r="DO11" s="8" t="n">
        <v>102.9</v>
      </c>
      <c r="DP11" s="8" t="n">
        <v>103.2</v>
      </c>
      <c r="DQ11" s="8" t="n">
        <v>103.8</v>
      </c>
      <c r="DR11" s="8" t="n">
        <v>104.5</v>
      </c>
      <c r="DS11" s="8" t="n">
        <v>104.1</v>
      </c>
      <c r="DT11" s="8" t="n">
        <v>103.9</v>
      </c>
      <c r="DU11" s="8" t="n">
        <v>103.8</v>
      </c>
      <c r="DV11" s="8" t="n">
        <v>103.8</v>
      </c>
      <c r="DW11" s="8" t="n">
        <v>104.4</v>
      </c>
      <c r="DX11" s="8" t="n">
        <v>104.9</v>
      </c>
      <c r="DY11" s="8" t="n">
        <v>104.8</v>
      </c>
      <c r="DZ11" s="8" t="n">
        <v>104.9</v>
      </c>
      <c r="EA11" s="8" t="n">
        <v>105.3</v>
      </c>
      <c r="EB11" s="8" t="n">
        <v>106.3</v>
      </c>
      <c r="EC11" s="8" t="n">
        <v>107.2</v>
      </c>
      <c r="ED11" s="8" t="n">
        <v>108.4</v>
      </c>
      <c r="EE11" s="8" t="n">
        <v>108.5</v>
      </c>
      <c r="EF11" s="8" t="n">
        <v>108.2</v>
      </c>
      <c r="EG11" s="8" t="n">
        <v>108.1</v>
      </c>
      <c r="EH11" s="8" t="n">
        <v>108.1</v>
      </c>
      <c r="EI11" s="8" t="n">
        <v>108.3</v>
      </c>
      <c r="EJ11" s="8" t="n">
        <v>108.8</v>
      </c>
      <c r="EK11" s="8" t="n">
        <v>109.4</v>
      </c>
      <c r="EL11" s="8" t="n">
        <v>109.3</v>
      </c>
      <c r="EM11" s="8" t="n">
        <v>109.5</v>
      </c>
      <c r="EN11" s="8" t="n">
        <v>110.2</v>
      </c>
      <c r="EO11" s="8" t="n">
        <v>110.5</v>
      </c>
      <c r="EP11" s="8" t="n">
        <v>111.7</v>
      </c>
      <c r="EQ11" s="8" t="n">
        <v>111.8</v>
      </c>
      <c r="ER11" s="8" t="n">
        <v>112.5</v>
      </c>
      <c r="ES11" s="8" t="n">
        <v>113.4</v>
      </c>
      <c r="ET11" s="8" t="n">
        <v>113.9</v>
      </c>
      <c r="EU11" s="8" t="n">
        <v>114.9</v>
      </c>
      <c r="EV11" s="8" t="n">
        <v>115.8</v>
      </c>
      <c r="EW11" s="8" t="n">
        <v>116.3</v>
      </c>
      <c r="EX11" s="8" t="n">
        <v>116.8</v>
      </c>
      <c r="EY11" s="8" t="n">
        <v>117.9</v>
      </c>
      <c r="EZ11" s="8" t="n">
        <v>119</v>
      </c>
      <c r="FA11" s="8" t="n">
        <v>119.4</v>
      </c>
      <c r="FB11" s="8" t="n">
        <v>121.4</v>
      </c>
      <c r="FC11" s="8" t="n">
        <v>121.4</v>
      </c>
      <c r="FD11" s="8" t="n">
        <v>121.1</v>
      </c>
      <c r="FE11" s="8" t="n">
        <v>120.9</v>
      </c>
      <c r="FF11" s="8" t="n">
        <v>120.9</v>
      </c>
      <c r="FG11" s="8" t="n">
        <v>121.1</v>
      </c>
      <c r="FH11" s="8" t="n">
        <v>121.2</v>
      </c>
      <c r="FI11" s="8" t="n">
        <v>122.5</v>
      </c>
      <c r="FJ11" s="8" t="n">
        <v>123.9</v>
      </c>
      <c r="FK11" s="8" t="n">
        <v>123.7</v>
      </c>
      <c r="FL11" s="8" t="n">
        <v>123.9</v>
      </c>
      <c r="FM11" s="8" t="n">
        <v>124.1</v>
      </c>
      <c r="FN11" s="8" t="n">
        <v>124.8</v>
      </c>
      <c r="FO11" s="8" t="n">
        <v>125.5</v>
      </c>
      <c r="FP11" s="8" t="n">
        <v>125.6</v>
      </c>
      <c r="FQ11" s="8" t="n">
        <v>125.5</v>
      </c>
      <c r="FR11" s="8" t="n">
        <v>125.6</v>
      </c>
      <c r="FS11" s="8" t="n">
        <v>125.6</v>
      </c>
      <c r="FT11" s="8" t="n">
        <v>126.5</v>
      </c>
      <c r="FU11" s="8" t="n">
        <v>126.6</v>
      </c>
      <c r="FV11" s="8" t="n">
        <v>126.3</v>
      </c>
      <c r="FW11" s="8" t="n">
        <v>126.5</v>
      </c>
      <c r="FX11" s="8" t="n">
        <v>127</v>
      </c>
      <c r="FY11" s="8" t="n">
        <v>127.7</v>
      </c>
      <c r="FZ11" s="8" t="n">
        <v>128.4</v>
      </c>
      <c r="GA11" s="8" t="n">
        <v>128.1</v>
      </c>
      <c r="GB11" s="8" t="n">
        <v>127.8</v>
      </c>
    </row>
  </sheetData>
  <autoFilter ref="A1:GB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19" customWidth="1" min="10" max="10"/>
    <col width="21" customWidth="1" min="11" max="11"/>
    <col width="19" customWidth="1" min="12" max="12"/>
    <col width="20" customWidth="1" min="13" max="13"/>
    <col width="20" customWidth="1" min="14" max="14"/>
    <col width="20" customWidth="1" min="15" max="15"/>
    <col width="19" customWidth="1" min="16" max="16"/>
    <col width="19" customWidth="1" min="17" max="17"/>
    <col width="19" customWidth="1" min="18" max="18"/>
  </cols>
  <sheetData>
    <row r="1" ht="26" customHeight="1">
      <c r="A1" s="5" t="inlineStr">
        <is>
          <t>country_raw</t>
        </is>
      </c>
      <c r="B1" s="5" t="inlineStr">
        <is>
          <t>country</t>
        </is>
      </c>
      <c r="C1" s="5" t="inlineStr">
        <is>
          <t>2010</t>
        </is>
      </c>
      <c r="D1" s="5" t="inlineStr">
        <is>
          <t>2011</t>
        </is>
      </c>
      <c r="E1" s="5" t="inlineStr">
        <is>
          <t>2012</t>
        </is>
      </c>
      <c r="F1" s="5" t="inlineStr">
        <is>
          <t>2013</t>
        </is>
      </c>
      <c r="G1" s="5" t="inlineStr">
        <is>
          <t>2014</t>
        </is>
      </c>
      <c r="H1" s="5" t="inlineStr">
        <is>
          <t>2015</t>
        </is>
      </c>
      <c r="I1" s="5" t="inlineStr">
        <is>
          <t>2016</t>
        </is>
      </c>
      <c r="J1" s="5" t="inlineStr">
        <is>
          <t>2017</t>
        </is>
      </c>
      <c r="K1" s="5" t="inlineStr">
        <is>
          <t>2018</t>
        </is>
      </c>
      <c r="L1" s="5" t="inlineStr">
        <is>
          <t>2019</t>
        </is>
      </c>
      <c r="M1" s="5" t="inlineStr">
        <is>
          <t>2020</t>
        </is>
      </c>
      <c r="N1" s="5" t="inlineStr">
        <is>
          <t>2021</t>
        </is>
      </c>
      <c r="O1" s="5" t="inlineStr">
        <is>
          <t>2022</t>
        </is>
      </c>
      <c r="P1" s="5" t="inlineStr">
        <is>
          <t>2023</t>
        </is>
      </c>
      <c r="Q1" s="5" t="inlineStr">
        <is>
          <t>2024</t>
        </is>
      </c>
      <c r="R1" s="5" t="inlineStr">
        <is>
          <t>2025</t>
        </is>
      </c>
    </row>
    <row r="2" ht="19" customHeight="1">
      <c r="A2" s="6" t="inlineStr">
        <is>
          <t>Indonesia</t>
        </is>
      </c>
      <c r="B2" s="6" t="inlineStr">
        <is>
          <t>Indonesia</t>
        </is>
      </c>
      <c r="C2" s="8" t="n">
        <v>6.22385418062366</v>
      </c>
      <c r="D2" s="8" t="n">
        <v>6.16978420771008</v>
      </c>
      <c r="E2" s="8" t="n">
        <v>6.03005065305615</v>
      </c>
      <c r="F2" s="8" t="n">
        <v>5.5572636889101</v>
      </c>
      <c r="G2" s="8" t="n">
        <v>5.006668425755</v>
      </c>
      <c r="H2" s="8" t="n">
        <v>4.87632230022123</v>
      </c>
      <c r="I2" s="8" t="n">
        <v>5.03306918280177</v>
      </c>
      <c r="J2" s="8" t="n">
        <v>5.06978590134916</v>
      </c>
      <c r="K2" s="8" t="n">
        <v>5.17429153955024</v>
      </c>
      <c r="L2" s="8" t="n">
        <v>5.01928768046282</v>
      </c>
      <c r="M2" s="8" t="n">
        <v>-2.06551182934165</v>
      </c>
      <c r="N2" s="8" t="n">
        <v>3.70288562827751</v>
      </c>
      <c r="O2" s="8" t="n">
        <v>5.30719722664799</v>
      </c>
      <c r="P2" s="8" t="n">
        <v>5.04883117855516</v>
      </c>
      <c r="Q2" s="8" t="n">
        <v>5.03257477088519</v>
      </c>
      <c r="R2" s="8" t="n">
        <v>5.10808904438025</v>
      </c>
    </row>
    <row r="3" ht="19" customHeight="1">
      <c r="A3" s="6" t="inlineStr">
        <is>
          <t>Malaysia</t>
        </is>
      </c>
      <c r="B3" s="6" t="inlineStr">
        <is>
          <t>Malaysia</t>
        </is>
      </c>
      <c r="C3" s="8" t="n">
        <v>7.42484738326097</v>
      </c>
      <c r="D3" s="8" t="n">
        <v>5.29391283414003</v>
      </c>
      <c r="E3" s="8" t="n">
        <v>5.47345419253853</v>
      </c>
      <c r="F3" s="8" t="n">
        <v>4.69372252557893</v>
      </c>
      <c r="G3" s="8" t="n">
        <v>6.00672194558203</v>
      </c>
      <c r="H3" s="8" t="n">
        <v>5.09153242155011</v>
      </c>
      <c r="I3" s="8" t="n">
        <v>4.44978139761541</v>
      </c>
      <c r="J3" s="8" t="n">
        <v>5.81272240983328</v>
      </c>
      <c r="K3" s="8" t="n">
        <v>4.84308697634881</v>
      </c>
      <c r="L3" s="8" t="n">
        <v>4.41318742129586</v>
      </c>
      <c r="M3" s="8" t="n">
        <v>-5.45684658426701</v>
      </c>
      <c r="N3" s="8" t="n">
        <v>3.31534954399166</v>
      </c>
      <c r="O3" s="8" t="n">
        <v>9.031737230444509</v>
      </c>
      <c r="P3" s="8" t="n">
        <v>3.5370638041057</v>
      </c>
      <c r="Q3" s="8" t="n">
        <v>5.10545921024041</v>
      </c>
      <c r="R3" s="8" t="n">
        <v>5.17127082911057</v>
      </c>
    </row>
    <row r="4" ht="19" customHeight="1">
      <c r="A4" s="7" t="inlineStr">
        <is>
          <t>Brunei Darussalam</t>
        </is>
      </c>
      <c r="B4" s="6" t="inlineStr">
        <is>
          <t>Brunei</t>
        </is>
      </c>
      <c r="C4" s="8" t="n">
        <v>2.74136439456163</v>
      </c>
      <c r="D4" s="8" t="n">
        <v>3.74440625524871</v>
      </c>
      <c r="E4" s="8" t="n">
        <v>0.913135189664487</v>
      </c>
      <c r="F4" s="8" t="n">
        <v>-2.12478292664558</v>
      </c>
      <c r="G4" s="8" t="n">
        <v>-2.50788727590711</v>
      </c>
      <c r="H4" s="8" t="n">
        <v>-0.392383749502031</v>
      </c>
      <c r="I4" s="8" t="n">
        <v>-2.47791771833224</v>
      </c>
      <c r="J4" s="8" t="n">
        <v>1.32872661057823</v>
      </c>
      <c r="K4" s="8" t="n">
        <v>0.0523710418528935</v>
      </c>
      <c r="L4" s="8" t="n">
        <v>3.86884436177075</v>
      </c>
      <c r="M4" s="8" t="n">
        <v>1.1335733495246</v>
      </c>
      <c r="N4" s="8" t="n">
        <v>-1.59076260099606</v>
      </c>
      <c r="O4" s="8" t="n">
        <v>-1.62833154515108</v>
      </c>
      <c r="P4" s="8" t="n">
        <v>1.12764418162719</v>
      </c>
      <c r="Q4" s="8" t="n">
        <v>4.05251709306727</v>
      </c>
      <c r="R4" s="8" t="n">
        <v>0.66956214816436</v>
      </c>
    </row>
    <row r="5" ht="19" customHeight="1">
      <c r="A5" s="6" t="inlineStr">
        <is>
          <t>Thailand</t>
        </is>
      </c>
      <c r="B5" s="6" t="inlineStr">
        <is>
          <t>Thailand</t>
        </is>
      </c>
      <c r="C5" s="8" t="n">
        <v>7.51339053261624</v>
      </c>
      <c r="D5" s="8" t="n">
        <v>0.840132083053334</v>
      </c>
      <c r="E5" s="8" t="n">
        <v>7.24279620249642</v>
      </c>
      <c r="F5" s="8" t="n">
        <v>2.68749556320556</v>
      </c>
      <c r="G5" s="8" t="n">
        <v>0.984468863619426</v>
      </c>
      <c r="H5" s="8" t="n">
        <v>3.13404724911635</v>
      </c>
      <c r="I5" s="8" t="n">
        <v>3.43515771692182</v>
      </c>
      <c r="J5" s="8" t="n">
        <v>4.1776810321001</v>
      </c>
      <c r="K5" s="8" t="n">
        <v>4.22287028746071</v>
      </c>
      <c r="L5" s="8" t="n">
        <v>2.11455779628278</v>
      </c>
      <c r="M5" s="8" t="n">
        <v>-6.09306312966953</v>
      </c>
      <c r="N5" s="8" t="n">
        <v>1.55858232076893</v>
      </c>
      <c r="O5" s="8" t="n">
        <v>2.63784213566305</v>
      </c>
      <c r="P5" s="8" t="n">
        <v>2.24883437970568</v>
      </c>
      <c r="Q5" s="8" t="n">
        <v>2.94859986593323</v>
      </c>
      <c r="R5" s="8" t="n">
        <v>2.44247444990198</v>
      </c>
    </row>
    <row r="6" ht="19" customHeight="1">
      <c r="A6" s="6" t="inlineStr">
        <is>
          <t>Singapore</t>
        </is>
      </c>
      <c r="B6" s="6" t="inlineStr">
        <is>
          <t>Singapore</t>
        </is>
      </c>
      <c r="C6" s="8" t="n">
        <v>14.5197497108994</v>
      </c>
      <c r="D6" s="8" t="n">
        <v>6.21493416858989</v>
      </c>
      <c r="E6" s="8" t="n">
        <v>4.43549759378537</v>
      </c>
      <c r="F6" s="8" t="n">
        <v>4.81763099120676</v>
      </c>
      <c r="G6" s="8" t="n">
        <v>3.93554027709007</v>
      </c>
      <c r="H6" s="8" t="n">
        <v>2.97679931634806</v>
      </c>
      <c r="I6" s="8" t="n">
        <v>3.91095306322606</v>
      </c>
      <c r="J6" s="8" t="n">
        <v>4.32679370770501</v>
      </c>
      <c r="K6" s="8" t="n">
        <v>3.18660848474074</v>
      </c>
      <c r="L6" s="8" t="n">
        <v>1.15877947300108</v>
      </c>
      <c r="M6" s="8" t="n">
        <v>-3.61084281729929</v>
      </c>
      <c r="N6" s="8" t="n">
        <v>10.1410845197192</v>
      </c>
      <c r="O6" s="8" t="n">
        <v>4.01027884472296</v>
      </c>
      <c r="P6" s="8" t="n">
        <v>1.45026775889565</v>
      </c>
      <c r="Q6" s="8" t="n">
        <v>5.3435120192366</v>
      </c>
      <c r="R6" s="8" t="n">
        <v>5.02588199508003</v>
      </c>
    </row>
    <row r="7" ht="19" customHeight="1">
      <c r="A7" s="6" t="inlineStr">
        <is>
          <t>Vietnam</t>
        </is>
      </c>
      <c r="B7" s="6" t="inlineStr">
        <is>
          <t>Vietnam</t>
        </is>
      </c>
      <c r="C7" s="8" t="n">
        <v>6.42324482239482</v>
      </c>
      <c r="D7" s="8" t="n">
        <v>6.41316889681683</v>
      </c>
      <c r="E7" s="8" t="n">
        <v>5.5045447041189</v>
      </c>
      <c r="F7" s="8" t="n">
        <v>5.55351081026072</v>
      </c>
      <c r="G7" s="8" t="n">
        <v>6.42224312118567</v>
      </c>
      <c r="H7" s="8" t="n">
        <v>6.98715430598611</v>
      </c>
      <c r="I7" s="8" t="n">
        <v>6.69000892660424</v>
      </c>
      <c r="J7" s="8" t="n">
        <v>6.94019037359206</v>
      </c>
      <c r="K7" s="8" t="n">
        <v>7.46500685572751</v>
      </c>
      <c r="L7" s="8" t="n">
        <v>7.35926270105006</v>
      </c>
      <c r="M7" s="8" t="n">
        <v>2.86541320912272</v>
      </c>
      <c r="N7" s="8" t="n">
        <v>2.55372852648131</v>
      </c>
      <c r="O7" s="8" t="n">
        <v>8.537500412181419</v>
      </c>
      <c r="P7" s="8" t="n">
        <v>4.97865959483225</v>
      </c>
      <c r="Q7" s="8" t="n">
        <v>7.03955197123018</v>
      </c>
      <c r="R7" s="8" t="n">
        <v>8.01882998978245</v>
      </c>
    </row>
    <row r="8" ht="19" customHeight="1">
      <c r="A8" s="7" t="inlineStr">
        <is>
          <t>Laos (Lao PDR)</t>
        </is>
      </c>
      <c r="B8" s="6" t="inlineStr">
        <is>
          <t>Laos</t>
        </is>
      </c>
      <c r="C8" s="8" t="n">
        <v>8.52690551739717</v>
      </c>
      <c r="D8" s="8" t="n">
        <v>8.03865268023725</v>
      </c>
      <c r="E8" s="8" t="n">
        <v>8.02609843461283</v>
      </c>
      <c r="F8" s="8" t="n">
        <v>8.02630022699017</v>
      </c>
      <c r="G8" s="8" t="n">
        <v>7.61196343979319</v>
      </c>
      <c r="H8" s="8" t="n">
        <v>7.27006584373785</v>
      </c>
      <c r="I8" s="8" t="n">
        <v>7.02283625501138</v>
      </c>
      <c r="J8" s="8" t="n">
        <v>6.8925308726989</v>
      </c>
      <c r="K8" s="8" t="n">
        <v>6.24796000755872</v>
      </c>
      <c r="L8" s="8" t="n">
        <v>5.4577350924848</v>
      </c>
      <c r="M8" s="8" t="n">
        <v>0.503031829018681</v>
      </c>
      <c r="N8" s="8" t="n">
        <v>2.52835100486102</v>
      </c>
      <c r="O8" s="8" t="n">
        <v>2.70742652643155</v>
      </c>
      <c r="P8" s="8" t="n">
        <v>3.74568140158232</v>
      </c>
      <c r="Q8" s="8" t="n">
        <v>4.13019264438475</v>
      </c>
      <c r="R8" s="8" t="n">
        <v>4.53760564766725</v>
      </c>
    </row>
    <row r="9" ht="19" customHeight="1">
      <c r="A9" s="6" t="inlineStr">
        <is>
          <t>Cambodia</t>
        </is>
      </c>
      <c r="B9" s="6" t="inlineStr">
        <is>
          <t>Cambodia</t>
        </is>
      </c>
      <c r="C9" s="8" t="n">
        <v>5.07691843229247</v>
      </c>
      <c r="D9" s="8" t="n">
        <v>7.28665813879552</v>
      </c>
      <c r="E9" s="8" t="n">
        <v>7.65025657870362</v>
      </c>
      <c r="F9" s="8" t="n">
        <v>7.8574997554252</v>
      </c>
      <c r="G9" s="8" t="n">
        <v>8.000320746185659</v>
      </c>
      <c r="H9" s="8" t="n">
        <v>7.20703472529512</v>
      </c>
      <c r="I9" s="8" t="n">
        <v>7.90550116130704</v>
      </c>
      <c r="J9" s="8" t="n">
        <v>8.075039155359789</v>
      </c>
      <c r="K9" s="8" t="n">
        <v>8.77622376224463</v>
      </c>
      <c r="L9" s="8" t="n">
        <v>7.93695013588524</v>
      </c>
      <c r="M9" s="8" t="n">
        <v>-3.55572193406549</v>
      </c>
      <c r="N9" s="8" t="n">
        <v>3.08984284148661</v>
      </c>
      <c r="O9" s="8" t="n">
        <v>5.12990110773977</v>
      </c>
      <c r="P9" s="8" t="n">
        <v>5.00733043811898</v>
      </c>
      <c r="Q9" s="8" t="n">
        <v>6.0158145735202</v>
      </c>
      <c r="R9" s="8" t="n">
        <v>5.34932084572877</v>
      </c>
    </row>
    <row r="10" ht="19" customHeight="1">
      <c r="A10" s="6" t="inlineStr">
        <is>
          <t>Myanmar</t>
        </is>
      </c>
      <c r="B10" s="6" t="inlineStr">
        <is>
          <t>Myanmar</t>
        </is>
      </c>
      <c r="C10" s="8" t="n">
        <v>9.634439452000001</v>
      </c>
      <c r="D10" s="8" t="n">
        <v>5.591482378</v>
      </c>
      <c r="E10" s="8" t="n">
        <v>7.332670447</v>
      </c>
      <c r="F10" s="8" t="n">
        <v>8.426001025</v>
      </c>
      <c r="G10" s="8" t="n">
        <v>8.169907456000001</v>
      </c>
      <c r="H10" s="8" t="n">
        <v>6.99284029</v>
      </c>
      <c r="I10" s="8" t="n">
        <v>5.862472915</v>
      </c>
      <c r="J10" s="8" t="n">
        <v>6.136108244</v>
      </c>
      <c r="K10" s="8" t="n">
        <v>6.268862215</v>
      </c>
      <c r="L10" s="8" t="n">
        <v>6.579110068</v>
      </c>
      <c r="M10" s="8" t="n">
        <v>-9.04834718</v>
      </c>
      <c r="N10" s="8" t="n">
        <v>-12.0163725</v>
      </c>
      <c r="O10" s="8" t="n">
        <v>4.037493436</v>
      </c>
      <c r="P10" s="8" t="n">
        <v>0.958446625</v>
      </c>
      <c r="Q10" s="8" t="n">
        <v>-0.97204641</v>
      </c>
      <c r="R10" s="8" t="n">
        <v>-2.01184476</v>
      </c>
    </row>
    <row r="11" ht="19" customHeight="1">
      <c r="A11" s="6" t="inlineStr">
        <is>
          <t>Philipines</t>
        </is>
      </c>
      <c r="B11" s="7" t="inlineStr">
        <is>
          <t>Philippines</t>
        </is>
      </c>
      <c r="C11" s="8" t="n">
        <v>7.33449996034538</v>
      </c>
      <c r="D11" s="8" t="n">
        <v>3.85823282795663</v>
      </c>
      <c r="E11" s="8" t="n">
        <v>6.89695171050985</v>
      </c>
      <c r="F11" s="8" t="n">
        <v>6.75053130142255</v>
      </c>
      <c r="G11" s="8" t="n">
        <v>6.34798748260867</v>
      </c>
      <c r="H11" s="8" t="n">
        <v>6.34830971672761</v>
      </c>
      <c r="I11" s="8" t="n">
        <v>7.14945675000752</v>
      </c>
      <c r="J11" s="8" t="n">
        <v>6.9309883258402</v>
      </c>
      <c r="K11" s="8" t="n">
        <v>6.34148557153473</v>
      </c>
      <c r="L11" s="8" t="n">
        <v>6.11852566221303</v>
      </c>
      <c r="M11" s="8" t="n">
        <v>-9.518294740452969</v>
      </c>
      <c r="N11" s="8" t="n">
        <v>5.71473313185116</v>
      </c>
      <c r="O11" s="8" t="n">
        <v>7.58098212785563</v>
      </c>
      <c r="P11" s="8" t="n">
        <v>5.51894967856043</v>
      </c>
      <c r="Q11" s="8" t="n">
        <v>5.71474526128652</v>
      </c>
      <c r="R11" s="8" t="n">
        <v>4.40240158710621</v>
      </c>
    </row>
  </sheetData>
  <autoFilter ref="A1:R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9" customWidth="1" min="3" max="3"/>
    <col width="19" customWidth="1" min="4" max="4"/>
    <col width="20" customWidth="1" min="5" max="5"/>
    <col width="19" customWidth="1" min="6" max="6"/>
    <col width="19" customWidth="1" min="7" max="7"/>
    <col width="19" customWidth="1" min="8" max="8"/>
    <col width="19" customWidth="1" min="9" max="9"/>
    <col width="21" customWidth="1" min="10" max="10"/>
    <col width="19" customWidth="1" min="11" max="11"/>
    <col width="19" customWidth="1" min="12" max="12"/>
    <col width="21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</cols>
  <sheetData>
    <row r="1" ht="26" customHeight="1">
      <c r="A1" s="5" t="inlineStr">
        <is>
          <t>country_raw</t>
        </is>
      </c>
      <c r="B1" s="5" t="inlineStr">
        <is>
          <t>country</t>
        </is>
      </c>
      <c r="C1" s="5" t="inlineStr">
        <is>
          <t>2010</t>
        </is>
      </c>
      <c r="D1" s="5" t="inlineStr">
        <is>
          <t>2011</t>
        </is>
      </c>
      <c r="E1" s="5" t="inlineStr">
        <is>
          <t>2012</t>
        </is>
      </c>
      <c r="F1" s="5" t="inlineStr">
        <is>
          <t>2013</t>
        </is>
      </c>
      <c r="G1" s="5" t="inlineStr">
        <is>
          <t>2014</t>
        </is>
      </c>
      <c r="H1" s="5" t="inlineStr">
        <is>
          <t>2015</t>
        </is>
      </c>
      <c r="I1" s="5" t="inlineStr">
        <is>
          <t>2016</t>
        </is>
      </c>
      <c r="J1" s="5" t="inlineStr">
        <is>
          <t>2017</t>
        </is>
      </c>
      <c r="K1" s="5" t="inlineStr">
        <is>
          <t>2018</t>
        </is>
      </c>
      <c r="L1" s="5" t="inlineStr">
        <is>
          <t>2019</t>
        </is>
      </c>
      <c r="M1" s="5" t="inlineStr">
        <is>
          <t>2020</t>
        </is>
      </c>
      <c r="N1" s="5" t="inlineStr">
        <is>
          <t>2021</t>
        </is>
      </c>
      <c r="O1" s="5" t="inlineStr">
        <is>
          <t>2022</t>
        </is>
      </c>
      <c r="P1" s="5" t="inlineStr">
        <is>
          <t>2023</t>
        </is>
      </c>
      <c r="Q1" s="5" t="inlineStr">
        <is>
          <t>2024</t>
        </is>
      </c>
      <c r="R1" s="5" t="inlineStr">
        <is>
          <t>2025</t>
        </is>
      </c>
    </row>
    <row r="2" ht="19" customHeight="1">
      <c r="A2" s="6" t="inlineStr">
        <is>
          <t>Indonesia</t>
        </is>
      </c>
      <c r="B2" s="6" t="inlineStr">
        <is>
          <t>Indonesia</t>
        </is>
      </c>
      <c r="C2" s="8" t="n">
        <v>15.4022877708819</v>
      </c>
      <c r="D2" s="8" t="n">
        <v>16.4297838459004</v>
      </c>
      <c r="E2" s="8" t="n">
        <v>14.9549924820176</v>
      </c>
      <c r="F2" s="8" t="n">
        <v>12.7796979445433</v>
      </c>
      <c r="G2" s="8" t="n">
        <v>11.8795193618472</v>
      </c>
      <c r="H2" s="8" t="n">
        <v>8.99699007638042</v>
      </c>
      <c r="I2" s="8" t="n">
        <v>10.028498820515</v>
      </c>
      <c r="J2" s="8" t="n">
        <v>8.27552807924628</v>
      </c>
      <c r="K2" s="8" t="n">
        <v>6.29028912373828</v>
      </c>
      <c r="L2" s="8" t="n">
        <v>6.5404048812978</v>
      </c>
      <c r="M2" s="8" t="n">
        <v>12.533660872002</v>
      </c>
      <c r="N2" s="8" t="n">
        <v>13.9664354665972</v>
      </c>
      <c r="O2" s="8" t="n">
        <v>8.35491255424404</v>
      </c>
      <c r="P2" s="8" t="n">
        <v>3.5003275285658</v>
      </c>
      <c r="Q2" s="8" t="n">
        <v>4.75950395133225</v>
      </c>
      <c r="R2" s="8" t="n">
        <v>9.603759080781121</v>
      </c>
    </row>
    <row r="3" ht="19" customHeight="1">
      <c r="A3" s="6" t="inlineStr">
        <is>
          <t>Malaysia</t>
        </is>
      </c>
      <c r="B3" s="6" t="inlineStr">
        <is>
          <t>Malaysia</t>
        </is>
      </c>
      <c r="C3" s="8" t="n">
        <v>7.34773605081976</v>
      </c>
      <c r="D3" s="8" t="n">
        <v>14.6279382858505</v>
      </c>
      <c r="E3" s="8" t="n">
        <v>8.846019728950751</v>
      </c>
      <c r="F3" s="8" t="n">
        <v>7.39740068231736</v>
      </c>
      <c r="G3" s="8" t="n">
        <v>6.30404808616764</v>
      </c>
      <c r="H3" s="8" t="n">
        <v>3.04353513238196</v>
      </c>
      <c r="I3" s="8" t="n">
        <v>2.80113360263019</v>
      </c>
      <c r="J3" s="8" t="n">
        <v>4.64463909345224</v>
      </c>
      <c r="K3" s="8" t="n">
        <v>7.68802391999255</v>
      </c>
      <c r="L3" s="8" t="n">
        <v>2.6747203213164</v>
      </c>
      <c r="M3" s="8" t="n">
        <v>4.59324770584526</v>
      </c>
      <c r="N3" s="8" t="n">
        <v>5.55903409397077</v>
      </c>
      <c r="O3" s="8" t="n">
        <v>3.99701491521236</v>
      </c>
      <c r="P3" s="8" t="n">
        <v>5.83120097060203</v>
      </c>
      <c r="Q3" s="8" t="n">
        <v>3.27622539832493</v>
      </c>
      <c r="R3" s="8" t="n">
        <v>4.59901331025084</v>
      </c>
    </row>
    <row r="4" ht="19" customHeight="1">
      <c r="A4" s="7" t="inlineStr">
        <is>
          <t>Brunei Darussalam</t>
        </is>
      </c>
      <c r="B4" s="6" t="inlineStr">
        <is>
          <t>Brunei</t>
        </is>
      </c>
      <c r="C4" s="8" t="n">
        <v>4.80704568716595</v>
      </c>
      <c r="D4" s="8" t="n">
        <v>10.0548918063225</v>
      </c>
      <c r="E4" s="8" t="n">
        <v>0.899078957511013</v>
      </c>
      <c r="F4" s="8" t="n">
        <v>1.4662689657432</v>
      </c>
      <c r="G4" s="8" t="n">
        <v>3.22112611646944</v>
      </c>
      <c r="H4" s="8" t="n">
        <v>-1.7593650562943</v>
      </c>
      <c r="I4" s="8" t="n">
        <v>1.50926899284682</v>
      </c>
      <c r="J4" s="8" t="n">
        <v>-0.441585055591851</v>
      </c>
      <c r="K4" s="8" t="n">
        <v>2.83751550037399</v>
      </c>
      <c r="L4" s="8" t="n">
        <v>4.26895996246336</v>
      </c>
      <c r="M4" s="8" t="n">
        <v>-0.429671233653523</v>
      </c>
      <c r="N4" s="8" t="n">
        <v>2.70559579960102</v>
      </c>
      <c r="O4" s="8" t="n">
        <v>1.25150470423448</v>
      </c>
      <c r="P4" s="8" t="n">
        <v>2.68933848962653</v>
      </c>
      <c r="Q4" s="8" t="n">
        <v>3.63299941414195</v>
      </c>
      <c r="R4" s="8" t="n">
        <v>2.15237090741822</v>
      </c>
    </row>
    <row r="5" ht="19" customHeight="1">
      <c r="A5" s="6" t="inlineStr">
        <is>
          <t>Thailand</t>
        </is>
      </c>
      <c r="B5" s="6" t="inlineStr">
        <is>
          <t>Thailand</t>
        </is>
      </c>
      <c r="C5" s="8" t="n">
        <v>10.9429050955698</v>
      </c>
      <c r="D5" s="8" t="n">
        <v>15.1209680158006</v>
      </c>
      <c r="E5" s="8" t="n">
        <v>10.3754478189973</v>
      </c>
      <c r="F5" s="8" t="n">
        <v>7.32085031482377</v>
      </c>
      <c r="G5" s="8" t="n">
        <v>4.64784956646177</v>
      </c>
      <c r="H5" s="8" t="n">
        <v>4.43563648660048</v>
      </c>
      <c r="I5" s="8" t="n">
        <v>4.22178650304791</v>
      </c>
      <c r="J5" s="8" t="n">
        <v>5.01277099942724</v>
      </c>
      <c r="K5" s="8" t="n">
        <v>4.66754763850258</v>
      </c>
      <c r="L5" s="8" t="n">
        <v>3.63689698519263</v>
      </c>
      <c r="M5" s="8" t="n">
        <v>10.159916138524</v>
      </c>
      <c r="N5" s="8" t="n">
        <v>4.80510932600993</v>
      </c>
      <c r="O5" s="8" t="n">
        <v>3.87577190401605</v>
      </c>
      <c r="P5" s="8" t="n">
        <v>1.95048091318844</v>
      </c>
      <c r="Q5" s="8" t="n">
        <v>3.37137348349011</v>
      </c>
      <c r="R5" s="8" t="n">
        <v>4.59901331025084</v>
      </c>
    </row>
    <row r="6" ht="19" customHeight="1">
      <c r="A6" s="6" t="inlineStr">
        <is>
          <t>Singapore</t>
        </is>
      </c>
      <c r="B6" s="6" t="inlineStr">
        <is>
          <t>Singapore</t>
        </is>
      </c>
      <c r="C6" s="8" t="n">
        <v>8.590320534147249</v>
      </c>
      <c r="D6" s="8" t="n">
        <v>9.98812939333385</v>
      </c>
      <c r="E6" s="8" t="n">
        <v>7.22530738682461</v>
      </c>
      <c r="F6" s="8" t="n">
        <v>4.31565677441557</v>
      </c>
      <c r="G6" s="8" t="n">
        <v>3.3317228215038</v>
      </c>
      <c r="H6" s="8" t="n">
        <v>1.5239908444241</v>
      </c>
      <c r="I6" s="8" t="n">
        <v>8.0439173974027</v>
      </c>
      <c r="J6" s="8" t="n">
        <v>3.19855609797754</v>
      </c>
      <c r="K6" s="8" t="n">
        <v>3.90187887013683</v>
      </c>
      <c r="L6" s="8" t="n">
        <v>4.95135060515991</v>
      </c>
      <c r="M6" s="8" t="n">
        <v>13.1910292122895</v>
      </c>
      <c r="N6" s="9" t="inlineStr"/>
      <c r="O6" s="9" t="inlineStr"/>
      <c r="P6" s="9" t="inlineStr"/>
      <c r="Q6" s="9" t="inlineStr"/>
      <c r="R6" s="9" t="inlineStr"/>
    </row>
    <row r="7" ht="19" customHeight="1">
      <c r="A7" s="6" t="inlineStr">
        <is>
          <t>Vietnam</t>
        </is>
      </c>
      <c r="B7" s="6" t="inlineStr">
        <is>
          <t>Vietnam</t>
        </is>
      </c>
      <c r="C7" s="8" t="n">
        <v>29.7146068413459</v>
      </c>
      <c r="D7" s="8" t="n">
        <v>11.9424460401465</v>
      </c>
      <c r="E7" s="8" t="n">
        <v>24.5447476994067</v>
      </c>
      <c r="F7" s="8" t="n">
        <v>21.3994701544947</v>
      </c>
      <c r="G7" s="8" t="n">
        <v>19.7400184853866</v>
      </c>
      <c r="H7" s="8" t="n">
        <v>14.9084399187805</v>
      </c>
      <c r="I7" s="8" t="n">
        <v>17.8803568555182</v>
      </c>
      <c r="J7" s="8" t="n">
        <v>14.2563683115213</v>
      </c>
      <c r="K7" s="8" t="n">
        <v>12.6983839076477</v>
      </c>
      <c r="L7" s="8" t="n">
        <v>13.6213022976993</v>
      </c>
      <c r="M7" s="8" t="n">
        <v>13.6334900036844</v>
      </c>
      <c r="N7" s="8" t="n">
        <v>9.675951414634181</v>
      </c>
      <c r="O7" s="8" t="n">
        <v>5.67940973729915</v>
      </c>
      <c r="P7" s="9" t="inlineStr"/>
      <c r="Q7" s="9" t="inlineStr"/>
      <c r="R7" s="9" t="inlineStr"/>
    </row>
    <row r="8" ht="19" customHeight="1">
      <c r="A8" s="7" t="inlineStr">
        <is>
          <t>Laos (Lao PDR)</t>
        </is>
      </c>
      <c r="B8" s="6" t="inlineStr">
        <is>
          <t>Laos</t>
        </is>
      </c>
      <c r="C8" s="8" t="n">
        <v>39.128963871411</v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</row>
    <row r="9" ht="19" customHeight="1">
      <c r="A9" s="6" t="inlineStr">
        <is>
          <t>Cambodia</t>
        </is>
      </c>
      <c r="B9" s="6" t="inlineStr">
        <is>
          <t>Cambodia</t>
        </is>
      </c>
      <c r="C9" s="8" t="n">
        <v>21.1451258810398</v>
      </c>
      <c r="D9" s="8" t="n">
        <v>14.9081758946153</v>
      </c>
      <c r="E9" s="8" t="n">
        <v>23.8293793587303</v>
      </c>
      <c r="F9" s="8" t="n">
        <v>22.7643015185903</v>
      </c>
      <c r="G9" s="8" t="n">
        <v>3.02214259411503</v>
      </c>
      <c r="H9" s="8" t="n">
        <v>14.9029746661774</v>
      </c>
      <c r="I9" s="8" t="n">
        <v>14.5829421335259</v>
      </c>
      <c r="J9" s="8" t="n">
        <v>17.908652291789</v>
      </c>
      <c r="K9" s="8" t="n">
        <v>5.52274835434654</v>
      </c>
      <c r="L9" s="8" t="n">
        <v>12.833498873342</v>
      </c>
      <c r="M9" s="8" t="n">
        <v>23.8805918338776</v>
      </c>
      <c r="N9" s="8" t="n">
        <v>19.1167360707711</v>
      </c>
      <c r="O9" s="8" t="n">
        <v>30.5917038421641</v>
      </c>
      <c r="P9" s="9" t="inlineStr"/>
      <c r="Q9" s="9" t="inlineStr"/>
      <c r="R9" s="9" t="inlineStr"/>
    </row>
    <row r="10" ht="19" customHeight="1">
      <c r="A10" s="6" t="inlineStr">
        <is>
          <t>Myanmar</t>
        </is>
      </c>
      <c r="B10" s="6" t="inlineStr">
        <is>
          <t>Myanmar</t>
        </is>
      </c>
      <c r="C10" s="8" t="n">
        <v>42.4997268156954</v>
      </c>
      <c r="D10" s="8" t="n">
        <v>30.6013401794564</v>
      </c>
      <c r="E10" s="8" t="n">
        <v>32.5590169313472</v>
      </c>
      <c r="F10" s="8" t="n">
        <v>31.4251476008941</v>
      </c>
      <c r="G10" s="8" t="n">
        <v>20.956889978489</v>
      </c>
      <c r="H10" s="8" t="n">
        <v>30.6729173899543</v>
      </c>
      <c r="I10" s="8" t="n">
        <v>17.4488737254922</v>
      </c>
      <c r="J10" s="8" t="n">
        <v>20.5424223479744</v>
      </c>
      <c r="K10" s="8" t="n">
        <v>14.5703142669963</v>
      </c>
      <c r="L10" s="8" t="n">
        <v>15.5444260829973</v>
      </c>
      <c r="M10" s="8" t="n">
        <v>18.1773771157293</v>
      </c>
      <c r="N10" s="9" t="inlineStr"/>
      <c r="O10" s="9" t="inlineStr"/>
      <c r="P10" s="9" t="inlineStr"/>
      <c r="Q10" s="9" t="inlineStr"/>
      <c r="R10" s="9" t="inlineStr"/>
    </row>
    <row r="11" ht="19" customHeight="1">
      <c r="A11" s="6" t="inlineStr">
        <is>
          <t>Philipines</t>
        </is>
      </c>
      <c r="B11" s="7" t="inlineStr">
        <is>
          <t>Philippines</t>
        </is>
      </c>
      <c r="C11" s="8" t="n">
        <v>10.8970827706007</v>
      </c>
      <c r="D11" s="8" t="n">
        <v>5.30674976285661</v>
      </c>
      <c r="E11" s="8" t="n">
        <v>6.977796231859</v>
      </c>
      <c r="F11" s="8" t="n">
        <v>29.329502551069</v>
      </c>
      <c r="G11" s="8" t="n">
        <v>12.437500484563</v>
      </c>
      <c r="H11" s="8" t="n">
        <v>9.195824605523921</v>
      </c>
      <c r="I11" s="8" t="n">
        <v>13.3262730338008</v>
      </c>
      <c r="J11" s="8" t="n">
        <v>11.4231249478661</v>
      </c>
      <c r="K11" s="8" t="n">
        <v>8.9991457447848</v>
      </c>
      <c r="L11" s="8" t="n">
        <v>9.84392163909669</v>
      </c>
      <c r="M11" s="8" t="n">
        <v>8.65773205885667</v>
      </c>
      <c r="N11" s="8" t="n">
        <v>7.98026843394554</v>
      </c>
      <c r="O11" s="8" t="n">
        <v>7.82033923932235</v>
      </c>
      <c r="P11" s="9" t="inlineStr"/>
      <c r="Q11" s="9" t="inlineStr"/>
      <c r="R11" s="9" t="inlineStr"/>
    </row>
  </sheetData>
  <autoFilter ref="A1:R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 ht="26" customHeight="1">
      <c r="A1" s="5" t="inlineStr">
        <is>
          <t>Month</t>
        </is>
      </c>
      <c r="B1" s="5" t="inlineStr">
        <is>
          <t>Brunei</t>
        </is>
      </c>
      <c r="C1" s="5" t="inlineStr">
        <is>
          <t>Cambodia</t>
        </is>
      </c>
      <c r="D1" s="5" t="inlineStr">
        <is>
          <t>Indonesia</t>
        </is>
      </c>
      <c r="E1" s="5" t="inlineStr">
        <is>
          <t>Malaysia</t>
        </is>
      </c>
      <c r="F1" s="5" t="inlineStr">
        <is>
          <t>Myanmar</t>
        </is>
      </c>
      <c r="G1" s="5" t="inlineStr">
        <is>
          <t>Thailand</t>
        </is>
      </c>
      <c r="H1" s="5" t="inlineStr">
        <is>
          <t>Philippines</t>
        </is>
      </c>
      <c r="I1" s="5" t="inlineStr">
        <is>
          <t>Singapore</t>
        </is>
      </c>
      <c r="J1" s="5" t="inlineStr">
        <is>
          <t>Vietnam</t>
        </is>
      </c>
      <c r="K1" s="5" t="inlineStr">
        <is>
          <t>Laos</t>
        </is>
      </c>
    </row>
    <row r="2" ht="19" customHeight="1">
      <c r="A2" s="6" t="inlineStr">
        <is>
          <t>2010M01</t>
        </is>
      </c>
      <c r="B2" s="8" t="n">
        <v>103.9</v>
      </c>
      <c r="C2" s="8" t="n">
        <v>106.459599623525</v>
      </c>
      <c r="D2" s="8" t="n">
        <v>108.989773385006</v>
      </c>
      <c r="E2" s="8" t="n">
        <v>99.1438248960922</v>
      </c>
      <c r="F2" s="9" t="inlineStr"/>
      <c r="G2" s="8" t="n">
        <v>100.316493500815</v>
      </c>
      <c r="H2" s="8" t="n">
        <v>97.09125674561569</v>
      </c>
      <c r="I2" s="8" t="n">
        <v>104.320649148969</v>
      </c>
      <c r="J2" s="8" t="n">
        <v>111.120177681226</v>
      </c>
      <c r="K2" s="8" t="n">
        <v>114.981701996605</v>
      </c>
    </row>
    <row r="3" ht="19" customHeight="1">
      <c r="A3" s="6" t="inlineStr">
        <is>
          <t>2010M02</t>
        </is>
      </c>
      <c r="B3" s="8" t="n">
        <v>103.98</v>
      </c>
      <c r="C3" s="8" t="n">
        <v>106.834960061863</v>
      </c>
      <c r="D3" s="8" t="n">
        <v>110.339481061418</v>
      </c>
      <c r="E3" s="8" t="n">
        <v>98.86788192845501</v>
      </c>
      <c r="F3" s="9" t="inlineStr"/>
      <c r="G3" s="8" t="n">
        <v>101.262190519151</v>
      </c>
      <c r="H3" s="8" t="n">
        <v>97.69034565534859</v>
      </c>
      <c r="I3" s="8" t="n">
        <v>104.675893903099</v>
      </c>
      <c r="J3" s="8" t="n">
        <v>111.762897445842</v>
      </c>
      <c r="K3" s="8" t="n">
        <v>116.894696757817</v>
      </c>
    </row>
    <row r="4" ht="19" customHeight="1">
      <c r="A4" s="6" t="inlineStr">
        <is>
          <t>2010M03</t>
        </is>
      </c>
      <c r="B4" s="8" t="n">
        <v>104.85</v>
      </c>
      <c r="C4" s="8" t="n">
        <v>106.333545894596</v>
      </c>
      <c r="D4" s="8" t="n">
        <v>112.420289693375</v>
      </c>
      <c r="E4" s="8" t="n">
        <v>101.454351816855</v>
      </c>
      <c r="F4" s="9" t="inlineStr"/>
      <c r="G4" s="8" t="n">
        <v>103.085745507848</v>
      </c>
      <c r="H4" s="8" t="n">
        <v>98.87411540430369</v>
      </c>
      <c r="I4" s="8" t="n">
        <v>105.419863076298</v>
      </c>
      <c r="J4" s="8" t="n">
        <v>110.631034545241</v>
      </c>
      <c r="K4" s="8" t="n">
        <v>116.343757398006</v>
      </c>
    </row>
    <row r="5" ht="19" customHeight="1">
      <c r="A5" s="6" t="inlineStr">
        <is>
          <t>2010M04</t>
        </is>
      </c>
      <c r="B5" s="8" t="n">
        <v>105.26</v>
      </c>
      <c r="C5" s="8" t="n">
        <v>105.323967291612</v>
      </c>
      <c r="D5" s="8" t="n">
        <v>115.123972741244</v>
      </c>
      <c r="E5" s="8" t="n">
        <v>105.275387700244</v>
      </c>
      <c r="F5" s="9" t="inlineStr"/>
      <c r="G5" s="8" t="n">
        <v>103.826538124643</v>
      </c>
      <c r="H5" s="8" t="n">
        <v>101.892754846743</v>
      </c>
      <c r="I5" s="8" t="n">
        <v>107.366949796209</v>
      </c>
      <c r="J5" s="8" t="n">
        <v>110.9076459682</v>
      </c>
      <c r="K5" s="8" t="n">
        <v>117.880569958956</v>
      </c>
    </row>
    <row r="6" ht="19" customHeight="1">
      <c r="A6" s="6" t="inlineStr">
        <is>
          <t>2010M05</t>
        </is>
      </c>
      <c r="B6" s="8" t="n">
        <v>106.24</v>
      </c>
      <c r="C6" s="8" t="n">
        <v>106.662750769571</v>
      </c>
      <c r="D6" s="8" t="n">
        <v>115.257759639485</v>
      </c>
      <c r="E6" s="8" t="n">
        <v>105.489806063013</v>
      </c>
      <c r="F6" s="9" t="inlineStr"/>
      <c r="G6" s="8" t="n">
        <v>105.18547622321</v>
      </c>
      <c r="H6" s="8" t="n">
        <v>101.329331773494</v>
      </c>
      <c r="I6" s="8" t="n">
        <v>109.063453015736</v>
      </c>
      <c r="J6" s="8" t="n">
        <v>114.063475119784</v>
      </c>
      <c r="K6" s="8" t="n">
        <v>121.802405564969</v>
      </c>
    </row>
    <row r="7" ht="19" customHeight="1">
      <c r="A7" s="6" t="inlineStr">
        <is>
          <t>2010M06</t>
        </is>
      </c>
      <c r="B7" s="8" t="n">
        <v>106.5</v>
      </c>
      <c r="C7" s="8" t="n">
        <v>106.88433698725</v>
      </c>
      <c r="D7" s="8" t="n">
        <v>118.092963571164</v>
      </c>
      <c r="E7" s="8" t="n">
        <v>105.826312720137</v>
      </c>
      <c r="F7" s="9" t="inlineStr"/>
      <c r="G7" s="8" t="n">
        <v>105.926973991224</v>
      </c>
      <c r="H7" s="8" t="n">
        <v>100.422357324795</v>
      </c>
      <c r="I7" s="8" t="n">
        <v>109.037868483996</v>
      </c>
      <c r="J7" s="8" t="n">
        <v>115.804328873012</v>
      </c>
      <c r="K7" s="8" t="n">
        <v>123.647073067196</v>
      </c>
    </row>
    <row r="8" ht="19" customHeight="1">
      <c r="A8" s="6" t="inlineStr">
        <is>
          <t>2010M07</t>
        </is>
      </c>
      <c r="B8" s="8" t="n">
        <v>105.96</v>
      </c>
      <c r="C8" s="8" t="n">
        <v>105.239198833223</v>
      </c>
      <c r="D8" s="8" t="n">
        <v>118.434356921867</v>
      </c>
      <c r="E8" s="8" t="n">
        <v>105.779003714336</v>
      </c>
      <c r="F8" s="9" t="inlineStr"/>
      <c r="G8" s="8" t="n">
        <v>104.376355949569</v>
      </c>
      <c r="H8" s="8" t="n">
        <v>98.8225759633977</v>
      </c>
      <c r="I8" s="8" t="n">
        <v>109.128308943855</v>
      </c>
      <c r="J8" s="8" t="n">
        <v>113.198787884905</v>
      </c>
      <c r="K8" s="8" t="n">
        <v>124.449346871936</v>
      </c>
    </row>
    <row r="9" ht="19" customHeight="1">
      <c r="A9" s="6" t="inlineStr">
        <is>
          <t>2010M08</t>
        </is>
      </c>
      <c r="B9" s="8" t="n">
        <v>105.69</v>
      </c>
      <c r="C9" s="8" t="n">
        <v>104.711956687124</v>
      </c>
      <c r="D9" s="8" t="n">
        <v>117.703162217621</v>
      </c>
      <c r="E9" s="8" t="n">
        <v>106.390781742332</v>
      </c>
      <c r="F9" s="9" t="inlineStr"/>
      <c r="G9" s="8" t="n">
        <v>105.16256589195</v>
      </c>
      <c r="H9" s="8" t="n">
        <v>100.436604304559</v>
      </c>
      <c r="I9" s="8" t="n">
        <v>109.600991149934</v>
      </c>
      <c r="J9" s="8" t="n">
        <v>111.071267793535</v>
      </c>
      <c r="K9" s="8" t="n">
        <v>124.017744110012</v>
      </c>
    </row>
    <row r="10" ht="19" customHeight="1">
      <c r="A10" s="6" t="inlineStr">
        <is>
          <t>2010M09</t>
        </is>
      </c>
      <c r="B10" s="8" t="n">
        <v>106.4</v>
      </c>
      <c r="C10" s="8" t="n">
        <v>104.714170028526</v>
      </c>
      <c r="D10" s="8" t="n">
        <v>117.063804467634</v>
      </c>
      <c r="E10" s="8" t="n">
        <v>106.983371268388</v>
      </c>
      <c r="F10" s="9" t="inlineStr"/>
      <c r="G10" s="8" t="n">
        <v>107.298411235455</v>
      </c>
      <c r="H10" s="8" t="n">
        <v>101.541088062705</v>
      </c>
      <c r="I10" s="8" t="n">
        <v>110.492803583188</v>
      </c>
      <c r="J10" s="8" t="n">
        <v>109.815523963782</v>
      </c>
      <c r="K10" s="8" t="n">
        <v>122.660443093449</v>
      </c>
    </row>
    <row r="11" ht="19" customHeight="1">
      <c r="A11" s="6" t="inlineStr">
        <is>
          <t>2010M10</t>
        </is>
      </c>
      <c r="B11" s="8" t="n">
        <v>106.51</v>
      </c>
      <c r="C11" s="8" t="n">
        <v>104.492213773395</v>
      </c>
      <c r="D11" s="8" t="n">
        <v>114.159965396597</v>
      </c>
      <c r="E11" s="8" t="n">
        <v>104.533124931857</v>
      </c>
      <c r="F11" s="9" t="inlineStr"/>
      <c r="G11" s="8" t="n">
        <v>107.462070747453</v>
      </c>
      <c r="H11" s="8" t="n">
        <v>100.789694709577</v>
      </c>
      <c r="I11" s="8" t="n">
        <v>110.278636675657</v>
      </c>
      <c r="J11" s="8" t="n">
        <v>107.330170748297</v>
      </c>
      <c r="K11" s="8" t="n">
        <v>120.315504764198</v>
      </c>
    </row>
    <row r="12" ht="19" customHeight="1">
      <c r="A12" s="6" t="inlineStr">
        <is>
          <t>2010M11</t>
        </is>
      </c>
      <c r="B12" s="8" t="n">
        <v>106.71</v>
      </c>
      <c r="C12" s="8" t="n">
        <v>107.289920051365</v>
      </c>
      <c r="D12" s="8" t="n">
        <v>114.904546312758</v>
      </c>
      <c r="E12" s="8" t="n">
        <v>104.321330888605</v>
      </c>
      <c r="F12" s="9" t="inlineStr"/>
      <c r="G12" s="8" t="n">
        <v>108.115732518606</v>
      </c>
      <c r="H12" s="8" t="n">
        <v>101.65035874695</v>
      </c>
      <c r="I12" s="8" t="n">
        <v>111.217012763842</v>
      </c>
      <c r="J12" s="8" t="n">
        <v>109.759189412614</v>
      </c>
      <c r="K12" s="8" t="n">
        <v>120.38925303347</v>
      </c>
    </row>
    <row r="13" ht="19" customHeight="1">
      <c r="A13" s="6" t="inlineStr">
        <is>
          <t>2010M12</t>
        </is>
      </c>
      <c r="B13" s="8" t="n">
        <v>106.65</v>
      </c>
      <c r="C13" s="8" t="n">
        <v>109.257852019122</v>
      </c>
      <c r="D13" s="8" t="n">
        <v>115.815807185695</v>
      </c>
      <c r="E13" s="8" t="n">
        <v>104.991351323216</v>
      </c>
      <c r="F13" s="9" t="inlineStr"/>
      <c r="G13" s="8" t="n">
        <v>108.578514926829</v>
      </c>
      <c r="H13" s="8" t="n">
        <v>101.613201705533</v>
      </c>
      <c r="I13" s="8" t="n">
        <v>111.766735282619</v>
      </c>
      <c r="J13" s="8" t="n">
        <v>112.948271590015</v>
      </c>
      <c r="K13" s="8" t="n">
        <v>121.197688945071</v>
      </c>
    </row>
    <row r="14" ht="19" customHeight="1">
      <c r="A14" s="6" t="inlineStr">
        <is>
          <t>2011M01</t>
        </is>
      </c>
      <c r="B14" s="8" t="n">
        <v>106.77</v>
      </c>
      <c r="C14" s="8" t="n">
        <v>108.495491859319</v>
      </c>
      <c r="D14" s="8" t="n">
        <v>114.502657373249</v>
      </c>
      <c r="E14" s="8" t="n">
        <v>106.610714972733</v>
      </c>
      <c r="F14" s="9" t="inlineStr"/>
      <c r="G14" s="8" t="n">
        <v>106.051958155368</v>
      </c>
      <c r="H14" s="8" t="n">
        <v>100.317745854824</v>
      </c>
      <c r="I14" s="8" t="n">
        <v>113.642986142294</v>
      </c>
      <c r="J14" s="8" t="n">
        <v>112.951622871222</v>
      </c>
      <c r="K14" s="8" t="n">
        <v>121.879859272332</v>
      </c>
    </row>
    <row r="15" ht="19" customHeight="1">
      <c r="A15" s="6" t="inlineStr">
        <is>
          <t>2011M02</t>
        </is>
      </c>
      <c r="B15" s="8" t="n">
        <v>106.32</v>
      </c>
      <c r="C15" s="8" t="n">
        <v>108.272327902629</v>
      </c>
      <c r="D15" s="8" t="n">
        <v>115.768268253603</v>
      </c>
      <c r="E15" s="8" t="n">
        <v>106.668665466078</v>
      </c>
      <c r="F15" s="9" t="inlineStr"/>
      <c r="G15" s="8" t="n">
        <v>104.707042974463</v>
      </c>
      <c r="H15" s="8" t="n">
        <v>101.592069965461</v>
      </c>
      <c r="I15" s="8" t="n">
        <v>113.436405372288</v>
      </c>
      <c r="J15" s="8" t="n">
        <v>105.069805570366</v>
      </c>
      <c r="K15" s="8" t="n">
        <v>121.979247239703</v>
      </c>
    </row>
    <row r="16" ht="19" customHeight="1">
      <c r="A16" s="6" t="inlineStr">
        <is>
          <t>2011M03</t>
        </is>
      </c>
      <c r="B16" s="8" t="n">
        <v>106.13</v>
      </c>
      <c r="C16" s="8" t="n">
        <v>107.490756757861</v>
      </c>
      <c r="D16" s="8" t="n">
        <v>116.456935548844</v>
      </c>
      <c r="E16" s="8" t="n">
        <v>106.050431784629</v>
      </c>
      <c r="F16" s="9" t="inlineStr"/>
      <c r="G16" s="8" t="n">
        <v>105.107329000097</v>
      </c>
      <c r="H16" s="8" t="n">
        <v>101.426851417435</v>
      </c>
      <c r="I16" s="8" t="n">
        <v>113.261389756769</v>
      </c>
      <c r="J16" s="8" t="n">
        <v>104.344608572733</v>
      </c>
      <c r="K16" s="8" t="n">
        <v>121.393747578408</v>
      </c>
    </row>
    <row r="17" ht="19" customHeight="1">
      <c r="A17" s="6" t="inlineStr">
        <is>
          <t>2011M04</t>
        </is>
      </c>
      <c r="B17" s="8" t="n">
        <v>106.42</v>
      </c>
      <c r="C17" s="8" t="n">
        <v>107.741330779083</v>
      </c>
      <c r="D17" s="8" t="n">
        <v>116.611046178278</v>
      </c>
      <c r="E17" s="8" t="n">
        <v>105.856944478658</v>
      </c>
      <c r="F17" s="9" t="inlineStr"/>
      <c r="G17" s="8" t="n">
        <v>105.946144387431</v>
      </c>
      <c r="H17" s="8" t="n">
        <v>101.187511797562</v>
      </c>
      <c r="I17" s="8" t="n">
        <v>114.017869897527</v>
      </c>
      <c r="J17" s="8" t="n">
        <v>105.880941967844</v>
      </c>
      <c r="K17" s="8" t="n">
        <v>120.644147758663</v>
      </c>
    </row>
    <row r="18" ht="19" customHeight="1">
      <c r="A18" s="6" t="inlineStr">
        <is>
          <t>2011M05</t>
        </is>
      </c>
      <c r="B18" s="8" t="n">
        <v>106.7</v>
      </c>
      <c r="C18" s="8" t="n">
        <v>107.460774778153</v>
      </c>
      <c r="D18" s="8" t="n">
        <v>117.180098984795</v>
      </c>
      <c r="E18" s="8" t="n">
        <v>105.300735245131</v>
      </c>
      <c r="F18" s="9" t="inlineStr"/>
      <c r="G18" s="8" t="n">
        <v>104.658711604614</v>
      </c>
      <c r="H18" s="8" t="n">
        <v>101.124991584081</v>
      </c>
      <c r="I18" s="8" t="n">
        <v>115.012567792698</v>
      </c>
      <c r="J18" s="8" t="n">
        <v>107.807868411933</v>
      </c>
      <c r="K18" s="8" t="n">
        <v>121.790749147241</v>
      </c>
    </row>
    <row r="19" ht="19" customHeight="1">
      <c r="A19" s="6" t="inlineStr">
        <is>
          <t>2011M06</t>
        </is>
      </c>
      <c r="B19" s="8" t="n">
        <v>106.66</v>
      </c>
      <c r="C19" s="8" t="n">
        <v>106.45418199441</v>
      </c>
      <c r="D19" s="8" t="n">
        <v>117.01319126892</v>
      </c>
      <c r="E19" s="8" t="n">
        <v>104.63454896402</v>
      </c>
      <c r="F19" s="9" t="inlineStr"/>
      <c r="G19" s="8" t="n">
        <v>103.508664203768</v>
      </c>
      <c r="H19" s="8" t="n">
        <v>100.604888437568</v>
      </c>
      <c r="I19" s="8" t="n">
        <v>115.287975441514</v>
      </c>
      <c r="J19" s="8" t="n">
        <v>109.156975294064</v>
      </c>
      <c r="K19" s="8" t="n">
        <v>122.160442557756</v>
      </c>
    </row>
    <row r="20" ht="19" customHeight="1">
      <c r="A20" s="6" t="inlineStr">
        <is>
          <t>2011M07</t>
        </is>
      </c>
      <c r="B20" s="8" t="n">
        <v>107.65</v>
      </c>
      <c r="C20" s="8" t="n">
        <v>105.960074790482</v>
      </c>
      <c r="D20" s="8" t="n">
        <v>117.073304412318</v>
      </c>
      <c r="E20" s="8" t="n">
        <v>105.299571307874</v>
      </c>
      <c r="F20" s="9" t="inlineStr"/>
      <c r="G20" s="8" t="n">
        <v>104.647035101431</v>
      </c>
      <c r="H20" s="8" t="n">
        <v>101.306685056814</v>
      </c>
      <c r="I20" s="8" t="n">
        <v>117.382358688103</v>
      </c>
      <c r="J20" s="8" t="n">
        <v>110.196543011028</v>
      </c>
      <c r="K20" s="8" t="n">
        <v>121.819155664349</v>
      </c>
    </row>
    <row r="21" ht="19" customHeight="1">
      <c r="A21" s="6" t="inlineStr">
        <is>
          <t>2011M08</t>
        </is>
      </c>
      <c r="B21" s="8" t="n">
        <v>107.13</v>
      </c>
      <c r="C21" s="8" t="n">
        <v>105.760123013482</v>
      </c>
      <c r="D21" s="8" t="n">
        <v>116.591372245936</v>
      </c>
      <c r="E21" s="8" t="n">
        <v>105.106301340173</v>
      </c>
      <c r="F21" s="9" t="inlineStr"/>
      <c r="G21" s="8" t="n">
        <v>105.075954419415</v>
      </c>
      <c r="H21" s="8" t="n">
        <v>101.729159945075</v>
      </c>
      <c r="I21" s="8" t="n">
        <v>118.017663676598</v>
      </c>
      <c r="J21" s="8" t="n">
        <v>110.711881056179</v>
      </c>
      <c r="K21" s="8" t="n">
        <v>121.329733515602</v>
      </c>
    </row>
    <row r="22" ht="19" customHeight="1">
      <c r="A22" s="6" t="inlineStr">
        <is>
          <t>2011M09</t>
        </is>
      </c>
      <c r="B22" s="8" t="n">
        <v>105.68</v>
      </c>
      <c r="C22" s="8" t="n">
        <v>108.76469544111</v>
      </c>
      <c r="D22" s="8" t="n">
        <v>116.862979326606</v>
      </c>
      <c r="E22" s="8" t="n">
        <v>103.584738411689</v>
      </c>
      <c r="F22" s="9" t="inlineStr"/>
      <c r="G22" s="8" t="n">
        <v>104.848166951679</v>
      </c>
      <c r="H22" s="8" t="n">
        <v>102.048133910688</v>
      </c>
      <c r="I22" s="8" t="n">
        <v>116.177745929022</v>
      </c>
      <c r="J22" s="8" t="n">
        <v>114.001451625789</v>
      </c>
      <c r="K22" s="8" t="n">
        <v>124.424781578323</v>
      </c>
    </row>
    <row r="23" ht="19" customHeight="1">
      <c r="A23" s="6" t="inlineStr">
        <is>
          <t>2011M10</t>
        </is>
      </c>
      <c r="B23" s="8" t="n">
        <v>104.3</v>
      </c>
      <c r="C23" s="8" t="n">
        <v>109.317403318615</v>
      </c>
      <c r="D23" s="8" t="n">
        <v>115.438642159144</v>
      </c>
      <c r="E23" s="8" t="n">
        <v>102.574841617705</v>
      </c>
      <c r="F23" s="9" t="inlineStr"/>
      <c r="G23" s="8" t="n">
        <v>104.169522751238</v>
      </c>
      <c r="H23" s="8" t="n">
        <v>102.090208046284</v>
      </c>
      <c r="I23" s="8" t="n">
        <v>114.642683888008</v>
      </c>
      <c r="J23" s="8" t="n">
        <v>115.053745025618</v>
      </c>
      <c r="K23" s="8" t="n">
        <v>126.133550444234</v>
      </c>
    </row>
    <row r="24" ht="19" customHeight="1">
      <c r="A24" s="6" t="inlineStr">
        <is>
          <t>2011M11</t>
        </is>
      </c>
      <c r="B24" s="8" t="n">
        <v>103.73</v>
      </c>
      <c r="C24" s="8" t="n">
        <v>110.593665338348</v>
      </c>
      <c r="D24" s="8" t="n">
        <v>114.368817042859</v>
      </c>
      <c r="E24" s="8" t="n">
        <v>102.531078045773</v>
      </c>
      <c r="F24" s="9" t="inlineStr"/>
      <c r="G24" s="8" t="n">
        <v>104.622709890839</v>
      </c>
      <c r="H24" s="8" t="n">
        <v>103.094419566526</v>
      </c>
      <c r="I24" s="8" t="n">
        <v>114.676756146766</v>
      </c>
      <c r="J24" s="8" t="n">
        <v>115.309810891815</v>
      </c>
      <c r="K24" s="8" t="n">
        <v>127.446353905058</v>
      </c>
    </row>
    <row r="25" ht="19" customHeight="1">
      <c r="A25" s="6" t="inlineStr">
        <is>
          <t>2011M12</t>
        </is>
      </c>
      <c r="B25" s="8" t="n">
        <v>103.83</v>
      </c>
      <c r="C25" s="8" t="n">
        <v>111.452092334012</v>
      </c>
      <c r="D25" s="8" t="n">
        <v>115.267510572085</v>
      </c>
      <c r="E25" s="8" t="n">
        <v>103.089177274519</v>
      </c>
      <c r="F25" s="9" t="inlineStr"/>
      <c r="G25" s="8" t="n">
        <v>104.307028769194</v>
      </c>
      <c r="H25" s="8" t="n">
        <v>102.768145954385</v>
      </c>
      <c r="I25" s="8" t="n">
        <v>115.106374402182</v>
      </c>
      <c r="J25" s="8" t="n">
        <v>116.984391649322</v>
      </c>
      <c r="K25" s="8" t="n">
        <v>128.632856708342</v>
      </c>
    </row>
    <row r="26" ht="19" customHeight="1">
      <c r="A26" s="6" t="inlineStr">
        <is>
          <t>2012M01</t>
        </is>
      </c>
      <c r="B26" s="8" t="n">
        <v>104.53</v>
      </c>
      <c r="C26" s="8" t="n">
        <v>111.596584542422</v>
      </c>
      <c r="D26" s="8" t="n">
        <v>115.295934373461</v>
      </c>
      <c r="E26" s="8" t="n">
        <v>104.476078261885</v>
      </c>
      <c r="F26" s="9" t="inlineStr"/>
      <c r="G26" s="8" t="n">
        <v>102.907251652196</v>
      </c>
      <c r="H26" s="8" t="n">
        <v>102.606076298544</v>
      </c>
      <c r="I26" s="8" t="n">
        <v>116.851661383843</v>
      </c>
      <c r="J26" s="8" t="n">
        <v>117.444038994025</v>
      </c>
      <c r="K26" s="8" t="n">
        <v>129.432171132677</v>
      </c>
    </row>
    <row r="27" ht="19" customHeight="1">
      <c r="A27" s="6" t="inlineStr">
        <is>
          <t>2012M02</t>
        </is>
      </c>
      <c r="B27" s="8" t="n">
        <v>105.22</v>
      </c>
      <c r="C27" s="8" t="n">
        <v>111.168698705642</v>
      </c>
      <c r="D27" s="8" t="n">
        <v>114.588326162601</v>
      </c>
      <c r="E27" s="8" t="n">
        <v>106.423055348149</v>
      </c>
      <c r="F27" s="9" t="inlineStr"/>
      <c r="G27" s="8" t="n">
        <v>104.953731562443</v>
      </c>
      <c r="H27" s="8" t="n">
        <v>104.037622015217</v>
      </c>
      <c r="I27" s="8" t="n">
        <v>117.716088116895</v>
      </c>
      <c r="J27" s="8" t="n">
        <v>116.48722062541</v>
      </c>
      <c r="K27" s="8" t="n">
        <v>127.175536265557</v>
      </c>
    </row>
    <row r="28" ht="19" customHeight="1">
      <c r="A28" s="6" t="inlineStr">
        <is>
          <t>2012M03</t>
        </is>
      </c>
      <c r="B28" s="8" t="n">
        <v>104.96</v>
      </c>
      <c r="C28" s="8" t="n">
        <v>112.521295534541</v>
      </c>
      <c r="D28" s="8" t="n">
        <v>114.220205923578</v>
      </c>
      <c r="E28" s="8" t="n">
        <v>106.472414551142</v>
      </c>
      <c r="F28" s="9" t="inlineStr"/>
      <c r="G28" s="8" t="n">
        <v>106.521620494438</v>
      </c>
      <c r="H28" s="8" t="n">
        <v>104.669873428764</v>
      </c>
      <c r="I28" s="8" t="n">
        <v>118.918609213578</v>
      </c>
      <c r="J28" s="8" t="n">
        <v>117.785559968475</v>
      </c>
      <c r="K28" s="8" t="n">
        <v>127.707905714709</v>
      </c>
    </row>
    <row r="29" ht="19" customHeight="1">
      <c r="A29" s="6" t="inlineStr">
        <is>
          <t>2012M04</t>
        </is>
      </c>
      <c r="B29" s="8" t="n">
        <v>104.98</v>
      </c>
      <c r="C29" s="8" t="n">
        <v>112.45083577655</v>
      </c>
      <c r="D29" s="8" t="n">
        <v>114.81346106017</v>
      </c>
      <c r="E29" s="8" t="n">
        <v>105.640439222432</v>
      </c>
      <c r="F29" s="8" t="n">
        <v>100</v>
      </c>
      <c r="G29" s="8" t="n">
        <v>105.559253150053</v>
      </c>
      <c r="H29" s="8" t="n">
        <v>105.321863397504</v>
      </c>
      <c r="I29" s="8" t="n">
        <v>120.205595319793</v>
      </c>
      <c r="J29" s="8" t="n">
        <v>117.849847762678</v>
      </c>
      <c r="K29" s="8" t="n">
        <v>128.511213045961</v>
      </c>
    </row>
    <row r="30" ht="19" customHeight="1">
      <c r="A30" s="6" t="inlineStr">
        <is>
          <t>2012M05</t>
        </is>
      </c>
      <c r="B30" s="8" t="n">
        <v>104.98</v>
      </c>
      <c r="C30" s="8" t="n">
        <v>111.180308449562</v>
      </c>
      <c r="D30" s="8" t="n">
        <v>114.288892549306</v>
      </c>
      <c r="E30" s="8" t="n">
        <v>105.147185515686</v>
      </c>
      <c r="F30" s="8" t="n">
        <v>99.80312583659401</v>
      </c>
      <c r="G30" s="8" t="n">
        <v>104.999259080983</v>
      </c>
      <c r="H30" s="8" t="n">
        <v>105.68119550506</v>
      </c>
      <c r="I30" s="8" t="n">
        <v>120.31332021783</v>
      </c>
      <c r="J30" s="8" t="n">
        <v>119.319948945528</v>
      </c>
      <c r="K30" s="8" t="n">
        <v>130.49354746477</v>
      </c>
    </row>
    <row r="31" ht="19" customHeight="1">
      <c r="A31" s="6" t="inlineStr">
        <is>
          <t>2012M06</t>
        </is>
      </c>
      <c r="B31" s="8" t="n">
        <v>104.73</v>
      </c>
      <c r="C31" s="8" t="n">
        <v>111.411585019337</v>
      </c>
      <c r="D31" s="8" t="n">
        <v>114.232820822828</v>
      </c>
      <c r="E31" s="8" t="n">
        <v>103.539694375833</v>
      </c>
      <c r="F31" s="8" t="n">
        <v>98.7994190680671</v>
      </c>
      <c r="G31" s="8" t="n">
        <v>105.083925027962</v>
      </c>
      <c r="H31" s="8" t="n">
        <v>106.963181208062</v>
      </c>
      <c r="I31" s="8" t="n">
        <v>120.489489142006</v>
      </c>
      <c r="J31" s="8" t="n">
        <v>120.351529331306</v>
      </c>
      <c r="K31" s="8" t="n">
        <v>132.169449424106</v>
      </c>
    </row>
    <row r="32" ht="19" customHeight="1">
      <c r="A32" s="6" t="inlineStr">
        <is>
          <t>2012M07</t>
        </is>
      </c>
      <c r="B32" s="8" t="n">
        <v>105.91</v>
      </c>
      <c r="C32" s="8" t="n">
        <v>111.107642275656</v>
      </c>
      <c r="D32" s="8" t="n">
        <v>114.762902609293</v>
      </c>
      <c r="E32" s="8" t="n">
        <v>103.74143301169</v>
      </c>
      <c r="F32" s="8" t="n">
        <v>95.8478793355562</v>
      </c>
      <c r="G32" s="8" t="n">
        <v>105.474825480967</v>
      </c>
      <c r="H32" s="8" t="n">
        <v>109.446857367881</v>
      </c>
      <c r="I32" s="8" t="n">
        <v>121.858757417328</v>
      </c>
      <c r="J32" s="8" t="n">
        <v>120.678957225183</v>
      </c>
      <c r="K32" s="8" t="n">
        <v>131.876477118903</v>
      </c>
    </row>
    <row r="33" ht="19" customHeight="1">
      <c r="A33" s="6" t="inlineStr">
        <is>
          <t>2012M08</t>
        </is>
      </c>
      <c r="B33" s="8" t="n">
        <v>105.53</v>
      </c>
      <c r="C33" s="8" t="n">
        <v>111.484110307093</v>
      </c>
      <c r="D33" s="8" t="n">
        <v>113.209074416096</v>
      </c>
      <c r="E33" s="8" t="n">
        <v>104.608810606723</v>
      </c>
      <c r="F33" s="8" t="n">
        <v>96.18808259529069</v>
      </c>
      <c r="G33" s="8" t="n">
        <v>105.697683285385</v>
      </c>
      <c r="H33" s="8" t="n">
        <v>108.978399107894</v>
      </c>
      <c r="I33" s="8" t="n">
        <v>122.355050279595</v>
      </c>
      <c r="J33" s="8" t="n">
        <v>120.36169038788</v>
      </c>
      <c r="K33" s="8" t="n">
        <v>131.48560050569</v>
      </c>
    </row>
    <row r="34" ht="19" customHeight="1">
      <c r="A34" s="6" t="inlineStr">
        <is>
          <t>2012M09</t>
        </is>
      </c>
      <c r="B34" s="8" t="n">
        <v>105.38</v>
      </c>
      <c r="C34" s="8" t="n">
        <v>110.401325522334</v>
      </c>
      <c r="D34" s="8" t="n">
        <v>110.877818850159</v>
      </c>
      <c r="E34" s="8" t="n">
        <v>104.541921547945</v>
      </c>
      <c r="F34" s="8" t="n">
        <v>97.2742226216307</v>
      </c>
      <c r="G34" s="8" t="n">
        <v>106.234703288265</v>
      </c>
      <c r="H34" s="8" t="n">
        <v>108.363770893118</v>
      </c>
      <c r="I34" s="8" t="n">
        <v>123.309815356773</v>
      </c>
      <c r="J34" s="8" t="n">
        <v>120.38057010032</v>
      </c>
      <c r="K34" s="8" t="n">
        <v>129.676965345177</v>
      </c>
    </row>
    <row r="35" ht="19" customHeight="1">
      <c r="A35" s="6" t="inlineStr">
        <is>
          <t>2012M10</t>
        </is>
      </c>
      <c r="B35" s="8" t="n">
        <v>105.59</v>
      </c>
      <c r="C35" s="8" t="n">
        <v>110.45468732992</v>
      </c>
      <c r="D35" s="8" t="n">
        <v>110.604498397357</v>
      </c>
      <c r="E35" s="8" t="n">
        <v>105.106393742274</v>
      </c>
      <c r="F35" s="8" t="n">
        <v>99.0440574936366</v>
      </c>
      <c r="G35" s="8" t="n">
        <v>107.211438804583</v>
      </c>
      <c r="H35" s="8" t="n">
        <v>108.905821631435</v>
      </c>
      <c r="I35" s="8" t="n">
        <v>123.28734465926</v>
      </c>
      <c r="J35" s="8" t="n">
        <v>120.91310201018</v>
      </c>
      <c r="K35" s="8" t="n">
        <v>129.132607912369</v>
      </c>
    </row>
    <row r="36" ht="19" customHeight="1">
      <c r="A36" s="6" t="inlineStr">
        <is>
          <t>2012M11</t>
        </is>
      </c>
      <c r="B36" s="8" t="n">
        <v>106.07</v>
      </c>
      <c r="C36" s="8" t="n">
        <v>112.088112552828</v>
      </c>
      <c r="D36" s="8" t="n">
        <v>111.195652967608</v>
      </c>
      <c r="E36" s="8" t="n">
        <v>105.771509967503</v>
      </c>
      <c r="F36" s="8" t="n">
        <v>100.098358581546</v>
      </c>
      <c r="G36" s="8" t="n">
        <v>107.624823700106</v>
      </c>
      <c r="H36" s="8" t="n">
        <v>110.402617768259</v>
      </c>
      <c r="I36" s="8" t="n">
        <v>123.99950838354</v>
      </c>
      <c r="J36" s="8" t="n">
        <v>122.356405139264</v>
      </c>
      <c r="K36" s="8" t="n">
        <v>130.376775173837</v>
      </c>
    </row>
    <row r="37" ht="19" customHeight="1">
      <c r="A37" s="6" t="inlineStr">
        <is>
          <t>2012M12</t>
        </is>
      </c>
      <c r="B37" s="8" t="n">
        <v>106.13</v>
      </c>
      <c r="C37" s="8" t="n">
        <v>112.210994428049</v>
      </c>
      <c r="D37" s="8" t="n">
        <v>110.990894843482</v>
      </c>
      <c r="E37" s="8" t="n">
        <v>105.812488001595</v>
      </c>
      <c r="F37" s="8" t="n">
        <v>99.63543829477349</v>
      </c>
      <c r="G37" s="8" t="n">
        <v>108.603365500205</v>
      </c>
      <c r="H37" s="8" t="n">
        <v>110.780980406674</v>
      </c>
      <c r="I37" s="8" t="n">
        <v>125.168361826816</v>
      </c>
      <c r="J37" s="8" t="n">
        <v>122.306898727677</v>
      </c>
      <c r="K37" s="8" t="n">
        <v>130.526814201673</v>
      </c>
    </row>
    <row r="38" ht="19" customHeight="1">
      <c r="A38" s="6" t="inlineStr">
        <is>
          <t>2013M01</t>
        </is>
      </c>
      <c r="B38" s="8" t="n">
        <v>105.41</v>
      </c>
      <c r="C38" s="8" t="n">
        <v>112.088330407109</v>
      </c>
      <c r="D38" s="8" t="n">
        <v>111.188125915786</v>
      </c>
      <c r="E38" s="8" t="n">
        <v>107.241641891801</v>
      </c>
      <c r="F38" s="8" t="n">
        <v>99.00960079723539</v>
      </c>
      <c r="G38" s="8" t="n">
        <v>111.56772743622</v>
      </c>
      <c r="H38" s="8" t="n">
        <v>112.614992789133</v>
      </c>
      <c r="I38" s="8" t="n">
        <v>124.750821774607</v>
      </c>
      <c r="J38" s="8" t="n">
        <v>123.751837581877</v>
      </c>
      <c r="K38" s="8" t="n">
        <v>130.961893053547</v>
      </c>
    </row>
    <row r="39" ht="19" customHeight="1">
      <c r="A39" s="6" t="inlineStr">
        <is>
          <t>2013M02</t>
        </is>
      </c>
      <c r="B39" s="8" t="n">
        <v>105.08</v>
      </c>
      <c r="C39" s="8" t="n">
        <v>112.349809289885</v>
      </c>
      <c r="D39" s="8" t="n">
        <v>113.177129693423</v>
      </c>
      <c r="E39" s="8" t="n">
        <v>105.952360131307</v>
      </c>
      <c r="F39" s="8" t="n">
        <v>98.4328811355177</v>
      </c>
      <c r="G39" s="8" t="n">
        <v>113.595970806685</v>
      </c>
      <c r="H39" s="8" t="n">
        <v>113.947677952376</v>
      </c>
      <c r="I39" s="8" t="n">
        <v>125.974001112328</v>
      </c>
      <c r="J39" s="8" t="n">
        <v>125.464934048924</v>
      </c>
      <c r="K39" s="8" t="n">
        <v>132.245929291668</v>
      </c>
    </row>
    <row r="40" ht="19" customHeight="1">
      <c r="A40" s="6" t="inlineStr">
        <is>
          <t>2013M03</t>
        </is>
      </c>
      <c r="B40" s="8" t="n">
        <v>105.62</v>
      </c>
      <c r="C40" s="8" t="n">
        <v>113.142777220144</v>
      </c>
      <c r="D40" s="8" t="n">
        <v>115.452078336777</v>
      </c>
      <c r="E40" s="8" t="n">
        <v>107.108143274034</v>
      </c>
      <c r="F40" s="8" t="n">
        <v>97.4433071246131</v>
      </c>
      <c r="G40" s="8" t="n">
        <v>116.19800913352</v>
      </c>
      <c r="H40" s="8" t="n">
        <v>115.310495497387</v>
      </c>
      <c r="I40" s="8" t="n">
        <v>125.613102229782</v>
      </c>
      <c r="J40" s="8" t="n">
        <v>127.290241124568</v>
      </c>
      <c r="K40" s="8" t="n">
        <v>135.244787208587</v>
      </c>
    </row>
    <row r="41" ht="19" customHeight="1">
      <c r="A41" s="6" t="inlineStr">
        <is>
          <t>2013M04</t>
        </is>
      </c>
      <c r="B41" s="8" t="n">
        <v>106.2</v>
      </c>
      <c r="C41" s="8" t="n">
        <v>113.170301284107</v>
      </c>
      <c r="D41" s="8" t="n">
        <v>116.178143520839</v>
      </c>
      <c r="E41" s="8" t="n">
        <v>109.663629147177</v>
      </c>
      <c r="F41" s="8" t="n">
        <v>96.5146122095383</v>
      </c>
      <c r="G41" s="8" t="n">
        <v>118.318210589829</v>
      </c>
      <c r="H41" s="8" t="n">
        <v>114.652715449355</v>
      </c>
      <c r="I41" s="8" t="n">
        <v>125.115586401595</v>
      </c>
      <c r="J41" s="8" t="n">
        <v>128.228904508711</v>
      </c>
      <c r="K41" s="8" t="n">
        <v>137.127777802682</v>
      </c>
    </row>
    <row r="42" ht="19" customHeight="1">
      <c r="A42" s="6" t="inlineStr">
        <is>
          <t>2013M05</t>
        </is>
      </c>
      <c r="B42" s="8" t="n">
        <v>105.8</v>
      </c>
      <c r="C42" s="8" t="n">
        <v>113.262058327006</v>
      </c>
      <c r="D42" s="8" t="n">
        <v>116.848667013595</v>
      </c>
      <c r="E42" s="8" t="n">
        <v>111.944940177619</v>
      </c>
      <c r="F42" s="8" t="n">
        <v>93.8107090180858</v>
      </c>
      <c r="G42" s="8" t="n">
        <v>116.406777160456</v>
      </c>
      <c r="H42" s="8" t="n">
        <v>115.276719374235</v>
      </c>
      <c r="I42" s="8" t="n">
        <v>125.068567758355</v>
      </c>
      <c r="J42" s="8" t="n">
        <v>128.869469644592</v>
      </c>
      <c r="K42" s="8" t="n">
        <v>139.665657711753</v>
      </c>
    </row>
    <row r="43" ht="19" customHeight="1">
      <c r="A43" s="6" t="inlineStr">
        <is>
          <t>2013M06</t>
        </is>
      </c>
      <c r="B43" s="8" t="n">
        <v>104.67</v>
      </c>
      <c r="C43" s="8" t="n">
        <v>112.673533672066</v>
      </c>
      <c r="D43" s="8" t="n">
        <v>115.787371221994</v>
      </c>
      <c r="E43" s="8" t="n">
        <v>106.845983965087</v>
      </c>
      <c r="F43" s="8" t="n">
        <v>92.1002135255264</v>
      </c>
      <c r="G43" s="8" t="n">
        <v>111.945837242858</v>
      </c>
      <c r="H43" s="8" t="n">
        <v>110.767818459507</v>
      </c>
      <c r="I43" s="8" t="n">
        <v>124.346907107975</v>
      </c>
      <c r="J43" s="8" t="n">
        <v>128.07980133851</v>
      </c>
      <c r="K43" s="8" t="n">
        <v>140.720044836028</v>
      </c>
    </row>
    <row r="44" ht="19" customHeight="1">
      <c r="A44" s="6" t="inlineStr">
        <is>
          <t>2013M07</t>
        </is>
      </c>
      <c r="B44" s="8" t="n">
        <v>104.79</v>
      </c>
      <c r="C44" s="8" t="n">
        <v>113.751339672767</v>
      </c>
      <c r="D44" s="8" t="n">
        <v>117.234280867597</v>
      </c>
      <c r="E44" s="8" t="n">
        <v>106.304062464162</v>
      </c>
      <c r="F44" s="8" t="n">
        <v>90.4845043556907</v>
      </c>
      <c r="G44" s="8" t="n">
        <v>111.873560416603</v>
      </c>
      <c r="H44" s="8" t="n">
        <v>110.443175577199</v>
      </c>
      <c r="I44" s="8" t="n">
        <v>124.590173487724</v>
      </c>
      <c r="J44" s="8" t="n">
        <v>128.371589702608</v>
      </c>
      <c r="K44" s="8" t="n">
        <v>141.628417890072</v>
      </c>
    </row>
    <row r="45" ht="19" customHeight="1">
      <c r="A45" s="6" t="inlineStr">
        <is>
          <t>2013M08</t>
        </is>
      </c>
      <c r="B45" s="8" t="n">
        <v>104.42</v>
      </c>
      <c r="C45" s="8" t="n">
        <v>113.632887456155</v>
      </c>
      <c r="D45" s="8" t="n">
        <v>111.69502142093</v>
      </c>
      <c r="E45" s="8" t="n">
        <v>102.753740999912</v>
      </c>
      <c r="F45" s="8" t="n">
        <v>92.2645148378481</v>
      </c>
      <c r="G45" s="8" t="n">
        <v>109.47655519933</v>
      </c>
      <c r="H45" s="8" t="n">
        <v>108.656592829679</v>
      </c>
      <c r="I45" s="8" t="n">
        <v>124.169541816049</v>
      </c>
      <c r="J45" s="8" t="n">
        <v>128.803492483819</v>
      </c>
      <c r="K45" s="8" t="n">
        <v>141.39805764081</v>
      </c>
    </row>
    <row r="46" ht="19" customHeight="1">
      <c r="A46" s="6" t="inlineStr">
        <is>
          <t>2013M09</t>
        </is>
      </c>
      <c r="B46" s="8" t="n">
        <v>104.39</v>
      </c>
      <c r="C46" s="8" t="n">
        <v>113.835627237325</v>
      </c>
      <c r="D46" s="8" t="n">
        <v>103.636724434402</v>
      </c>
      <c r="E46" s="8" t="n">
        <v>104.42208089423</v>
      </c>
      <c r="F46" s="8" t="n">
        <v>92.26434287079751</v>
      </c>
      <c r="G46" s="8" t="n">
        <v>109.158116499181</v>
      </c>
      <c r="H46" s="8" t="n">
        <v>108.968511421259</v>
      </c>
      <c r="I46" s="8" t="n">
        <v>125.150968892144</v>
      </c>
      <c r="J46" s="8" t="n">
        <v>129.101239818532</v>
      </c>
      <c r="K46" s="8" t="n">
        <v>141.345136330869</v>
      </c>
    </row>
    <row r="47" ht="19" customHeight="1">
      <c r="A47" s="6" t="inlineStr">
        <is>
          <t>2013M10</t>
        </is>
      </c>
      <c r="B47" s="8" t="n">
        <v>104.69</v>
      </c>
      <c r="C47" s="8" t="n">
        <v>113.478757388684</v>
      </c>
      <c r="D47" s="8" t="n">
        <v>102.463829190994</v>
      </c>
      <c r="E47" s="8" t="n">
        <v>105.726534146742</v>
      </c>
      <c r="F47" s="8" t="n">
        <v>90.9364656600218</v>
      </c>
      <c r="G47" s="8" t="n">
        <v>109.694841552148</v>
      </c>
      <c r="H47" s="8" t="n">
        <v>109.585344342633</v>
      </c>
      <c r="I47" s="8" t="n">
        <v>125.854375706709</v>
      </c>
      <c r="J47" s="8" t="n">
        <v>127.897264452399</v>
      </c>
      <c r="K47" s="8" t="n">
        <v>139.276828356849</v>
      </c>
    </row>
    <row r="48" ht="19" customHeight="1">
      <c r="A48" s="6" t="inlineStr">
        <is>
          <t>2013M11</t>
        </is>
      </c>
      <c r="B48" s="8" t="n">
        <v>105.05</v>
      </c>
      <c r="C48" s="8" t="n">
        <v>115.77540410195</v>
      </c>
      <c r="D48" s="8" t="n">
        <v>101.143598436956</v>
      </c>
      <c r="E48" s="8" t="n">
        <v>105.766988424479</v>
      </c>
      <c r="F48" s="8" t="n">
        <v>91.40033959426709</v>
      </c>
      <c r="G48" s="8" t="n">
        <v>109.178884934656</v>
      </c>
      <c r="H48" s="8" t="n">
        <v>109.739141184364</v>
      </c>
      <c r="I48" s="8" t="n">
        <v>126.911531596469</v>
      </c>
      <c r="J48" s="8" t="n">
        <v>129.441819927563</v>
      </c>
      <c r="K48" s="8" t="n">
        <v>139.656200763847</v>
      </c>
    </row>
    <row r="49" ht="19" customHeight="1">
      <c r="A49" s="6" t="inlineStr">
        <is>
          <t>2013M12</t>
        </is>
      </c>
      <c r="B49" s="8" t="n">
        <v>103.07</v>
      </c>
      <c r="C49" s="8" t="n">
        <v>116.991658688172</v>
      </c>
      <c r="D49" s="8" t="n">
        <v>97.6574887201361</v>
      </c>
      <c r="E49" s="8" t="n">
        <v>104.987469030948</v>
      </c>
      <c r="F49" s="8" t="n">
        <v>91.3925590720624</v>
      </c>
      <c r="G49" s="8" t="n">
        <v>107.674626678381</v>
      </c>
      <c r="H49" s="8" t="n">
        <v>109.78296522571</v>
      </c>
      <c r="I49" s="8" t="n">
        <v>125.854173348898</v>
      </c>
      <c r="J49" s="8" t="n">
        <v>130.414272637944</v>
      </c>
      <c r="K49" s="8" t="n">
        <v>139.698130717445</v>
      </c>
    </row>
    <row r="50" ht="19" customHeight="1">
      <c r="A50" s="6" t="inlineStr">
        <is>
          <t>2014M01</t>
        </is>
      </c>
      <c r="B50" s="8" t="n">
        <v>101.77</v>
      </c>
      <c r="C50" s="8" t="n">
        <v>117.600290581145</v>
      </c>
      <c r="D50" s="8" t="n">
        <v>98.0448118849618</v>
      </c>
      <c r="E50" s="8" t="n">
        <v>104.253262968199</v>
      </c>
      <c r="F50" s="8" t="n">
        <v>92.1356338387391</v>
      </c>
      <c r="G50" s="8" t="n">
        <v>106.585431783475</v>
      </c>
      <c r="H50" s="8" t="n">
        <v>108.496180742559</v>
      </c>
      <c r="I50" s="8" t="n">
        <v>125.146679211143</v>
      </c>
      <c r="J50" s="8" t="n">
        <v>131.885775958072</v>
      </c>
      <c r="K50" s="8" t="n">
        <v>141.128846300376</v>
      </c>
    </row>
    <row r="51" ht="19" customHeight="1">
      <c r="A51" s="6" t="inlineStr">
        <is>
          <t>2014M02</t>
        </is>
      </c>
      <c r="B51" s="8" t="n">
        <v>102.78</v>
      </c>
      <c r="C51" s="8" t="n">
        <v>117.635019204514</v>
      </c>
      <c r="D51" s="8" t="n">
        <v>100.285634342234</v>
      </c>
      <c r="E51" s="8" t="n">
        <v>103.941553183898</v>
      </c>
      <c r="F51" s="8" t="n">
        <v>92.5839533904162</v>
      </c>
      <c r="G51" s="8" t="n">
        <v>107.287954563021</v>
      </c>
      <c r="H51" s="8" t="n">
        <v>108.298777766692</v>
      </c>
      <c r="I51" s="8" t="n">
        <v>125.270940128723</v>
      </c>
      <c r="J51" s="8" t="n">
        <v>131.322832868025</v>
      </c>
      <c r="K51" s="8" t="n">
        <v>140.951534907651</v>
      </c>
    </row>
    <row r="52" ht="19" customHeight="1">
      <c r="A52" s="6" t="inlineStr">
        <is>
          <t>2014M03</t>
        </is>
      </c>
      <c r="B52" s="8" t="n">
        <v>101.86</v>
      </c>
      <c r="C52" s="8" t="n">
        <v>116.985888214432</v>
      </c>
      <c r="D52" s="8" t="n">
        <v>104.593005864942</v>
      </c>
      <c r="E52" s="8" t="n">
        <v>104.490784713558</v>
      </c>
      <c r="F52" s="8" t="n">
        <v>93.8938469445099</v>
      </c>
      <c r="G52" s="8" t="n">
        <v>107.732174288167</v>
      </c>
      <c r="H52" s="8" t="n">
        <v>108.088828550745</v>
      </c>
      <c r="I52" s="8" t="n">
        <v>124.479369744756</v>
      </c>
      <c r="J52" s="8" t="n">
        <v>130.577203279753</v>
      </c>
      <c r="K52" s="8" t="n">
        <v>139.712761148307</v>
      </c>
    </row>
    <row r="53" ht="19" customHeight="1">
      <c r="A53" s="6" t="inlineStr">
        <is>
          <t>2014M04</t>
        </is>
      </c>
      <c r="B53" s="8" t="n">
        <v>102.52</v>
      </c>
      <c r="C53" s="8" t="n">
        <v>116.236361294463</v>
      </c>
      <c r="D53" s="8" t="n">
        <v>104.068944543532</v>
      </c>
      <c r="E53" s="8" t="n">
        <v>104.552916912467</v>
      </c>
      <c r="F53" s="8" t="n">
        <v>94.1520290459017</v>
      </c>
      <c r="G53" s="8" t="n">
        <v>107.429543141659</v>
      </c>
      <c r="H53" s="8" t="n">
        <v>107.807890545415</v>
      </c>
      <c r="I53" s="8" t="n">
        <v>124.778803732893</v>
      </c>
      <c r="J53" s="8" t="n">
        <v>129.98662114179</v>
      </c>
      <c r="K53" s="8" t="n">
        <v>139.325530884755</v>
      </c>
    </row>
    <row r="54" ht="19" customHeight="1">
      <c r="A54" s="6" t="inlineStr">
        <is>
          <t>2014M05</t>
        </is>
      </c>
      <c r="B54" s="8" t="n">
        <v>102.1</v>
      </c>
      <c r="C54" s="8" t="n">
        <v>116.055510673265</v>
      </c>
      <c r="D54" s="8" t="n">
        <v>103.082696824017</v>
      </c>
      <c r="E54" s="8" t="n">
        <v>105.214141559368</v>
      </c>
      <c r="F54" s="8" t="n">
        <v>94.1613349707341</v>
      </c>
      <c r="G54" s="8" t="n">
        <v>106.45475273521</v>
      </c>
      <c r="H54" s="8" t="n">
        <v>109.723542609173</v>
      </c>
      <c r="I54" s="8" t="n">
        <v>124.810818132486</v>
      </c>
      <c r="J54" s="8" t="n">
        <v>129.756534326548</v>
      </c>
      <c r="K54" s="8" t="n">
        <v>139.487593542427</v>
      </c>
    </row>
    <row r="55" ht="19" customHeight="1">
      <c r="A55" s="6" t="inlineStr">
        <is>
          <t>2014M06</t>
        </is>
      </c>
      <c r="B55" s="8" t="n">
        <v>102.35</v>
      </c>
      <c r="C55" s="8" t="n">
        <v>116.262566026914</v>
      </c>
      <c r="D55" s="8" t="n">
        <v>100.155324196558</v>
      </c>
      <c r="E55" s="8" t="n">
        <v>105.824035020727</v>
      </c>
      <c r="F55" s="8" t="n">
        <v>93.7427091529287</v>
      </c>
      <c r="G55" s="8" t="n">
        <v>106.555963215004</v>
      </c>
      <c r="H55" s="8" t="n">
        <v>110.305600303499</v>
      </c>
      <c r="I55" s="8" t="n">
        <v>124.976717647531</v>
      </c>
      <c r="J55" s="8" t="n">
        <v>129.694583702993</v>
      </c>
      <c r="K55" s="8" t="n">
        <v>139.959297800179</v>
      </c>
    </row>
    <row r="56" ht="19" customHeight="1">
      <c r="A56" s="6" t="inlineStr">
        <is>
          <t>2014M07</t>
        </is>
      </c>
      <c r="B56" s="8" t="n">
        <v>102.44</v>
      </c>
      <c r="C56" s="8" t="n">
        <v>116.028575214978</v>
      </c>
      <c r="D56" s="8" t="n">
        <v>102.353125834281</v>
      </c>
      <c r="E56" s="8" t="n">
        <v>107.072414933922</v>
      </c>
      <c r="F56" s="8" t="n">
        <v>93.3904886813387</v>
      </c>
      <c r="G56" s="8" t="n">
        <v>107.967951766835</v>
      </c>
      <c r="H56" s="8" t="n">
        <v>111.729131351783</v>
      </c>
      <c r="I56" s="8" t="n">
        <v>125.329496887905</v>
      </c>
      <c r="J56" s="8" t="n">
        <v>130.338728777179</v>
      </c>
      <c r="K56" s="8" t="n">
        <v>139.771192812724</v>
      </c>
    </row>
    <row r="57" ht="19" customHeight="1">
      <c r="A57" s="6" t="inlineStr">
        <is>
          <t>2014M08</t>
        </is>
      </c>
      <c r="B57" s="8" t="n">
        <v>102.85</v>
      </c>
      <c r="C57" s="8" t="n">
        <v>116.400750364102</v>
      </c>
      <c r="D57" s="8" t="n">
        <v>103.124676207519</v>
      </c>
      <c r="E57" s="8" t="n">
        <v>107.836710704232</v>
      </c>
      <c r="F57" s="8" t="n">
        <v>93.5545561953556</v>
      </c>
      <c r="G57" s="8" t="n">
        <v>108.818859488606</v>
      </c>
      <c r="H57" s="8" t="n">
        <v>111.700880968111</v>
      </c>
      <c r="I57" s="8" t="n">
        <v>125.486166673172</v>
      </c>
      <c r="J57" s="8" t="n">
        <v>131.505705608651</v>
      </c>
      <c r="K57" s="8" t="n">
        <v>140.677465515963</v>
      </c>
    </row>
    <row r="58" ht="19" customHeight="1">
      <c r="A58" s="6" t="inlineStr">
        <is>
          <t>2014M09</t>
        </is>
      </c>
      <c r="B58" s="8" t="n">
        <v>102.92</v>
      </c>
      <c r="C58" s="8" t="n">
        <v>117.167802060789</v>
      </c>
      <c r="D58" s="8" t="n">
        <v>104.255608828916</v>
      </c>
      <c r="E58" s="8" t="n">
        <v>108.494441563244</v>
      </c>
      <c r="F58" s="8" t="n">
        <v>93.46522205977411</v>
      </c>
      <c r="G58" s="8" t="n">
        <v>110.028995952182</v>
      </c>
      <c r="H58" s="8" t="n">
        <v>112.890567968597</v>
      </c>
      <c r="I58" s="8" t="n">
        <v>125.7924755884</v>
      </c>
      <c r="J58" s="8" t="n">
        <v>134.412999441861</v>
      </c>
      <c r="K58" s="8" t="n">
        <v>143.040896719213</v>
      </c>
    </row>
    <row r="59" ht="19" customHeight="1">
      <c r="A59" s="6" t="inlineStr">
        <is>
          <t>2014M10</t>
        </is>
      </c>
      <c r="B59" s="8" t="n">
        <v>102.79</v>
      </c>
      <c r="C59" s="8" t="n">
        <v>117.847642018322</v>
      </c>
      <c r="D59" s="8" t="n">
        <v>103.556290489982</v>
      </c>
      <c r="E59" s="8" t="n">
        <v>108.309078169654</v>
      </c>
      <c r="F59" s="8" t="n">
        <v>93.09399749628599</v>
      </c>
      <c r="G59" s="8" t="n">
        <v>110.14407562657</v>
      </c>
      <c r="H59" s="8" t="n">
        <v>112.230064998515</v>
      </c>
      <c r="I59" s="8" t="n">
        <v>125.95758176362</v>
      </c>
      <c r="J59" s="8" t="n">
        <v>135.947361909638</v>
      </c>
      <c r="K59" s="8" t="n">
        <v>144.97967518609</v>
      </c>
    </row>
    <row r="60" ht="19" customHeight="1">
      <c r="A60" s="6" t="inlineStr">
        <is>
          <t>2014M11</t>
        </is>
      </c>
      <c r="B60" s="8" t="n">
        <v>102.27</v>
      </c>
      <c r="C60" s="8" t="n">
        <v>119.331021328507</v>
      </c>
      <c r="D60" s="8" t="n">
        <v>107.388934226136</v>
      </c>
      <c r="E60" s="8" t="n">
        <v>108.310374617476</v>
      </c>
      <c r="F60" s="8" t="n">
        <v>92.264347063057</v>
      </c>
      <c r="G60" s="8" t="n">
        <v>111.57613201908</v>
      </c>
      <c r="H60" s="8" t="n">
        <v>114.08836357725</v>
      </c>
      <c r="I60" s="8" t="n">
        <v>126.12096643879</v>
      </c>
      <c r="J60" s="8" t="n">
        <v>138.469625309371</v>
      </c>
      <c r="K60" s="8" t="n">
        <v>147.310475810394</v>
      </c>
    </row>
    <row r="61" ht="19" customHeight="1">
      <c r="A61" s="6" t="inlineStr">
        <is>
          <t>2014M12</t>
        </is>
      </c>
      <c r="B61" s="8" t="n">
        <v>103.76</v>
      </c>
      <c r="C61" s="8" t="n">
        <v>120.153971748947</v>
      </c>
      <c r="D61" s="8" t="n">
        <v>108.927023413142</v>
      </c>
      <c r="E61" s="8" t="n">
        <v>105.538912669792</v>
      </c>
      <c r="F61" s="8" t="n">
        <v>94.066279233625</v>
      </c>
      <c r="G61" s="8" t="n">
        <v>112.588816056601</v>
      </c>
      <c r="H61" s="8" t="n">
        <v>116.208845589443</v>
      </c>
      <c r="I61" s="8" t="n">
        <v>125.894494588512</v>
      </c>
      <c r="J61" s="8" t="n">
        <v>140.379557154952</v>
      </c>
      <c r="K61" s="8" t="n">
        <v>148.986063837446</v>
      </c>
    </row>
    <row r="62" ht="19" customHeight="1">
      <c r="A62" s="6" t="inlineStr">
        <is>
          <t>2015M01</t>
        </is>
      </c>
      <c r="B62" s="8" t="n">
        <v>102.79</v>
      </c>
      <c r="C62" s="8" t="n">
        <v>121.750752974266</v>
      </c>
      <c r="D62" s="8" t="n">
        <v>108.991176130838</v>
      </c>
      <c r="E62" s="8" t="n">
        <v>103.045454054872</v>
      </c>
      <c r="F62" s="8" t="n">
        <v>96.74621800899349</v>
      </c>
      <c r="G62" s="8" t="n">
        <v>114.39594746576</v>
      </c>
      <c r="H62" s="8" t="n">
        <v>118.068809631081</v>
      </c>
      <c r="I62" s="8" t="n">
        <v>125.761803159688</v>
      </c>
      <c r="J62" s="8" t="n">
        <v>143.298491871101</v>
      </c>
      <c r="K62" s="8" t="n">
        <v>151.695070518119</v>
      </c>
    </row>
    <row r="63" ht="19" customHeight="1">
      <c r="A63" s="6" t="inlineStr">
        <is>
          <t>2015M02</t>
        </is>
      </c>
      <c r="B63" s="8" t="n">
        <v>101.5</v>
      </c>
      <c r="C63" s="8" t="n">
        <v>123.978401236316</v>
      </c>
      <c r="D63" s="8" t="n">
        <v>108.23297073034</v>
      </c>
      <c r="E63" s="8" t="n">
        <v>102.62364405222</v>
      </c>
      <c r="F63" s="8" t="n">
        <v>97.3900583753576</v>
      </c>
      <c r="G63" s="8" t="n">
        <v>115.831955053704</v>
      </c>
      <c r="H63" s="8" t="n">
        <v>119.839577096443</v>
      </c>
      <c r="I63" s="8" t="n">
        <v>124.905891315495</v>
      </c>
      <c r="J63" s="8" t="n">
        <v>143.70368361672</v>
      </c>
      <c r="K63" s="8" t="n">
        <v>152.087283546245</v>
      </c>
    </row>
    <row r="64" ht="19" customHeight="1">
      <c r="A64" s="6" t="inlineStr">
        <is>
          <t>2015M03</t>
        </is>
      </c>
      <c r="B64" s="8" t="n">
        <v>101.61</v>
      </c>
      <c r="C64" s="8" t="n">
        <v>126.320321691755</v>
      </c>
      <c r="D64" s="8" t="n">
        <v>107.790161906936</v>
      </c>
      <c r="E64" s="8" t="n">
        <v>102.663394342043</v>
      </c>
      <c r="F64" s="8" t="n">
        <v>98.7146933926885</v>
      </c>
      <c r="G64" s="8" t="n">
        <v>117.580863735317</v>
      </c>
      <c r="H64" s="8" t="n">
        <v>120.811446935675</v>
      </c>
      <c r="I64" s="8" t="n">
        <v>124.642130281661</v>
      </c>
      <c r="J64" s="8" t="n">
        <v>146.742582381079</v>
      </c>
      <c r="K64" s="8" t="n">
        <v>154.365380751979</v>
      </c>
    </row>
    <row r="65" ht="19" customHeight="1">
      <c r="A65" s="6" t="inlineStr">
        <is>
          <t>2015M04</t>
        </is>
      </c>
      <c r="B65" s="8" t="n">
        <v>103.13</v>
      </c>
      <c r="C65" s="8" t="n">
        <v>125.682583243922</v>
      </c>
      <c r="D65" s="8" t="n">
        <v>108.854485619453</v>
      </c>
      <c r="E65" s="8" t="n">
        <v>104.258061457349</v>
      </c>
      <c r="F65" s="8" t="n">
        <v>95.5894312921621</v>
      </c>
      <c r="G65" s="8" t="n">
        <v>116.974791863025</v>
      </c>
      <c r="H65" s="8" t="n">
        <v>120.206952115563</v>
      </c>
      <c r="I65" s="8" t="n">
        <v>126.193872152378</v>
      </c>
      <c r="J65" s="8" t="n">
        <v>145.122482613848</v>
      </c>
      <c r="K65" s="8" t="n">
        <v>154.283772049732</v>
      </c>
    </row>
    <row r="66" ht="19" customHeight="1">
      <c r="A66" s="6" t="inlineStr">
        <is>
          <t>2015M05</t>
        </is>
      </c>
      <c r="B66" s="8" t="n">
        <v>102.65</v>
      </c>
      <c r="C66" s="8" t="n">
        <v>123.317606022633</v>
      </c>
      <c r="D66" s="8" t="n">
        <v>106.68354946823</v>
      </c>
      <c r="E66" s="8" t="n">
        <v>104.650776086025</v>
      </c>
      <c r="F66" s="8" t="n">
        <v>93.89840283313499</v>
      </c>
      <c r="G66" s="8" t="n">
        <v>112.077670850207</v>
      </c>
      <c r="H66" s="8" t="n">
        <v>118.759421127555</v>
      </c>
      <c r="I66" s="8" t="n">
        <v>126.773398852328</v>
      </c>
      <c r="J66" s="8" t="n">
        <v>142.603064490147</v>
      </c>
      <c r="K66" s="8" t="n">
        <v>154.993861611332</v>
      </c>
    </row>
    <row r="67" ht="19" customHeight="1">
      <c r="A67" s="6" t="inlineStr">
        <is>
          <t>2015M06</t>
        </is>
      </c>
      <c r="B67" s="8" t="n">
        <v>102.39</v>
      </c>
      <c r="C67" s="8" t="n">
        <v>123.445472661192</v>
      </c>
      <c r="D67" s="8" t="n">
        <v>106.328700900071</v>
      </c>
      <c r="E67" s="8" t="n">
        <v>102.116090091702</v>
      </c>
      <c r="F67" s="8" t="n">
        <v>93.9104806425441</v>
      </c>
      <c r="G67" s="8" t="n">
        <v>112.49587799471</v>
      </c>
      <c r="H67" s="8" t="n">
        <v>118.52767323172</v>
      </c>
      <c r="I67" s="8" t="n">
        <v>126.661048637072</v>
      </c>
      <c r="J67" s="8" t="n">
        <v>143.631221172064</v>
      </c>
      <c r="K67" s="8" t="n">
        <v>155.267374742416</v>
      </c>
    </row>
    <row r="68" ht="19" customHeight="1">
      <c r="A68" s="6" t="inlineStr">
        <is>
          <t>2015M07</t>
        </is>
      </c>
      <c r="B68" s="8" t="n">
        <v>101.75</v>
      </c>
      <c r="C68" s="8" t="n">
        <v>124.379502553655</v>
      </c>
      <c r="D68" s="8" t="n">
        <v>107.30155606</v>
      </c>
      <c r="E68" s="8" t="n">
        <v>102.084227108937</v>
      </c>
      <c r="F68" s="8" t="n">
        <v>89.0826254445367</v>
      </c>
      <c r="G68" s="8" t="n">
        <v>111.480564139868</v>
      </c>
      <c r="H68" s="8" t="n">
        <v>118.662384237762</v>
      </c>
      <c r="I68" s="8" t="n">
        <v>125.88429817059</v>
      </c>
      <c r="J68" s="8" t="n">
        <v>145.642406576655</v>
      </c>
      <c r="K68" s="8" t="n">
        <v>156.984657349959</v>
      </c>
    </row>
    <row r="69" ht="19" customHeight="1">
      <c r="A69" s="6" t="inlineStr">
        <is>
          <t>2015M08</t>
        </is>
      </c>
      <c r="B69" s="8" t="n">
        <v>100.54</v>
      </c>
      <c r="C69" s="8" t="n">
        <v>125.719775042811</v>
      </c>
      <c r="D69" s="8" t="n">
        <v>105.574347113634</v>
      </c>
      <c r="E69" s="8" t="n">
        <v>96.2428392272777</v>
      </c>
      <c r="F69" s="8" t="n">
        <v>91.2852617417837</v>
      </c>
      <c r="G69" s="8" t="n">
        <v>108.756928287048</v>
      </c>
      <c r="H69" s="8" t="n">
        <v>117.533562087069</v>
      </c>
      <c r="I69" s="8" t="n">
        <v>123.485273447844</v>
      </c>
      <c r="J69" s="8" t="n">
        <v>144.326077085997</v>
      </c>
      <c r="K69" s="8" t="n">
        <v>158.892614033867</v>
      </c>
    </row>
    <row r="70" ht="19" customHeight="1">
      <c r="A70" s="6" t="inlineStr">
        <is>
          <t>2015M09</t>
        </is>
      </c>
      <c r="B70" s="8" t="n">
        <v>100.43</v>
      </c>
      <c r="C70" s="8" t="n">
        <v>126.91741029691</v>
      </c>
      <c r="D70" s="8" t="n">
        <v>101.529185719619</v>
      </c>
      <c r="E70" s="8" t="n">
        <v>90.69735719849911</v>
      </c>
      <c r="F70" s="8" t="n">
        <v>89.27599031193689</v>
      </c>
      <c r="G70" s="8" t="n">
        <v>107.025549239335</v>
      </c>
      <c r="H70" s="8" t="n">
        <v>115.887454074395</v>
      </c>
      <c r="I70" s="8" t="n">
        <v>122.999903413118</v>
      </c>
      <c r="J70" s="8" t="n">
        <v>142.041358557386</v>
      </c>
      <c r="K70" s="8" t="n">
        <v>160.717450493188</v>
      </c>
    </row>
    <row r="71" ht="19" customHeight="1">
      <c r="A71" s="6" t="inlineStr">
        <is>
          <t>2015M10</t>
        </is>
      </c>
      <c r="B71" s="8" t="n">
        <v>100.63</v>
      </c>
      <c r="C71" s="8" t="n">
        <v>127.356815111182</v>
      </c>
      <c r="D71" s="8" t="n">
        <v>105.433189582501</v>
      </c>
      <c r="E71" s="8" t="n">
        <v>91.4083997784813</v>
      </c>
      <c r="F71" s="8" t="n">
        <v>89.4104510952113</v>
      </c>
      <c r="G71" s="8" t="n">
        <v>107.499022726366</v>
      </c>
      <c r="H71" s="8" t="n">
        <v>116.507248163844</v>
      </c>
      <c r="I71" s="8" t="n">
        <v>123.117075243594</v>
      </c>
      <c r="J71" s="8" t="n">
        <v>141.903214194329</v>
      </c>
      <c r="K71" s="8" t="n">
        <v>160.223430977077</v>
      </c>
    </row>
    <row r="72" ht="19" customHeight="1">
      <c r="A72" s="6" t="inlineStr">
        <is>
          <t>2015M11</t>
        </is>
      </c>
      <c r="B72" s="8" t="n">
        <v>101.03</v>
      </c>
      <c r="C72" s="8" t="n">
        <v>129.79446244972</v>
      </c>
      <c r="D72" s="8" t="n">
        <v>108.242685930989</v>
      </c>
      <c r="E72" s="8" t="n">
        <v>91.95528840722091</v>
      </c>
      <c r="F72" s="8" t="n">
        <v>90.346774465926</v>
      </c>
      <c r="G72" s="8" t="n">
        <v>108.691622724218</v>
      </c>
      <c r="H72" s="8" t="n">
        <v>116.577296312023</v>
      </c>
      <c r="I72" s="8" t="n">
        <v>123.629313915945</v>
      </c>
      <c r="J72" s="8" t="n">
        <v>144.314993148631</v>
      </c>
      <c r="K72" s="8" t="n">
        <v>162.650341615439</v>
      </c>
    </row>
    <row r="73" ht="19" customHeight="1">
      <c r="A73" s="6" t="inlineStr">
        <is>
          <t>2015M12</t>
        </is>
      </c>
      <c r="B73" s="8" t="n">
        <v>101.45</v>
      </c>
      <c r="C73" s="8" t="n">
        <v>130.12604894822</v>
      </c>
      <c r="D73" s="8" t="n">
        <v>107.55557463104</v>
      </c>
      <c r="E73" s="8" t="n">
        <v>92.7391590462323</v>
      </c>
      <c r="F73" s="8" t="n">
        <v>87.95794791364131</v>
      </c>
      <c r="G73" s="8" t="n">
        <v>107.780271421435</v>
      </c>
      <c r="H73" s="8" t="n">
        <v>116.413795331751</v>
      </c>
      <c r="I73" s="8" t="n">
        <v>123.995953565193</v>
      </c>
      <c r="J73" s="8" t="n">
        <v>144.052772164437</v>
      </c>
      <c r="K73" s="8" t="n">
        <v>162.953488965125</v>
      </c>
    </row>
    <row r="74" ht="19" customHeight="1">
      <c r="A74" s="6" t="inlineStr">
        <is>
          <t>2016M01</t>
        </is>
      </c>
      <c r="B74" s="8" t="n">
        <v>100.63</v>
      </c>
      <c r="C74" s="8" t="n">
        <v>131.244992470449</v>
      </c>
      <c r="D74" s="8" t="n">
        <v>108.123145735296</v>
      </c>
      <c r="E74" s="8" t="n">
        <v>91.6871560781366</v>
      </c>
      <c r="F74" s="8" t="n">
        <v>88.5843701219929</v>
      </c>
      <c r="G74" s="8" t="n">
        <v>107.52630413649</v>
      </c>
      <c r="H74" s="8" t="n">
        <v>116.136777103862</v>
      </c>
      <c r="I74" s="8" t="n">
        <v>122.500007637761</v>
      </c>
      <c r="J74" s="8" t="n">
        <v>145.801314377284</v>
      </c>
      <c r="K74" s="8" t="n">
        <v>164.170311154674</v>
      </c>
    </row>
    <row r="75" ht="19" customHeight="1">
      <c r="A75" s="6" t="inlineStr">
        <is>
          <t>2016M02</t>
        </is>
      </c>
      <c r="B75" s="8" t="n">
        <v>101.53</v>
      </c>
      <c r="C75" s="8" t="n">
        <v>131.010308169964</v>
      </c>
      <c r="D75" s="8" t="n">
        <v>109.862116732485</v>
      </c>
      <c r="E75" s="8" t="n">
        <v>94.0076815273211</v>
      </c>
      <c r="F75" s="8" t="n">
        <v>91.3680704048284</v>
      </c>
      <c r="G75" s="8" t="n">
        <v>107.885186114812</v>
      </c>
      <c r="H75" s="8" t="n">
        <v>114.149073700462</v>
      </c>
      <c r="I75" s="8" t="n">
        <v>122.919452017811</v>
      </c>
      <c r="J75" s="8" t="n">
        <v>143.783225607252</v>
      </c>
      <c r="K75" s="8" t="n">
        <v>162.45434632359</v>
      </c>
    </row>
    <row r="76" ht="19" customHeight="1">
      <c r="A76" s="6" t="inlineStr">
        <is>
          <t>2016M03</t>
        </is>
      </c>
      <c r="B76" s="8" t="n">
        <v>103.05</v>
      </c>
      <c r="C76" s="8" t="n">
        <v>130.207378251581</v>
      </c>
      <c r="D76" s="8" t="n">
        <v>111.614333591856</v>
      </c>
      <c r="E76" s="8" t="n">
        <v>94.9599815726465</v>
      </c>
      <c r="F76" s="8" t="n">
        <v>93.1428782030912</v>
      </c>
      <c r="G76" s="8" t="n">
        <v>107.892332723188</v>
      </c>
      <c r="H76" s="8" t="n">
        <v>115.159780157574</v>
      </c>
      <c r="I76" s="8" t="n">
        <v>124.142787046119</v>
      </c>
      <c r="J76" s="8" t="n">
        <v>143.575034577617</v>
      </c>
      <c r="K76" s="8" t="n">
        <v>160.650913204166</v>
      </c>
    </row>
    <row r="77" ht="19" customHeight="1">
      <c r="A77" s="6" t="inlineStr">
        <is>
          <t>2016M04</t>
        </is>
      </c>
      <c r="B77" s="8" t="n">
        <v>102.56</v>
      </c>
      <c r="C77" s="8" t="n">
        <v>128.939847321294</v>
      </c>
      <c r="D77" s="8" t="n">
        <v>109.422258525685</v>
      </c>
      <c r="E77" s="8" t="n">
        <v>98.0226179394631</v>
      </c>
      <c r="F77" s="8" t="n">
        <v>96.3963773441308</v>
      </c>
      <c r="G77" s="8" t="n">
        <v>106.670725019943</v>
      </c>
      <c r="H77" s="8" t="n">
        <v>114.509557684822</v>
      </c>
      <c r="I77" s="8" t="n">
        <v>124.696588357335</v>
      </c>
      <c r="J77" s="8" t="n">
        <v>141.463747591002</v>
      </c>
      <c r="K77" s="8" t="n">
        <v>158.659048446617</v>
      </c>
    </row>
    <row r="78" ht="19" customHeight="1">
      <c r="A78" s="6" t="inlineStr">
        <is>
          <t>2016M05</t>
        </is>
      </c>
      <c r="B78" s="8" t="n">
        <v>102.13</v>
      </c>
      <c r="C78" s="8" t="n">
        <v>128.647895357004</v>
      </c>
      <c r="D78" s="8" t="n">
        <v>108.058809085608</v>
      </c>
      <c r="E78" s="8" t="n">
        <v>95.1429075607324</v>
      </c>
      <c r="F78" s="8" t="n">
        <v>98.5026718456058</v>
      </c>
      <c r="G78" s="8" t="n">
        <v>106.181572821129</v>
      </c>
      <c r="H78" s="8" t="n">
        <v>113.895303732874</v>
      </c>
      <c r="I78" s="8" t="n">
        <v>122.153024495794</v>
      </c>
      <c r="J78" s="8" t="n">
        <v>142.553859829924</v>
      </c>
      <c r="K78" s="8" t="n">
        <v>160.134890113358</v>
      </c>
    </row>
    <row r="79" ht="19" customHeight="1">
      <c r="A79" s="6" t="inlineStr">
        <is>
          <t>2016M06</t>
        </is>
      </c>
      <c r="B79" s="8" t="n">
        <v>102.78</v>
      </c>
      <c r="C79" s="8" t="n">
        <v>128.38503867494</v>
      </c>
      <c r="D79" s="8" t="n">
        <v>108.348075010609</v>
      </c>
      <c r="E79" s="8" t="n">
        <v>93.8594188079071</v>
      </c>
      <c r="F79" s="8" t="n">
        <v>97.8533161493913</v>
      </c>
      <c r="G79" s="8" t="n">
        <v>105.93409563381</v>
      </c>
      <c r="H79" s="8" t="n">
        <v>114.359266524342</v>
      </c>
      <c r="I79" s="8" t="n">
        <v>124.059461208986</v>
      </c>
      <c r="J79" s="8" t="n">
        <v>142.366692040463</v>
      </c>
      <c r="K79" s="8" t="n">
        <v>160.923851541725</v>
      </c>
    </row>
    <row r="80" ht="19" customHeight="1">
      <c r="A80" s="6" t="inlineStr">
        <is>
          <t>2016M07</t>
        </is>
      </c>
      <c r="B80" s="8" t="n">
        <v>103.89</v>
      </c>
      <c r="C80" s="8" t="n">
        <v>128.750203263912</v>
      </c>
      <c r="D80" s="8" t="n">
        <v>110.804754535859</v>
      </c>
      <c r="E80" s="8" t="n">
        <v>95.8980087299651</v>
      </c>
      <c r="F80" s="8" t="n">
        <v>98.6337005014371</v>
      </c>
      <c r="G80" s="8" t="n">
        <v>106.46141102162</v>
      </c>
      <c r="H80" s="8" t="n">
        <v>112.948053354521</v>
      </c>
      <c r="I80" s="8" t="n">
        <v>124.352577767133</v>
      </c>
      <c r="J80" s="8" t="n">
        <v>143.34175381841</v>
      </c>
      <c r="K80" s="8" t="n">
        <v>162.354693431469</v>
      </c>
    </row>
    <row r="81" ht="19" customHeight="1">
      <c r="A81" s="6" t="inlineStr">
        <is>
          <t>2016M08</t>
        </is>
      </c>
      <c r="B81" s="8" t="n">
        <v>103.56</v>
      </c>
      <c r="C81" s="8" t="n">
        <v>127.686837203895</v>
      </c>
      <c r="D81" s="8" t="n">
        <v>109.294347465365</v>
      </c>
      <c r="E81" s="8" t="n">
        <v>94.9279319796083</v>
      </c>
      <c r="F81" s="8" t="n">
        <v>96.2670584388968</v>
      </c>
      <c r="G81" s="8" t="n">
        <v>106.350167714632</v>
      </c>
      <c r="H81" s="8" t="n">
        <v>112.647410632073</v>
      </c>
      <c r="I81" s="8" t="n">
        <v>123.551498704505</v>
      </c>
      <c r="J81" s="8" t="n">
        <v>141.383337677935</v>
      </c>
      <c r="K81" s="8" t="n">
        <v>160.695930144173</v>
      </c>
    </row>
    <row r="82" ht="19" customHeight="1">
      <c r="A82" s="6" t="inlineStr">
        <is>
          <t>2016M09</t>
        </is>
      </c>
      <c r="B82" s="8" t="n">
        <v>102.8</v>
      </c>
      <c r="C82" s="8" t="n">
        <v>128.050430250376</v>
      </c>
      <c r="D82" s="8" t="n">
        <v>110.395773325016</v>
      </c>
      <c r="E82" s="8" t="n">
        <v>93.02455703398959</v>
      </c>
      <c r="F82" s="8" t="n">
        <v>93.2572672841048</v>
      </c>
      <c r="G82" s="8" t="n">
        <v>106.459860454629</v>
      </c>
      <c r="H82" s="8" t="n">
        <v>111.149691871471</v>
      </c>
      <c r="I82" s="8" t="n">
        <v>122.740768797541</v>
      </c>
      <c r="J82" s="8" t="n">
        <v>142.018648262542</v>
      </c>
      <c r="K82" s="8" t="n">
        <v>160.565293024786</v>
      </c>
    </row>
    <row r="83" ht="19" customHeight="1">
      <c r="A83" s="6" t="inlineStr">
        <is>
          <t>2016M10</t>
        </is>
      </c>
      <c r="B83" s="8" t="n">
        <v>102.89</v>
      </c>
      <c r="C83" s="8" t="n">
        <v>130.273300407796</v>
      </c>
      <c r="D83" s="8" t="n">
        <v>112.660170166214</v>
      </c>
      <c r="E83" s="8" t="n">
        <v>92.535423094826</v>
      </c>
      <c r="F83" s="8" t="n">
        <v>91.47335483207711</v>
      </c>
      <c r="G83" s="8" t="n">
        <v>106.558009455899</v>
      </c>
      <c r="H83" s="8" t="n">
        <v>110.221006192535</v>
      </c>
      <c r="I83" s="8" t="n">
        <v>121.603011274501</v>
      </c>
      <c r="J83" s="8" t="n">
        <v>144.446997071094</v>
      </c>
      <c r="K83" s="8" t="n">
        <v>162.149124931569</v>
      </c>
    </row>
    <row r="84" ht="19" customHeight="1">
      <c r="A84" s="6" t="inlineStr">
        <is>
          <t>2016M11</t>
        </is>
      </c>
      <c r="B84" s="8" t="n">
        <v>102.31</v>
      </c>
      <c r="C84" s="8" t="n">
        <v>133.53784490496</v>
      </c>
      <c r="D84" s="8" t="n">
        <v>112.679039440313</v>
      </c>
      <c r="E84" s="8" t="n">
        <v>91.08492216351929</v>
      </c>
      <c r="F84" s="8" t="n">
        <v>91.8656928382469</v>
      </c>
      <c r="G84" s="8" t="n">
        <v>107.61417172097</v>
      </c>
      <c r="H84" s="8" t="n">
        <v>110.551427694447</v>
      </c>
      <c r="I84" s="8" t="n">
        <v>121.194373259292</v>
      </c>
      <c r="J84" s="8" t="n">
        <v>146.914596589347</v>
      </c>
      <c r="K84" s="8" t="n">
        <v>164.056998056483</v>
      </c>
    </row>
    <row r="85" ht="19" customHeight="1">
      <c r="A85" s="6" t="inlineStr">
        <is>
          <t>2016M12</t>
        </is>
      </c>
      <c r="B85" s="8" t="n">
        <v>101.09</v>
      </c>
      <c r="C85" s="8" t="n">
        <v>135.36328010226</v>
      </c>
      <c r="D85" s="8" t="n">
        <v>114.293327432721</v>
      </c>
      <c r="E85" s="8" t="n">
        <v>90.2362092522754</v>
      </c>
      <c r="F85" s="8" t="n">
        <v>90.4857830270393</v>
      </c>
      <c r="G85" s="8" t="n">
        <v>109.001643414747</v>
      </c>
      <c r="H85" s="8" t="n">
        <v>111.914803729917</v>
      </c>
      <c r="I85" s="8" t="n">
        <v>121.498145515597</v>
      </c>
      <c r="J85" s="8" t="n">
        <v>149.337408012286</v>
      </c>
      <c r="K85" s="8" t="n">
        <v>166.724887697157</v>
      </c>
    </row>
    <row r="86" ht="19" customHeight="1">
      <c r="A86" s="6" t="inlineStr">
        <is>
          <t>2017M01</t>
        </is>
      </c>
      <c r="B86" s="8" t="n">
        <v>100</v>
      </c>
      <c r="C86" s="8" t="n">
        <v>134.942800484805</v>
      </c>
      <c r="D86" s="8" t="n">
        <v>114.642471445003</v>
      </c>
      <c r="E86" s="8" t="n">
        <v>90.7074010766369</v>
      </c>
      <c r="F86" s="8" t="n">
        <v>90.070445147111</v>
      </c>
      <c r="G86" s="8" t="n">
        <v>109.511908447995</v>
      </c>
      <c r="H86" s="8" t="n">
        <v>111.493932030534</v>
      </c>
      <c r="I86" s="8" t="n">
        <v>121.672275471607</v>
      </c>
      <c r="J86" s="8" t="n">
        <v>149.603951074739</v>
      </c>
      <c r="K86" s="8" t="n">
        <v>164.567422746824</v>
      </c>
    </row>
    <row r="87" ht="19" customHeight="1">
      <c r="A87" s="6" t="inlineStr">
        <is>
          <t>2017M02</t>
        </is>
      </c>
      <c r="B87" s="8" t="n">
        <v>100.22</v>
      </c>
      <c r="C87" s="8" t="n">
        <v>134.511243001585</v>
      </c>
      <c r="D87" s="8" t="n">
        <v>114.106561419</v>
      </c>
      <c r="E87" s="8" t="n">
        <v>91.1770457383228</v>
      </c>
      <c r="F87" s="8" t="n">
        <v>89.3761790431948</v>
      </c>
      <c r="G87" s="8" t="n">
        <v>109.853165131925</v>
      </c>
      <c r="H87" s="8" t="n">
        <v>110.282009375541</v>
      </c>
      <c r="I87" s="8" t="n">
        <v>121.350494396627</v>
      </c>
      <c r="J87" s="8" t="n">
        <v>146.478054168696</v>
      </c>
      <c r="K87" s="8" t="n">
        <v>162.103238128045</v>
      </c>
    </row>
    <row r="88" ht="19" customHeight="1">
      <c r="A88" s="6" t="inlineStr">
        <is>
          <t>2017M03</t>
        </is>
      </c>
      <c r="B88" s="8" t="n">
        <v>100.64</v>
      </c>
      <c r="C88" s="8" t="n">
        <v>135.159988504492</v>
      </c>
      <c r="D88" s="8" t="n">
        <v>114.117156827445</v>
      </c>
      <c r="E88" s="8" t="n">
        <v>91.2860880491309</v>
      </c>
      <c r="F88" s="8" t="n">
        <v>88.8014604069264</v>
      </c>
      <c r="G88" s="8" t="n">
        <v>109.652276006883</v>
      </c>
      <c r="H88" s="8" t="n">
        <v>109.556766594208</v>
      </c>
      <c r="I88" s="8" t="n">
        <v>121.985168174744</v>
      </c>
      <c r="J88" s="8" t="n">
        <v>146.64653633288</v>
      </c>
      <c r="K88" s="8" t="n">
        <v>161.90954132216</v>
      </c>
    </row>
    <row r="89" ht="19" customHeight="1">
      <c r="A89" s="6" t="inlineStr">
        <is>
          <t>2017M04</t>
        </is>
      </c>
      <c r="B89" s="8" t="n">
        <v>100.16</v>
      </c>
      <c r="C89" s="8" t="n">
        <v>133.781072961404</v>
      </c>
      <c r="D89" s="8" t="n">
        <v>113.711842810007</v>
      </c>
      <c r="E89" s="8" t="n">
        <v>90.9711142083594</v>
      </c>
      <c r="F89" s="8" t="n">
        <v>88.0407993454906</v>
      </c>
      <c r="G89" s="8" t="n">
        <v>109.883883013545</v>
      </c>
      <c r="H89" s="8" t="n">
        <v>109.750365421482</v>
      </c>
      <c r="I89" s="8" t="n">
        <v>121.80363332817</v>
      </c>
      <c r="J89" s="8" t="n">
        <v>146.075278668816</v>
      </c>
      <c r="K89" s="8" t="n">
        <v>160.224773705842</v>
      </c>
    </row>
    <row r="90" ht="19" customHeight="1">
      <c r="A90" s="6" t="inlineStr">
        <is>
          <t>2017M05</t>
        </is>
      </c>
      <c r="B90" s="8" t="n">
        <v>99.91</v>
      </c>
      <c r="C90" s="8" t="n">
        <v>131.708492279555</v>
      </c>
      <c r="D90" s="8" t="n">
        <v>113.426826954777</v>
      </c>
      <c r="E90" s="8" t="n">
        <v>92.5199545811161</v>
      </c>
      <c r="F90" s="8" t="n">
        <v>87.3640755538306</v>
      </c>
      <c r="G90" s="8" t="n">
        <v>109.288854091728</v>
      </c>
      <c r="H90" s="8" t="n">
        <v>109.482154151971</v>
      </c>
      <c r="I90" s="8" t="n">
        <v>121.324694101202</v>
      </c>
      <c r="J90" s="8" t="n">
        <v>144.088719145596</v>
      </c>
      <c r="K90" s="8" t="n">
        <v>159.116655586032</v>
      </c>
    </row>
    <row r="91" ht="19" customHeight="1">
      <c r="A91" s="6" t="inlineStr">
        <is>
          <t>2017M06</t>
        </is>
      </c>
      <c r="B91" s="8" t="n">
        <v>100.01</v>
      </c>
      <c r="C91" s="8" t="n">
        <v>129.958696543864</v>
      </c>
      <c r="D91" s="8" t="n">
        <v>113.125429332379</v>
      </c>
      <c r="E91" s="8" t="n">
        <v>92.5767222344833</v>
      </c>
      <c r="F91" s="8" t="n">
        <v>86.71526170013369</v>
      </c>
      <c r="G91" s="8" t="n">
        <v>109.952467615621</v>
      </c>
      <c r="H91" s="8" t="n">
        <v>108.744553110664</v>
      </c>
      <c r="I91" s="8" t="n">
        <v>121.306631665768</v>
      </c>
      <c r="J91" s="8" t="n">
        <v>142.573180269762</v>
      </c>
      <c r="K91" s="8" t="n">
        <v>156.484224915039</v>
      </c>
    </row>
    <row r="92" ht="19" customHeight="1">
      <c r="A92" s="6" t="inlineStr">
        <is>
          <t>2017M07</t>
        </is>
      </c>
      <c r="B92" s="8" t="n">
        <v>100.56</v>
      </c>
      <c r="C92" s="8" t="n">
        <v>129.028591086334</v>
      </c>
      <c r="D92" s="8" t="n">
        <v>112.029949363663</v>
      </c>
      <c r="E92" s="8" t="n">
        <v>91.7854459807417</v>
      </c>
      <c r="F92" s="8" t="n">
        <v>85.93199527614991</v>
      </c>
      <c r="G92" s="8" t="n">
        <v>110.252283974423</v>
      </c>
      <c r="H92" s="8" t="n">
        <v>106.626469593423</v>
      </c>
      <c r="I92" s="8" t="n">
        <v>121.819511639425</v>
      </c>
      <c r="J92" s="8" t="n">
        <v>141.913103609699</v>
      </c>
      <c r="K92" s="8" t="n">
        <v>153.970446111421</v>
      </c>
    </row>
    <row r="93" ht="19" customHeight="1">
      <c r="A93" s="6" t="inlineStr">
        <is>
          <t>2017M08</t>
        </is>
      </c>
      <c r="B93" s="8" t="n">
        <v>100.06</v>
      </c>
      <c r="C93" s="8" t="n">
        <v>128.073152835879</v>
      </c>
      <c r="D93" s="8" t="n">
        <v>110.578180404003</v>
      </c>
      <c r="E93" s="8" t="n">
        <v>91.3554707414503</v>
      </c>
      <c r="F93" s="8" t="n">
        <v>85.1401251123515</v>
      </c>
      <c r="G93" s="8" t="n">
        <v>110.474336626901</v>
      </c>
      <c r="H93" s="8" t="n">
        <v>104.99170373595</v>
      </c>
      <c r="I93" s="8" t="n">
        <v>121.203332742789</v>
      </c>
      <c r="J93" s="8" t="n">
        <v>140.652714291095</v>
      </c>
      <c r="K93" s="8" t="n">
        <v>150.988159623463</v>
      </c>
    </row>
    <row r="94" ht="19" customHeight="1">
      <c r="A94" s="6" t="inlineStr">
        <is>
          <t>2017M09</t>
        </is>
      </c>
      <c r="B94" s="8" t="n">
        <v>99.87</v>
      </c>
      <c r="C94" s="8" t="n">
        <v>128.352136041992</v>
      </c>
      <c r="D94" s="8" t="n">
        <v>110.547150315847</v>
      </c>
      <c r="E94" s="8" t="n">
        <v>92.7674225512249</v>
      </c>
      <c r="F94" s="8" t="n">
        <v>85.2397795919962</v>
      </c>
      <c r="G94" s="8" t="n">
        <v>110.607556574347</v>
      </c>
      <c r="H94" s="8" t="n">
        <v>104.699901465075</v>
      </c>
      <c r="I94" s="8" t="n">
        <v>121.300957694168</v>
      </c>
      <c r="J94" s="8" t="n">
        <v>140.276033535573</v>
      </c>
      <c r="K94" s="8" t="n">
        <v>149.550645727438</v>
      </c>
    </row>
    <row r="95" ht="19" customHeight="1">
      <c r="A95" s="6" t="inlineStr">
        <is>
          <t>2017M10</t>
        </is>
      </c>
      <c r="B95" s="8" t="n">
        <v>100</v>
      </c>
      <c r="C95" s="8" t="n">
        <v>129.414934517493</v>
      </c>
      <c r="D95" s="8" t="n">
        <v>110.004053852808</v>
      </c>
      <c r="E95" s="8" t="n">
        <v>92.92535149784869</v>
      </c>
      <c r="F95" s="8" t="n">
        <v>86.1479908821283</v>
      </c>
      <c r="G95" s="8" t="n">
        <v>111.534514677104</v>
      </c>
      <c r="H95" s="8" t="n">
        <v>105.293616266736</v>
      </c>
      <c r="I95" s="8" t="n">
        <v>121.468494224082</v>
      </c>
      <c r="J95" s="8" t="n">
        <v>142.193805329613</v>
      </c>
      <c r="K95" s="8" t="n">
        <v>151.140497257895</v>
      </c>
    </row>
    <row r="96" ht="19" customHeight="1">
      <c r="A96" s="6" t="inlineStr">
        <is>
          <t>2017M11</t>
        </is>
      </c>
      <c r="B96" s="8" t="n">
        <v>99.54000000000001</v>
      </c>
      <c r="C96" s="8" t="n">
        <v>129.974175086937</v>
      </c>
      <c r="D96" s="8" t="n">
        <v>109.883775952163</v>
      </c>
      <c r="E96" s="8" t="n">
        <v>94.2089785482039</v>
      </c>
      <c r="F96" s="8" t="n">
        <v>86.3589690201887</v>
      </c>
      <c r="G96" s="8" t="n">
        <v>112.463521188998</v>
      </c>
      <c r="H96" s="8" t="n">
        <v>105.842614278515</v>
      </c>
      <c r="I96" s="8" t="n">
        <v>121.731824468446</v>
      </c>
      <c r="J96" s="8" t="n">
        <v>141.940769213513</v>
      </c>
      <c r="K96" s="8" t="n">
        <v>150.528121219773</v>
      </c>
    </row>
    <row r="97" ht="19" customHeight="1">
      <c r="A97" s="6" t="inlineStr">
        <is>
          <t>2017M12</t>
        </is>
      </c>
      <c r="B97" s="8" t="n">
        <v>100.18</v>
      </c>
      <c r="C97" s="8" t="n">
        <v>129.644073656855</v>
      </c>
      <c r="D97" s="8" t="n">
        <v>109.229904373289</v>
      </c>
      <c r="E97" s="8" t="n">
        <v>95.8492689687167</v>
      </c>
      <c r="F97" s="8" t="n">
        <v>86.5284313801415</v>
      </c>
      <c r="G97" s="8" t="n">
        <v>112.789291722441</v>
      </c>
      <c r="H97" s="8" t="n">
        <v>106.837967619324</v>
      </c>
      <c r="I97" s="8" t="n">
        <v>121.357479807806</v>
      </c>
      <c r="J97" s="8" t="n">
        <v>141.055848525992</v>
      </c>
      <c r="K97" s="8" t="n">
        <v>149.900538973673</v>
      </c>
    </row>
    <row r="98" ht="19" customHeight="1">
      <c r="A98" s="6" t="inlineStr">
        <is>
          <t>2018M01</t>
        </is>
      </c>
      <c r="B98" s="8" t="n">
        <v>100.27</v>
      </c>
      <c r="C98" s="8" t="n">
        <v>128.018294889504</v>
      </c>
      <c r="D98" s="8" t="n">
        <v>108.681356704634</v>
      </c>
      <c r="E98" s="8" t="n">
        <v>97.2429190744046</v>
      </c>
      <c r="F98" s="8" t="n">
        <v>86.91494130938069</v>
      </c>
      <c r="G98" s="8" t="n">
        <v>113.251896992335</v>
      </c>
      <c r="H98" s="8" t="n">
        <v>105.244319103813</v>
      </c>
      <c r="I98" s="8" t="n">
        <v>121.151684468033</v>
      </c>
      <c r="J98" s="8" t="n">
        <v>138.278123012448</v>
      </c>
      <c r="K98" s="8" t="n">
        <v>146.850991589656</v>
      </c>
    </row>
    <row r="99" ht="19" customHeight="1">
      <c r="A99" s="6" t="inlineStr">
        <is>
          <t>2018M02</t>
        </is>
      </c>
      <c r="B99" s="8" t="n">
        <v>99.78</v>
      </c>
      <c r="C99" s="8" t="n">
        <v>127.492430725125</v>
      </c>
      <c r="D99" s="8" t="n">
        <v>106.306005427423</v>
      </c>
      <c r="E99" s="8" t="n">
        <v>97.4305586116034</v>
      </c>
      <c r="F99" s="8" t="n">
        <v>87.5007406619029</v>
      </c>
      <c r="G99" s="8" t="n">
        <v>113.494980094787</v>
      </c>
      <c r="H99" s="8" t="n">
        <v>102.437329814509</v>
      </c>
      <c r="I99" s="8" t="n">
        <v>120.494424578758</v>
      </c>
      <c r="J99" s="8" t="n">
        <v>137.076794397808</v>
      </c>
      <c r="K99" s="8" t="n">
        <v>146.196141418343</v>
      </c>
    </row>
    <row r="100" ht="19" customHeight="1">
      <c r="A100" s="6" t="inlineStr">
        <is>
          <t>2018M03</t>
        </is>
      </c>
      <c r="B100" s="8" t="n">
        <v>100.13</v>
      </c>
      <c r="C100" s="8" t="n">
        <v>127.85444230239</v>
      </c>
      <c r="D100" s="8" t="n">
        <v>105.186791781349</v>
      </c>
      <c r="E100" s="8" t="n">
        <v>97.3440097273802</v>
      </c>
      <c r="F100" s="8" t="n">
        <v>87.18054887870601</v>
      </c>
      <c r="G100" s="8" t="n">
        <v>113.97814019427</v>
      </c>
      <c r="H100" s="8" t="n">
        <v>102.267412182538</v>
      </c>
      <c r="I100" s="8" t="n">
        <v>120.541876067763</v>
      </c>
      <c r="J100" s="8" t="n">
        <v>136.703265037009</v>
      </c>
      <c r="K100" s="8" t="n">
        <v>145.967685995799</v>
      </c>
    </row>
    <row r="101" ht="19" customHeight="1">
      <c r="A101" s="6" t="inlineStr">
        <is>
          <t>2018M04</t>
        </is>
      </c>
      <c r="B101" s="8" t="n">
        <v>100.07</v>
      </c>
      <c r="C101" s="8" t="n">
        <v>127.759921545058</v>
      </c>
      <c r="D101" s="8" t="n">
        <v>105.40170691968</v>
      </c>
      <c r="E101" s="8" t="n">
        <v>98.1781423601936</v>
      </c>
      <c r="F101" s="8" t="n">
        <v>87.822470537576</v>
      </c>
      <c r="G101" s="8" t="n">
        <v>114.465898755693</v>
      </c>
      <c r="H101" s="8" t="n">
        <v>102.931408123284</v>
      </c>
      <c r="I101" s="8" t="n">
        <v>120.817768039664</v>
      </c>
      <c r="J101" s="8" t="n">
        <v>137.80813474882</v>
      </c>
      <c r="K101" s="8" t="n">
        <v>145.945361521261</v>
      </c>
    </row>
    <row r="102" ht="19" customHeight="1">
      <c r="A102" s="6" t="inlineStr">
        <is>
          <t>2018M05</t>
        </is>
      </c>
      <c r="B102" s="8" t="n">
        <v>100.08</v>
      </c>
      <c r="C102" s="8" t="n">
        <v>128.552833925527</v>
      </c>
      <c r="D102" s="8" t="n">
        <v>105.586894443357</v>
      </c>
      <c r="E102" s="8" t="n">
        <v>98.034989554928</v>
      </c>
      <c r="F102" s="8" t="n">
        <v>88.2524896692112</v>
      </c>
      <c r="G102" s="8" t="n">
        <v>114.390520585607</v>
      </c>
      <c r="H102" s="8" t="n">
        <v>104.703363562433</v>
      </c>
      <c r="I102" s="8" t="n">
        <v>120.803290372309</v>
      </c>
      <c r="J102" s="8" t="n">
        <v>141.554828654164</v>
      </c>
      <c r="K102" s="8" t="n">
        <v>148.67365652988</v>
      </c>
    </row>
    <row r="103" ht="19" customHeight="1">
      <c r="A103" s="6" t="inlineStr">
        <is>
          <t>2018M06</t>
        </is>
      </c>
      <c r="B103" s="8" t="n">
        <v>99.88</v>
      </c>
      <c r="C103" s="8" t="n">
        <v>129.409496010056</v>
      </c>
      <c r="D103" s="8" t="n">
        <v>106.850025034819</v>
      </c>
      <c r="E103" s="8" t="n">
        <v>96.66184593793319</v>
      </c>
      <c r="F103" s="8" t="n">
        <v>88.14789610306789</v>
      </c>
      <c r="G103" s="8" t="n">
        <v>113.350796921706</v>
      </c>
      <c r="H103" s="8" t="n">
        <v>104.118707283285</v>
      </c>
      <c r="I103" s="8" t="n">
        <v>121.129681523057</v>
      </c>
      <c r="J103" s="8" t="n">
        <v>143.167927663434</v>
      </c>
      <c r="K103" s="8" t="n">
        <v>149.819972543667</v>
      </c>
    </row>
    <row r="104" ht="19" customHeight="1">
      <c r="A104" s="6" t="inlineStr">
        <is>
          <t>2018M07</t>
        </is>
      </c>
      <c r="B104" s="8" t="n">
        <v>99.51000000000001</v>
      </c>
      <c r="C104" s="8" t="n">
        <v>130.078726490383</v>
      </c>
      <c r="D104" s="8" t="n">
        <v>104.962388684894</v>
      </c>
      <c r="E104" s="8" t="n">
        <v>96.37683386910589</v>
      </c>
      <c r="F104" s="8" t="n">
        <v>87.4904947370386</v>
      </c>
      <c r="G104" s="8" t="n">
        <v>111.373532822709</v>
      </c>
      <c r="H104" s="8" t="n">
        <v>104.795643188785</v>
      </c>
      <c r="I104" s="8" t="n">
        <v>120.798784518985</v>
      </c>
      <c r="J104" s="8" t="n">
        <v>142.967435143463</v>
      </c>
      <c r="K104" s="8" t="n">
        <v>151.006182385598</v>
      </c>
    </row>
    <row r="105" ht="19" customHeight="1">
      <c r="A105" s="6" t="inlineStr">
        <is>
          <t>2018M08</t>
        </is>
      </c>
      <c r="B105" s="8" t="n">
        <v>99.76000000000001</v>
      </c>
      <c r="C105" s="8" t="n">
        <v>130.919709896724</v>
      </c>
      <c r="D105" s="8" t="n">
        <v>104.465156589552</v>
      </c>
      <c r="E105" s="8" t="n">
        <v>95.5454257850965</v>
      </c>
      <c r="F105" s="8" t="n">
        <v>84.6196580722916</v>
      </c>
      <c r="G105" s="8" t="n">
        <v>112.817184957093</v>
      </c>
      <c r="H105" s="8" t="n">
        <v>106.254654255212</v>
      </c>
      <c r="I105" s="8" t="n">
        <v>120.725534007809</v>
      </c>
      <c r="J105" s="8" t="n">
        <v>142.909843966604</v>
      </c>
      <c r="K105" s="8" t="n">
        <v>150.283207695671</v>
      </c>
    </row>
    <row r="106" ht="19" customHeight="1">
      <c r="A106" s="6" t="inlineStr">
        <is>
          <t>2018M09</t>
        </is>
      </c>
      <c r="B106" s="8" t="n">
        <v>99.39</v>
      </c>
      <c r="C106" s="8" t="n">
        <v>130.351123105122</v>
      </c>
      <c r="D106" s="8" t="n">
        <v>102.387491593418</v>
      </c>
      <c r="E106" s="8" t="n">
        <v>94.8343005731199</v>
      </c>
      <c r="F106" s="8" t="n">
        <v>81.0347803375157</v>
      </c>
      <c r="G106" s="8" t="n">
        <v>114.432034093335</v>
      </c>
      <c r="H106" s="8" t="n">
        <v>105.918896043281</v>
      </c>
      <c r="I106" s="8" t="n">
        <v>120.453199645953</v>
      </c>
      <c r="J106" s="8" t="n">
        <v>143.300565667767</v>
      </c>
      <c r="K106" s="8" t="n">
        <v>149.451490427279</v>
      </c>
    </row>
    <row r="107" ht="19" customHeight="1">
      <c r="A107" s="6" t="inlineStr">
        <is>
          <t>2018M10</t>
        </is>
      </c>
      <c r="B107" s="8" t="n">
        <v>99.09999999999999</v>
      </c>
      <c r="C107" s="8" t="n">
        <v>131.74825108647</v>
      </c>
      <c r="D107" s="8" t="n">
        <v>101.14337645571</v>
      </c>
      <c r="E107" s="8" t="n">
        <v>94.9167516402503</v>
      </c>
      <c r="F107" s="8" t="n">
        <v>83.5110654638451</v>
      </c>
      <c r="G107" s="8" t="n">
        <v>114.490788991125</v>
      </c>
      <c r="H107" s="8" t="n">
        <v>106.452707880615</v>
      </c>
      <c r="I107" s="8" t="n">
        <v>120.42729727543</v>
      </c>
      <c r="J107" s="8" t="n">
        <v>144.390710633739</v>
      </c>
      <c r="K107" s="8" t="n">
        <v>149.287775182048</v>
      </c>
    </row>
    <row r="108" ht="19" customHeight="1">
      <c r="A108" s="6" t="inlineStr">
        <is>
          <t>2018M11</t>
        </is>
      </c>
      <c r="B108" s="8" t="n">
        <v>99.5</v>
      </c>
      <c r="C108" s="8" t="n">
        <v>133.058116800807</v>
      </c>
      <c r="D108" s="8" t="n">
        <v>105.111916681445</v>
      </c>
      <c r="E108" s="8" t="n">
        <v>94.5270136044538</v>
      </c>
      <c r="F108" s="8" t="n">
        <v>82.0968286072525</v>
      </c>
      <c r="G108" s="8" t="n">
        <v>114.050785049214</v>
      </c>
      <c r="H108" s="8" t="n">
        <v>108.794896219007</v>
      </c>
      <c r="I108" s="8" t="n">
        <v>120.911279788186</v>
      </c>
      <c r="J108" s="8" t="n">
        <v>144.655653561338</v>
      </c>
      <c r="K108" s="8" t="n">
        <v>150.222493471582</v>
      </c>
    </row>
    <row r="109" ht="19" customHeight="1">
      <c r="A109" s="6" t="inlineStr">
        <is>
          <t>2018M12</t>
        </is>
      </c>
      <c r="B109" s="8" t="n">
        <v>99.64</v>
      </c>
      <c r="C109" s="8" t="n">
        <v>132.846948124379</v>
      </c>
      <c r="D109" s="8" t="n">
        <v>106.808809869183</v>
      </c>
      <c r="E109" s="8" t="n">
        <v>94.74523489613701</v>
      </c>
      <c r="F109" s="8" t="n">
        <v>81.6608168539947</v>
      </c>
      <c r="G109" s="8" t="n">
        <v>114.326831476888</v>
      </c>
      <c r="H109" s="8" t="n">
        <v>108.147932626484</v>
      </c>
      <c r="I109" s="8" t="n">
        <v>121.175427433907</v>
      </c>
      <c r="J109" s="8" t="n">
        <v>144.388384167189</v>
      </c>
      <c r="K109" s="8" t="n">
        <v>149.839316800079</v>
      </c>
    </row>
    <row r="110" ht="19" customHeight="1">
      <c r="A110" s="6" t="inlineStr">
        <is>
          <t>2019M01</t>
        </is>
      </c>
      <c r="B110" s="8" t="n">
        <v>99.72</v>
      </c>
      <c r="C110" s="8" t="n">
        <v>132.373037789572</v>
      </c>
      <c r="D110" s="8" t="n">
        <v>108.342302663182</v>
      </c>
      <c r="E110" s="8" t="n">
        <v>94.5701167781491</v>
      </c>
      <c r="F110" s="8" t="n">
        <v>82.9455858021407</v>
      </c>
      <c r="G110" s="8" t="n">
        <v>116.172250220302</v>
      </c>
      <c r="H110" s="8" t="n">
        <v>107.357839826703</v>
      </c>
      <c r="I110" s="8" t="n">
        <v>121.154395855445</v>
      </c>
      <c r="J110" s="8" t="n">
        <v>143.420347632804</v>
      </c>
      <c r="K110" s="8" t="n">
        <v>148.057005642612</v>
      </c>
    </row>
    <row r="111" ht="19" customHeight="1">
      <c r="A111" s="6" t="inlineStr">
        <is>
          <t>2019M02</t>
        </is>
      </c>
      <c r="B111" s="8" t="n">
        <v>99.47</v>
      </c>
      <c r="C111" s="8" t="n">
        <v>132.978968347452</v>
      </c>
      <c r="D111" s="8" t="n">
        <v>109.312963871901</v>
      </c>
      <c r="E111" s="8" t="n">
        <v>95.6461428976604</v>
      </c>
      <c r="F111" s="8" t="n">
        <v>83.4397274929634</v>
      </c>
      <c r="G111" s="8" t="n">
        <v>118.597837986254</v>
      </c>
      <c r="H111" s="8" t="n">
        <v>108.13948254614</v>
      </c>
      <c r="I111" s="8" t="n">
        <v>121.478826128552</v>
      </c>
      <c r="J111" s="8" t="n">
        <v>143.580494290472</v>
      </c>
      <c r="K111" s="8" t="n">
        <v>147.795114050426</v>
      </c>
    </row>
    <row r="112" ht="19" customHeight="1">
      <c r="A112" s="6" t="inlineStr">
        <is>
          <t>2019M03</t>
        </is>
      </c>
      <c r="B112" s="8" t="n">
        <v>99.17</v>
      </c>
      <c r="C112" s="8" t="n">
        <v>133.268391914192</v>
      </c>
      <c r="D112" s="8" t="n">
        <v>108.310436639792</v>
      </c>
      <c r="E112" s="8" t="n">
        <v>96.012020027226</v>
      </c>
      <c r="F112" s="8" t="n">
        <v>84.763991967479</v>
      </c>
      <c r="G112" s="8" t="n">
        <v>117.713608045191</v>
      </c>
      <c r="H112" s="8" t="n">
        <v>108.081502629276</v>
      </c>
      <c r="I112" s="8" t="n">
        <v>121.615893701357</v>
      </c>
      <c r="J112" s="8" t="n">
        <v>144.367077566857</v>
      </c>
      <c r="K112" s="8" t="n">
        <v>148.610117623176</v>
      </c>
    </row>
    <row r="113" ht="19" customHeight="1">
      <c r="A113" s="6" t="inlineStr">
        <is>
          <t>2019M04</t>
        </is>
      </c>
      <c r="B113" s="8" t="n">
        <v>99.27</v>
      </c>
      <c r="C113" s="8" t="n">
        <v>132.831757288343</v>
      </c>
      <c r="D113" s="8" t="n">
        <v>109.383056057854</v>
      </c>
      <c r="E113" s="8" t="n">
        <v>95.3407509317977</v>
      </c>
      <c r="F113" s="8" t="n">
        <v>86.04851772710199</v>
      </c>
      <c r="G113" s="8" t="n">
        <v>117.477841008021</v>
      </c>
      <c r="H113" s="8" t="n">
        <v>109.063504334719</v>
      </c>
      <c r="I113" s="8" t="n">
        <v>121.715227867977</v>
      </c>
      <c r="J113" s="8" t="n">
        <v>145.311010224035</v>
      </c>
      <c r="K113" s="8" t="n">
        <v>148.944870692352</v>
      </c>
    </row>
    <row r="114" ht="19" customHeight="1">
      <c r="A114" s="6" t="inlineStr">
        <is>
          <t>2019M05</t>
        </is>
      </c>
      <c r="B114" s="8" t="n">
        <v>98.23</v>
      </c>
      <c r="C114" s="8" t="n">
        <v>132.575033698747</v>
      </c>
      <c r="D114" s="8" t="n">
        <v>108.590533679024</v>
      </c>
      <c r="E114" s="8" t="n">
        <v>94.5938743238807</v>
      </c>
      <c r="F114" s="8" t="n">
        <v>86.51528710270669</v>
      </c>
      <c r="G114" s="8" t="n">
        <v>118.307245759097</v>
      </c>
      <c r="H114" s="8" t="n">
        <v>109.390315860914</v>
      </c>
      <c r="I114" s="8" t="n">
        <v>120.968557436111</v>
      </c>
      <c r="J114" s="8" t="n">
        <v>145.870123886722</v>
      </c>
      <c r="K114" s="8" t="n">
        <v>149.326069700875</v>
      </c>
    </row>
    <row r="115" ht="19" customHeight="1">
      <c r="A115" s="6" t="inlineStr">
        <is>
          <t>2019M06</t>
        </is>
      </c>
      <c r="B115" s="8" t="n">
        <v>98.59</v>
      </c>
      <c r="C115" s="8" t="n">
        <v>131.116647907596</v>
      </c>
      <c r="D115" s="8" t="n">
        <v>109.411599045539</v>
      </c>
      <c r="E115" s="8" t="n">
        <v>94.3062091954489</v>
      </c>
      <c r="F115" s="8" t="n">
        <v>86.6700527252394</v>
      </c>
      <c r="G115" s="8" t="n">
        <v>119.612220724859</v>
      </c>
      <c r="H115" s="8" t="n">
        <v>109.595699305459</v>
      </c>
      <c r="I115" s="8" t="n">
        <v>120.683389400029</v>
      </c>
      <c r="J115" s="8" t="n">
        <v>144.702218826826</v>
      </c>
      <c r="K115" s="8" t="n">
        <v>147.444387740594</v>
      </c>
    </row>
    <row r="116" ht="19" customHeight="1">
      <c r="A116" s="6" t="inlineStr">
        <is>
          <t>2019M07</t>
        </is>
      </c>
      <c r="B116" s="8" t="n">
        <v>99.08</v>
      </c>
      <c r="C116" s="8" t="n">
        <v>131.120328551715</v>
      </c>
      <c r="D116" s="8" t="n">
        <v>110.968473642834</v>
      </c>
      <c r="E116" s="8" t="n">
        <v>95.1607030146877</v>
      </c>
      <c r="F116" s="8" t="n">
        <v>89.02476312811881</v>
      </c>
      <c r="G116" s="8" t="n">
        <v>120.814896709337</v>
      </c>
      <c r="H116" s="8" t="n">
        <v>111.052496425112</v>
      </c>
      <c r="I116" s="8" t="n">
        <v>120.397338417275</v>
      </c>
      <c r="J116" s="8" t="n">
        <v>145.620355650182</v>
      </c>
      <c r="K116" s="8" t="n">
        <v>146.811491336209</v>
      </c>
    </row>
    <row r="117" ht="19" customHeight="1">
      <c r="A117" s="6" t="inlineStr">
        <is>
          <t>2019M08</t>
        </is>
      </c>
      <c r="B117" s="8" t="n">
        <v>98.20999999999999</v>
      </c>
      <c r="C117" s="8" t="n">
        <v>132.5796167887</v>
      </c>
      <c r="D117" s="8" t="n">
        <v>110.55512012845</v>
      </c>
      <c r="E117" s="8" t="n">
        <v>94.3463323054698</v>
      </c>
      <c r="F117" s="8" t="n">
        <v>89.82724774852031</v>
      </c>
      <c r="G117" s="8" t="n">
        <v>121.228085483305</v>
      </c>
      <c r="H117" s="8" t="n">
        <v>109.674447906459</v>
      </c>
      <c r="I117" s="8" t="n">
        <v>119.310631604176</v>
      </c>
      <c r="J117" s="8" t="n">
        <v>147.211576440928</v>
      </c>
      <c r="K117" s="8" t="n">
        <v>147.384626625901</v>
      </c>
    </row>
    <row r="118" ht="19" customHeight="1">
      <c r="A118" s="6" t="inlineStr">
        <is>
          <t>2019M09</t>
        </is>
      </c>
      <c r="B118" s="8" t="n">
        <v>98.78</v>
      </c>
      <c r="C118" s="8" t="n">
        <v>132.126177703442</v>
      </c>
      <c r="D118" s="8" t="n">
        <v>111.818070945858</v>
      </c>
      <c r="E118" s="8" t="n">
        <v>94.492662548944</v>
      </c>
      <c r="F118" s="8" t="n">
        <v>88.84038620310029</v>
      </c>
      <c r="G118" s="8" t="n">
        <v>122.265491483454</v>
      </c>
      <c r="H118" s="8" t="n">
        <v>109.88939464288</v>
      </c>
      <c r="I118" s="8" t="n">
        <v>119.749159005539</v>
      </c>
      <c r="J118" s="8" t="n">
        <v>147.949349889523</v>
      </c>
      <c r="K118" s="8" t="n">
        <v>147.377528752676</v>
      </c>
    </row>
    <row r="119" ht="19" customHeight="1">
      <c r="A119" s="6" t="inlineStr">
        <is>
          <t>2019M10</t>
        </is>
      </c>
      <c r="B119" s="8" t="n">
        <v>98.75</v>
      </c>
      <c r="C119" s="8" t="n">
        <v>131.8518272574</v>
      </c>
      <c r="D119" s="8" t="n">
        <v>111.411102106578</v>
      </c>
      <c r="E119" s="8" t="n">
        <v>94.0872371752111</v>
      </c>
      <c r="F119" s="8" t="n">
        <v>89.53864254246081</v>
      </c>
      <c r="G119" s="8" t="n">
        <v>122.379332852545</v>
      </c>
      <c r="H119" s="8" t="n">
        <v>111.01585035447</v>
      </c>
      <c r="I119" s="8" t="n">
        <v>120.137391312167</v>
      </c>
      <c r="J119" s="8" t="n">
        <v>148.037608730284</v>
      </c>
      <c r="K119" s="8" t="n">
        <v>147.60055654612</v>
      </c>
    </row>
    <row r="120" ht="19" customHeight="1">
      <c r="A120" s="6" t="inlineStr">
        <is>
          <t>2019M11</t>
        </is>
      </c>
      <c r="B120" s="8" t="n">
        <v>98.95999999999999</v>
      </c>
      <c r="C120" s="8" t="n">
        <v>131.943741081908</v>
      </c>
      <c r="D120" s="8" t="n">
        <v>111.53923806546</v>
      </c>
      <c r="E120" s="8" t="n">
        <v>94.33827346503369</v>
      </c>
      <c r="F120" s="8" t="n">
        <v>89.24823049089819</v>
      </c>
      <c r="G120" s="8" t="n">
        <v>122.503984477313</v>
      </c>
      <c r="H120" s="8" t="n">
        <v>112.444103196199</v>
      </c>
      <c r="I120" s="8" t="n">
        <v>120.531314584833</v>
      </c>
      <c r="J120" s="8" t="n">
        <v>148.814994544213</v>
      </c>
      <c r="K120" s="8" t="n">
        <v>147.777490245425</v>
      </c>
    </row>
    <row r="121" ht="19" customHeight="1">
      <c r="A121" s="6" t="inlineStr">
        <is>
          <t>2019M12</t>
        </is>
      </c>
      <c r="B121" s="8" t="n">
        <v>98.67</v>
      </c>
      <c r="C121" s="8" t="n">
        <v>132.285976021764</v>
      </c>
      <c r="D121" s="8" t="n">
        <v>111.489031679768</v>
      </c>
      <c r="E121" s="8" t="n">
        <v>94.20816551971809</v>
      </c>
      <c r="F121" s="8" t="n">
        <v>92.27798786094129</v>
      </c>
      <c r="G121" s="8" t="n">
        <v>122.399916097567</v>
      </c>
      <c r="H121" s="8" t="n">
        <v>112.570366732073</v>
      </c>
      <c r="I121" s="8" t="n">
        <v>120.517634055261</v>
      </c>
      <c r="J121" s="8" t="n">
        <v>150.106274460021</v>
      </c>
      <c r="K121" s="8" t="n">
        <v>147.209695439609</v>
      </c>
    </row>
    <row r="122" ht="19" customHeight="1">
      <c r="A122" s="6" t="inlineStr">
        <is>
          <t>2020M01</t>
        </is>
      </c>
      <c r="B122" s="8" t="n">
        <v>99.41</v>
      </c>
      <c r="C122" s="8" t="n">
        <v>132.088326591142</v>
      </c>
      <c r="D122" s="8" t="n">
        <v>113.565807992361</v>
      </c>
      <c r="E122" s="8" t="n">
        <v>95.50746772193121</v>
      </c>
      <c r="F122" s="8" t="n">
        <v>89.1001668175149</v>
      </c>
      <c r="G122" s="8" t="n">
        <v>121.157824587512</v>
      </c>
      <c r="H122" s="8" t="n">
        <v>112.287071481868</v>
      </c>
      <c r="I122" s="8" t="n">
        <v>120.633694441507</v>
      </c>
      <c r="J122" s="8" t="n">
        <v>151.273883815162</v>
      </c>
      <c r="K122" s="8" t="n">
        <v>148.855796416257</v>
      </c>
    </row>
    <row r="123" ht="19" customHeight="1">
      <c r="A123" s="6" t="inlineStr">
        <is>
          <t>2020M02</t>
        </is>
      </c>
      <c r="B123" s="8" t="n">
        <v>98.25</v>
      </c>
      <c r="C123" s="8" t="n">
        <v>133.244733582393</v>
      </c>
      <c r="D123" s="8" t="n">
        <v>115.00568971724</v>
      </c>
      <c r="E123" s="8" t="n">
        <v>94.5664391506711</v>
      </c>
      <c r="F123" s="8" t="n">
        <v>94.9486390534001</v>
      </c>
      <c r="G123" s="8" t="n">
        <v>119.075277224825</v>
      </c>
      <c r="H123" s="8" t="n">
        <v>113.434421883519</v>
      </c>
      <c r="I123" s="8" t="n">
        <v>118.151319786352</v>
      </c>
      <c r="J123" s="8" t="n">
        <v>151.926146865757</v>
      </c>
      <c r="K123" s="8" t="n">
        <v>151.97862584097</v>
      </c>
    </row>
    <row r="124" ht="19" customHeight="1">
      <c r="A124" s="6" t="inlineStr">
        <is>
          <t>2020M03</t>
        </is>
      </c>
      <c r="B124" s="8" t="n">
        <v>98.48999999999999</v>
      </c>
      <c r="C124" s="8" t="n">
        <v>135.770178617239</v>
      </c>
      <c r="D124" s="8" t="n">
        <v>105.356680314078</v>
      </c>
      <c r="E124" s="8" t="n">
        <v>91.5789767121021</v>
      </c>
      <c r="F124" s="8" t="n">
        <v>99.69487810980119</v>
      </c>
      <c r="G124" s="8" t="n">
        <v>116.269242628522</v>
      </c>
      <c r="H124" s="8" t="n">
        <v>113.968053661718</v>
      </c>
      <c r="I124" s="8" t="n">
        <v>116.985892525594</v>
      </c>
      <c r="J124" s="8" t="n">
        <v>151.814022762561</v>
      </c>
      <c r="K124" s="8" t="n">
        <v>154.753863938827</v>
      </c>
    </row>
    <row r="125" ht="19" customHeight="1">
      <c r="A125" s="6" t="inlineStr">
        <is>
          <t>2020M04</t>
        </is>
      </c>
      <c r="B125" s="8" t="n">
        <v>99.67</v>
      </c>
      <c r="C125" s="8" t="n">
        <v>136.767646671177</v>
      </c>
      <c r="D125" s="8" t="n">
        <v>102.418352818531</v>
      </c>
      <c r="E125" s="8" t="n">
        <v>89.3100975556974</v>
      </c>
      <c r="F125" s="8" t="n">
        <v>99.8308650231555</v>
      </c>
      <c r="G125" s="8" t="n">
        <v>113.263999987004</v>
      </c>
      <c r="H125" s="8" t="n">
        <v>115.943716214518</v>
      </c>
      <c r="I125" s="8" t="n">
        <v>117.672095609723</v>
      </c>
      <c r="J125" s="8" t="n">
        <v>151.962723692222</v>
      </c>
      <c r="K125" s="8" t="n">
        <v>158.050368022083</v>
      </c>
    </row>
    <row r="126" ht="19" customHeight="1">
      <c r="A126" s="6" t="inlineStr">
        <is>
          <t>2020M05</t>
        </is>
      </c>
      <c r="B126" s="8" t="n">
        <v>99.90000000000001</v>
      </c>
      <c r="C126" s="8" t="n">
        <v>135.759550237816</v>
      </c>
      <c r="D126" s="8" t="n">
        <v>108.782302613032</v>
      </c>
      <c r="E126" s="8" t="n">
        <v>89.50033706891401</v>
      </c>
      <c r="F126" s="8" t="n">
        <v>100.705133006969</v>
      </c>
      <c r="G126" s="8" t="n">
        <v>114.865694825139</v>
      </c>
      <c r="H126" s="8" t="n">
        <v>116.191064601567</v>
      </c>
      <c r="I126" s="8" t="n">
        <v>117.657290401212</v>
      </c>
      <c r="J126" s="8" t="n">
        <v>152.091569739613</v>
      </c>
      <c r="K126" s="8" t="n">
        <v>156.135334665147</v>
      </c>
    </row>
    <row r="127" ht="19" customHeight="1">
      <c r="A127" s="6" t="inlineStr">
        <is>
          <t>2020M06</t>
        </is>
      </c>
      <c r="B127" s="8" t="n">
        <v>99.92</v>
      </c>
      <c r="C127" s="8" t="n">
        <v>134.705121262715</v>
      </c>
      <c r="D127" s="8" t="n">
        <v>112.203868874785</v>
      </c>
      <c r="E127" s="8" t="n">
        <v>90.3096381142323</v>
      </c>
      <c r="F127" s="8" t="n">
        <v>99.5496523867283</v>
      </c>
      <c r="G127" s="8" t="n">
        <v>117.913137001226</v>
      </c>
      <c r="H127" s="8" t="n">
        <v>116.185451059756</v>
      </c>
      <c r="I127" s="8" t="n">
        <v>117.666261391951</v>
      </c>
      <c r="J127" s="8" t="n">
        <v>150.604709706347</v>
      </c>
      <c r="K127" s="8" t="n">
        <v>150.730520796292</v>
      </c>
    </row>
    <row r="128" ht="19" customHeight="1">
      <c r="A128" s="6" t="inlineStr">
        <is>
          <t>2020M07</t>
        </is>
      </c>
      <c r="B128" s="8" t="n">
        <v>99.42</v>
      </c>
      <c r="C128" s="8" t="n">
        <v>134.061764838943</v>
      </c>
      <c r="D128" s="8" t="n">
        <v>108.090975411607</v>
      </c>
      <c r="E128" s="8" t="n">
        <v>90.5058045851243</v>
      </c>
      <c r="F128" s="8" t="n">
        <v>100.61129618326</v>
      </c>
      <c r="G128" s="8" t="n">
        <v>116.760815859688</v>
      </c>
      <c r="H128" s="8" t="n">
        <v>117.156180399186</v>
      </c>
      <c r="I128" s="8" t="n">
        <v>117.245269948103</v>
      </c>
      <c r="J128" s="8" t="n">
        <v>149.716635878135</v>
      </c>
      <c r="K128" s="8" t="n">
        <v>149.028204322706</v>
      </c>
    </row>
    <row r="129" ht="19" customHeight="1">
      <c r="A129" s="6" t="inlineStr">
        <is>
          <t>2020M08</t>
        </is>
      </c>
      <c r="B129" s="8" t="n">
        <v>99.09</v>
      </c>
      <c r="C129" s="8" t="n">
        <v>132.27461508713</v>
      </c>
      <c r="D129" s="8" t="n">
        <v>105.645129585499</v>
      </c>
      <c r="E129" s="8" t="n">
        <v>90.97859048282059</v>
      </c>
      <c r="F129" s="8" t="n">
        <v>100.558819372443</v>
      </c>
      <c r="G129" s="8" t="n">
        <v>116.146467733227</v>
      </c>
      <c r="H129" s="8" t="n">
        <v>117.088671082458</v>
      </c>
      <c r="I129" s="8" t="n">
        <v>117.506970178231</v>
      </c>
      <c r="J129" s="8" t="n">
        <v>147.651856304286</v>
      </c>
      <c r="K129" s="8" t="n">
        <v>147.211045552656</v>
      </c>
    </row>
    <row r="130" ht="19" customHeight="1">
      <c r="A130" s="6" t="inlineStr">
        <is>
          <t>2020M09</t>
        </is>
      </c>
      <c r="B130" s="8" t="n">
        <v>99.06</v>
      </c>
      <c r="C130" s="8" t="n">
        <v>132.646242235729</v>
      </c>
      <c r="D130" s="8" t="n">
        <v>104.716832274661</v>
      </c>
      <c r="E130" s="8" t="n">
        <v>91.6228074064242</v>
      </c>
      <c r="F130" s="8" t="n">
        <v>103.166014347527</v>
      </c>
      <c r="G130" s="8" t="n">
        <v>115.155814252535</v>
      </c>
      <c r="H130" s="8" t="n">
        <v>117.923343970323</v>
      </c>
      <c r="I130" s="8" t="n">
        <v>117.900272775824</v>
      </c>
      <c r="J130" s="8" t="n">
        <v>147.553955256282</v>
      </c>
      <c r="K130" s="8" t="n">
        <v>146.253082233768</v>
      </c>
    </row>
    <row r="131" ht="19" customHeight="1">
      <c r="A131" s="6" t="inlineStr">
        <is>
          <t>2020M10</t>
        </is>
      </c>
      <c r="B131" s="8" t="n">
        <v>99.93000000000001</v>
      </c>
      <c r="C131" s="8" t="n">
        <v>133.128951879173</v>
      </c>
      <c r="D131" s="8" t="n">
        <v>105.272839281437</v>
      </c>
      <c r="E131" s="8" t="n">
        <v>91.2544710640034</v>
      </c>
      <c r="F131" s="8" t="n">
        <v>104.533071553778</v>
      </c>
      <c r="G131" s="8" t="n">
        <v>115.13327281742</v>
      </c>
      <c r="H131" s="8" t="n">
        <v>117.916405455958</v>
      </c>
      <c r="I131" s="8" t="n">
        <v>117.890370599528</v>
      </c>
      <c r="J131" s="8" t="n">
        <v>147.136721127904</v>
      </c>
      <c r="K131" s="8" t="n">
        <v>144.347905395305</v>
      </c>
    </row>
    <row r="132" ht="19" customHeight="1">
      <c r="A132" s="6" t="inlineStr">
        <is>
          <t>2020M11</t>
        </is>
      </c>
      <c r="B132" s="8" t="n">
        <v>99.98999999999999</v>
      </c>
      <c r="C132" s="8" t="n">
        <v>133.104555735852</v>
      </c>
      <c r="D132" s="8" t="n">
        <v>108.29083981724</v>
      </c>
      <c r="E132" s="8" t="n">
        <v>91.0739794171446</v>
      </c>
      <c r="F132" s="8" t="n">
        <v>102.529189560837</v>
      </c>
      <c r="G132" s="8" t="n">
        <v>117.260482376504</v>
      </c>
      <c r="H132" s="8" t="n">
        <v>118.276712565385</v>
      </c>
      <c r="I132" s="8" t="n">
        <v>117.864948062572</v>
      </c>
      <c r="J132" s="8" t="n">
        <v>145.450721228102</v>
      </c>
      <c r="K132" s="8" t="n">
        <v>141.933998396312</v>
      </c>
    </row>
    <row r="133" ht="19" customHeight="1">
      <c r="A133" s="6" t="inlineStr">
        <is>
          <t>2020M12</t>
        </is>
      </c>
      <c r="B133" s="8" t="n">
        <v>99.48</v>
      </c>
      <c r="C133" s="8" t="n">
        <v>131.871255571172</v>
      </c>
      <c r="D133" s="8" t="n">
        <v>107.220573771059</v>
      </c>
      <c r="E133" s="8" t="n">
        <v>91.3939629381142</v>
      </c>
      <c r="F133" s="8" t="n">
        <v>100.217342947859</v>
      </c>
      <c r="G133" s="8" t="n">
        <v>117.561482562142</v>
      </c>
      <c r="H133" s="8" t="n">
        <v>118.070487774758</v>
      </c>
      <c r="I133" s="8" t="n">
        <v>117.833914088282</v>
      </c>
      <c r="J133" s="8" t="n">
        <v>143.211268050433</v>
      </c>
      <c r="K133" s="8" t="n">
        <v>140.198311318386</v>
      </c>
    </row>
    <row r="134" ht="19" customHeight="1">
      <c r="A134" s="6" t="inlineStr">
        <is>
          <t>2021M01</t>
        </is>
      </c>
      <c r="B134" s="8" t="n">
        <v>99.65000000000001</v>
      </c>
      <c r="C134" s="8" t="n">
        <v>130.852839713962</v>
      </c>
      <c r="D134" s="8" t="n">
        <v>107.427718951377</v>
      </c>
      <c r="E134" s="8" t="n">
        <v>92.24748379388279</v>
      </c>
      <c r="F134" s="8" t="n">
        <v>101.48331779944</v>
      </c>
      <c r="G134" s="8" t="n">
        <v>116.959334280481</v>
      </c>
      <c r="H134" s="8" t="n">
        <v>117.904451798188</v>
      </c>
      <c r="I134" s="8" t="n">
        <v>117.854979532973</v>
      </c>
      <c r="J134" s="8" t="n">
        <v>142.312621146234</v>
      </c>
      <c r="K134" s="8" t="n">
        <v>139.083040449316</v>
      </c>
    </row>
    <row r="135" ht="19" customHeight="1">
      <c r="A135" s="6" t="inlineStr">
        <is>
          <t>2021M02</t>
        </is>
      </c>
      <c r="B135" s="8" t="n">
        <v>99.39</v>
      </c>
      <c r="C135" s="8" t="n">
        <v>129.320609573967</v>
      </c>
      <c r="D135" s="8" t="n">
        <v>107.98517095373</v>
      </c>
      <c r="E135" s="8" t="n">
        <v>92.44121394890161</v>
      </c>
      <c r="F135" s="8" t="n">
        <v>97.33626935342539</v>
      </c>
      <c r="G135" s="8" t="n">
        <v>116.473868030026</v>
      </c>
      <c r="H135" s="8" t="n">
        <v>118.272864678508</v>
      </c>
      <c r="I135" s="8" t="n">
        <v>118.151911086288</v>
      </c>
      <c r="J135" s="8" t="n">
        <v>144.476054656532</v>
      </c>
      <c r="K135" s="8" t="n">
        <v>139.555640768979</v>
      </c>
    </row>
    <row r="136" ht="19" customHeight="1">
      <c r="A136" s="6" t="inlineStr">
        <is>
          <t>2021M03</t>
        </is>
      </c>
      <c r="B136" s="8" t="n">
        <v>99.18000000000001</v>
      </c>
      <c r="C136" s="8" t="n">
        <v>131.157620508227</v>
      </c>
      <c r="D136" s="8" t="n">
        <v>106.35976993459</v>
      </c>
      <c r="E136" s="8" t="n">
        <v>92.3044042870859</v>
      </c>
      <c r="F136" s="8" t="n">
        <v>98.0410520545348</v>
      </c>
      <c r="G136" s="8" t="n">
        <v>115.031557069815</v>
      </c>
      <c r="H136" s="8" t="n">
        <v>118.534297832</v>
      </c>
      <c r="I136" s="8" t="n">
        <v>118.333741719445</v>
      </c>
      <c r="J136" s="8" t="n">
        <v>146.229614529098</v>
      </c>
      <c r="K136" s="8" t="n">
        <v>142.332990960722</v>
      </c>
    </row>
    <row r="137" ht="19" customHeight="1">
      <c r="A137" s="6" t="inlineStr">
        <is>
          <t>2021M04</t>
        </is>
      </c>
      <c r="B137" s="8" t="n">
        <v>99.14</v>
      </c>
      <c r="C137" s="8" t="n">
        <v>130.936740538555</v>
      </c>
      <c r="D137" s="8" t="n">
        <v>105.049320740108</v>
      </c>
      <c r="E137" s="8" t="n">
        <v>92.0310221091726</v>
      </c>
      <c r="F137" s="8" t="n">
        <v>92.57576329662091</v>
      </c>
      <c r="G137" s="8" t="n">
        <v>113.913045813339</v>
      </c>
      <c r="H137" s="8" t="n">
        <v>118.618051414836</v>
      </c>
      <c r="I137" s="8" t="n">
        <v>119.137699318904</v>
      </c>
      <c r="J137" s="8" t="n">
        <v>146.364928472753</v>
      </c>
      <c r="K137" s="8" t="n">
        <v>142.985603437529</v>
      </c>
    </row>
    <row r="138" ht="19" customHeight="1">
      <c r="A138" s="6" t="inlineStr">
        <is>
          <t>2021M05</t>
        </is>
      </c>
      <c r="B138" s="8" t="n">
        <v>98.5</v>
      </c>
      <c r="C138" s="8" t="n">
        <v>129.478817624233</v>
      </c>
      <c r="D138" s="8" t="n">
        <v>106.065296348419</v>
      </c>
      <c r="E138" s="8" t="n">
        <v>91.0287822424684</v>
      </c>
      <c r="F138" s="8" t="n">
        <v>88.85316203756631</v>
      </c>
      <c r="G138" s="8" t="n">
        <v>111.829383867102</v>
      </c>
      <c r="H138" s="8" t="n">
        <v>119.010347388521</v>
      </c>
      <c r="I138" s="8" t="n">
        <v>118.763225085821</v>
      </c>
      <c r="J138" s="8" t="n">
        <v>145.277460013137</v>
      </c>
      <c r="K138" s="8" t="n">
        <v>142.16199610756</v>
      </c>
    </row>
    <row r="139" ht="19" customHeight="1">
      <c r="A139" s="6" t="inlineStr">
        <is>
          <t>2021M06</t>
        </is>
      </c>
      <c r="B139" s="8" t="n">
        <v>98.69</v>
      </c>
      <c r="C139" s="8" t="n">
        <v>129.4479286676</v>
      </c>
      <c r="D139" s="8" t="n">
        <v>105.720631696627</v>
      </c>
      <c r="E139" s="8" t="n">
        <v>90.88316461333029</v>
      </c>
      <c r="F139" s="8" t="n">
        <v>88.93021792313429</v>
      </c>
      <c r="G139" s="8" t="n">
        <v>111.580592620958</v>
      </c>
      <c r="H139" s="8" t="n">
        <v>118.74625688855</v>
      </c>
      <c r="I139" s="8" t="n">
        <v>118.572130577399</v>
      </c>
      <c r="J139" s="8" t="n">
        <v>145.962072530867</v>
      </c>
      <c r="K139" s="8" t="n">
        <v>142.133402565132</v>
      </c>
    </row>
    <row r="140" ht="19" customHeight="1">
      <c r="A140" s="6" t="inlineStr">
        <is>
          <t>2021M07</t>
        </is>
      </c>
      <c r="B140" s="8" t="n">
        <v>97.92</v>
      </c>
      <c r="C140" s="8" t="n">
        <v>131.422201391044</v>
      </c>
      <c r="D140" s="8" t="n">
        <v>105.465638254305</v>
      </c>
      <c r="E140" s="8" t="n">
        <v>89.72333951888849</v>
      </c>
      <c r="F140" s="8" t="n">
        <v>89.01432969269079</v>
      </c>
      <c r="G140" s="8" t="n">
        <v>108.270611345046</v>
      </c>
      <c r="H140" s="8" t="n">
        <v>115.46536373404</v>
      </c>
      <c r="I140" s="8" t="n">
        <v>118.005539579664</v>
      </c>
      <c r="J140" s="8" t="n">
        <v>148.076706827195</v>
      </c>
      <c r="K140" s="8" t="n">
        <v>144.986749573253</v>
      </c>
    </row>
    <row r="141" ht="19" customHeight="1">
      <c r="A141" s="6" t="inlineStr">
        <is>
          <t>2021M08</t>
        </is>
      </c>
      <c r="B141" s="8" t="n">
        <v>98</v>
      </c>
      <c r="C141" s="8" t="n">
        <v>131.158922133724</v>
      </c>
      <c r="D141" s="8" t="n">
        <v>106.505168069105</v>
      </c>
      <c r="E141" s="8" t="n">
        <v>89.0861550096369</v>
      </c>
      <c r="F141" s="8" t="n">
        <v>89.9206293464897</v>
      </c>
      <c r="G141" s="8" t="n">
        <v>106.140839974756</v>
      </c>
      <c r="H141" s="8" t="n">
        <v>115.349903917327</v>
      </c>
      <c r="I141" s="8" t="n">
        <v>118.040837408896</v>
      </c>
      <c r="J141" s="8" t="n">
        <v>149.706303474167</v>
      </c>
      <c r="K141" s="8" t="n">
        <v>144.960887622669</v>
      </c>
    </row>
    <row r="142" ht="19" customHeight="1">
      <c r="A142" s="6" t="inlineStr">
        <is>
          <t>2021M09</t>
        </is>
      </c>
      <c r="B142" s="8" t="n">
        <v>98.2</v>
      </c>
      <c r="C142" s="8" t="n">
        <v>130.737025402838</v>
      </c>
      <c r="D142" s="8" t="n">
        <v>107.355187408995</v>
      </c>
      <c r="E142" s="8" t="n">
        <v>90.1994536394465</v>
      </c>
      <c r="F142" s="8" t="n">
        <v>82.3413033274532</v>
      </c>
      <c r="G142" s="8" t="n">
        <v>107.824755723045</v>
      </c>
      <c r="H142" s="8" t="n">
        <v>115.266604616435</v>
      </c>
      <c r="I142" s="8" t="n">
        <v>118.593815491357</v>
      </c>
      <c r="J142" s="8" t="n">
        <v>148.780707539443</v>
      </c>
      <c r="K142" s="8" t="n">
        <v>142.309266044861</v>
      </c>
    </row>
    <row r="143" ht="19" customHeight="1">
      <c r="A143" s="6" t="inlineStr">
        <is>
          <t>2021M10</t>
        </is>
      </c>
      <c r="B143" s="8" t="n">
        <v>98.14</v>
      </c>
      <c r="C143" s="8" t="n">
        <v>131.798596357378</v>
      </c>
      <c r="D143" s="8" t="n">
        <v>108.477434720039</v>
      </c>
      <c r="E143" s="8" t="n">
        <v>91.0743512386219</v>
      </c>
      <c r="F143" s="8" t="n">
        <v>80.321704923699</v>
      </c>
      <c r="G143" s="8" t="n">
        <v>107.621084053842</v>
      </c>
      <c r="H143" s="8" t="n">
        <v>114.446793004331</v>
      </c>
      <c r="I143" s="8" t="n">
        <v>119.434173359708</v>
      </c>
      <c r="J143" s="8" t="n">
        <v>149.589115205806</v>
      </c>
      <c r="K143" s="8" t="n">
        <v>138.073923908211</v>
      </c>
    </row>
    <row r="144" ht="19" customHeight="1">
      <c r="A144" s="6" t="inlineStr">
        <is>
          <t>2021M11</t>
        </is>
      </c>
      <c r="B144" s="8" t="n">
        <v>97.98999999999999</v>
      </c>
      <c r="C144" s="8" t="n">
        <v>132.623508602476</v>
      </c>
      <c r="D144" s="8" t="n">
        <v>108.355262472048</v>
      </c>
      <c r="E144" s="8" t="n">
        <v>90.8774443478363</v>
      </c>
      <c r="F144" s="8" t="n">
        <v>85.3457781495102</v>
      </c>
      <c r="G144" s="8" t="n">
        <v>109.462449676617</v>
      </c>
      <c r="H144" s="8" t="n">
        <v>115.641913127824</v>
      </c>
      <c r="I144" s="8" t="n">
        <v>119.591443830261</v>
      </c>
      <c r="J144" s="8" t="n">
        <v>150.548356070411</v>
      </c>
      <c r="K144" s="8" t="n">
        <v>132.43722148927</v>
      </c>
    </row>
    <row r="145" ht="19" customHeight="1">
      <c r="A145" s="6" t="inlineStr">
        <is>
          <t>2021M12</t>
        </is>
      </c>
      <c r="B145" s="8" t="n">
        <v>97.45999999999999</v>
      </c>
      <c r="C145" s="8" t="n">
        <v>132.781865997734</v>
      </c>
      <c r="D145" s="8" t="n">
        <v>108.405312372379</v>
      </c>
      <c r="E145" s="8" t="n">
        <v>90.568193354697</v>
      </c>
      <c r="F145" s="8" t="n">
        <v>87.2415324978805</v>
      </c>
      <c r="G145" s="8" t="n">
        <v>107.930325966165</v>
      </c>
      <c r="H145" s="8" t="n">
        <v>116.078371307732</v>
      </c>
      <c r="I145" s="8" t="n">
        <v>119.708037329008</v>
      </c>
      <c r="J145" s="8" t="n">
        <v>149.292787529376</v>
      </c>
      <c r="K145" s="8" t="n">
        <v>130.190946322273</v>
      </c>
    </row>
    <row r="146" ht="19" customHeight="1">
      <c r="A146" s="6" t="inlineStr">
        <is>
          <t>2022M01</t>
        </is>
      </c>
      <c r="B146" s="8" t="n">
        <v>98.73999999999999</v>
      </c>
      <c r="C146" s="8" t="n">
        <v>132.872694838194</v>
      </c>
      <c r="D146" s="8" t="n">
        <v>108.299872139591</v>
      </c>
      <c r="E146" s="8" t="n">
        <v>90.692332521292</v>
      </c>
      <c r="F146" s="8" t="n">
        <v>88.4023306542008</v>
      </c>
      <c r="G146" s="8" t="n">
        <v>109.53498740743</v>
      </c>
      <c r="H146" s="8" t="n">
        <v>113.770083222179</v>
      </c>
      <c r="I146" s="8" t="n">
        <v>120.707343717415</v>
      </c>
      <c r="J146" s="8" t="n">
        <v>149.899108377371</v>
      </c>
      <c r="K146" s="8" t="n">
        <v>127.168957250626</v>
      </c>
    </row>
    <row r="147" ht="19" customHeight="1">
      <c r="A147" s="6" t="inlineStr">
        <is>
          <t>2022M02</t>
        </is>
      </c>
      <c r="B147" s="8" t="n">
        <v>98.90000000000001</v>
      </c>
      <c r="C147" s="8" t="n">
        <v>133.983520800057</v>
      </c>
      <c r="D147" s="8" t="n">
        <v>107.530796576181</v>
      </c>
      <c r="E147" s="8" t="n">
        <v>90.3012490481638</v>
      </c>
      <c r="F147" s="8" t="n">
        <v>89.45715083933</v>
      </c>
      <c r="G147" s="8" t="n">
        <v>112.224175019095</v>
      </c>
      <c r="H147" s="8" t="n">
        <v>113.534704967827</v>
      </c>
      <c r="I147" s="8" t="n">
        <v>121.009222088754</v>
      </c>
      <c r="J147" s="8" t="n">
        <v>149.464086359589</v>
      </c>
      <c r="K147" s="8" t="n">
        <v>125.515705548345</v>
      </c>
    </row>
    <row r="148" ht="19" customHeight="1">
      <c r="A148" s="6" t="inlineStr">
        <is>
          <t>2022M03</t>
        </is>
      </c>
      <c r="B148" s="8" t="n">
        <v>99</v>
      </c>
      <c r="C148" s="8" t="n">
        <v>136.883049752701</v>
      </c>
      <c r="D148" s="8" t="n">
        <v>108.851735921102</v>
      </c>
      <c r="E148" s="8" t="n">
        <v>90.8241014835329</v>
      </c>
      <c r="F148" s="8" t="n">
        <v>92.3850944949733</v>
      </c>
      <c r="G148" s="8" t="n">
        <v>111.822877677379</v>
      </c>
      <c r="H148" s="8" t="n">
        <v>113.530840337859</v>
      </c>
      <c r="I148" s="8" t="n">
        <v>122.032617819886</v>
      </c>
      <c r="J148" s="8" t="n">
        <v>151.962279137396</v>
      </c>
      <c r="K148" s="8" t="n">
        <v>128.209791780055</v>
      </c>
    </row>
    <row r="149" ht="19" customHeight="1">
      <c r="A149" s="6" t="inlineStr">
        <is>
          <t>2022M04</t>
        </is>
      </c>
      <c r="B149" s="8" t="n">
        <v>98.98</v>
      </c>
      <c r="C149" s="8" t="n">
        <v>137.726807293064</v>
      </c>
      <c r="D149" s="8" t="n">
        <v>110.83420270272</v>
      </c>
      <c r="E149" s="8" t="n">
        <v>90.68002404164579</v>
      </c>
      <c r="F149" s="8" t="n">
        <v>93.39270545657141</v>
      </c>
      <c r="G149" s="8" t="n">
        <v>111.245613894316</v>
      </c>
      <c r="H149" s="8" t="n">
        <v>116.471276180188</v>
      </c>
      <c r="I149" s="8" t="n">
        <v>123.156676406415</v>
      </c>
      <c r="J149" s="8" t="n">
        <v>154.545108333026</v>
      </c>
      <c r="K149" s="8" t="n">
        <v>127.45264227078</v>
      </c>
    </row>
    <row r="150" ht="19" customHeight="1">
      <c r="A150" s="6" t="inlineStr">
        <is>
          <t>2022M05</t>
        </is>
      </c>
      <c r="B150" s="8" t="n">
        <v>98.61</v>
      </c>
      <c r="C150" s="8" t="n">
        <v>138.525908655932</v>
      </c>
      <c r="D150" s="8" t="n">
        <v>110.851833036822</v>
      </c>
      <c r="E150" s="8" t="n">
        <v>89.5841852313164</v>
      </c>
      <c r="F150" s="8" t="n">
        <v>94.37675825436339</v>
      </c>
      <c r="G150" s="8" t="n">
        <v>112.208224133568</v>
      </c>
      <c r="H150" s="8" t="n">
        <v>117.479018599844</v>
      </c>
      <c r="I150" s="8" t="n">
        <v>123.895136760972</v>
      </c>
      <c r="J150" s="8" t="n">
        <v>156.445603080137</v>
      </c>
      <c r="K150" s="8" t="n">
        <v>121.360226888846</v>
      </c>
    </row>
    <row r="151" ht="19" customHeight="1">
      <c r="A151" s="6" t="inlineStr">
        <is>
          <t>2022M06</t>
        </is>
      </c>
      <c r="B151" s="8" t="n">
        <v>98.76000000000001</v>
      </c>
      <c r="C151" s="8" t="n">
        <v>139.32161785114</v>
      </c>
      <c r="D151" s="8" t="n">
        <v>111.021396885155</v>
      </c>
      <c r="E151" s="8" t="n">
        <v>89.75251661855</v>
      </c>
      <c r="F151" s="8" t="n">
        <v>96.89826494913819</v>
      </c>
      <c r="G151" s="8" t="n">
        <v>111.390091783269</v>
      </c>
      <c r="H151" s="8" t="n">
        <v>116.022841087618</v>
      </c>
      <c r="I151" s="8" t="n">
        <v>125.137826369642</v>
      </c>
      <c r="J151" s="8" t="n">
        <v>156.702472360744</v>
      </c>
      <c r="K151" s="8" t="n">
        <v>117.946196543563</v>
      </c>
    </row>
    <row r="152" ht="19" customHeight="1">
      <c r="A152" s="6" t="inlineStr">
        <is>
          <t>2022M07</t>
        </is>
      </c>
      <c r="B152" s="8" t="n">
        <v>99.09999999999999</v>
      </c>
      <c r="C152" s="8" t="n">
        <v>138.906859353475</v>
      </c>
      <c r="D152" s="8" t="n">
        <v>111.323913565419</v>
      </c>
      <c r="E152" s="8" t="n">
        <v>90.62407249860971</v>
      </c>
      <c r="F152" s="8" t="n">
        <v>101.381966874573</v>
      </c>
      <c r="G152" s="8" t="n">
        <v>108.688000119068</v>
      </c>
      <c r="H152" s="8" t="n">
        <v>113.310519588908</v>
      </c>
      <c r="I152" s="8" t="n">
        <v>126.761040912709</v>
      </c>
      <c r="J152" s="8" t="n">
        <v>158.950961259476</v>
      </c>
      <c r="K152" s="8" t="n">
        <v>121.185579580279</v>
      </c>
    </row>
    <row r="153" ht="19" customHeight="1">
      <c r="A153" s="6" t="inlineStr">
        <is>
          <t>2022M08</t>
        </is>
      </c>
      <c r="B153" s="8" t="n">
        <v>99.8</v>
      </c>
      <c r="C153" s="8" t="n">
        <v>137.840270525347</v>
      </c>
      <c r="D153" s="8" t="n">
        <v>111.807007605659</v>
      </c>
      <c r="E153" s="8" t="n">
        <v>89.88080955709459</v>
      </c>
      <c r="F153" s="8" t="n">
        <v>95.9860441980962</v>
      </c>
      <c r="G153" s="8" t="n">
        <v>109.41969082383</v>
      </c>
      <c r="H153" s="8" t="n">
        <v>113.626956357186</v>
      </c>
      <c r="I153" s="8" t="n">
        <v>127.939907881381</v>
      </c>
      <c r="J153" s="8" t="n">
        <v>158.528011924179</v>
      </c>
      <c r="K153" s="8" t="n">
        <v>123.048573009681</v>
      </c>
    </row>
    <row r="154" ht="19" customHeight="1">
      <c r="A154" s="6" t="inlineStr">
        <is>
          <t>2022M09</t>
        </is>
      </c>
      <c r="B154" s="8" t="n">
        <v>99.8</v>
      </c>
      <c r="C154" s="8" t="n">
        <v>139.163769370862</v>
      </c>
      <c r="D154" s="8" t="n">
        <v>115.03747708189</v>
      </c>
      <c r="E154" s="8" t="n">
        <v>90.2873215415492</v>
      </c>
      <c r="F154" s="8" t="n">
        <v>93.94533457910291</v>
      </c>
      <c r="G154" s="8" t="n">
        <v>108.948209699654</v>
      </c>
      <c r="H154" s="8" t="n">
        <v>113.507070467371</v>
      </c>
      <c r="I154" s="8" t="n">
        <v>128.422981711618</v>
      </c>
      <c r="J154" s="8" t="n">
        <v>161.82705432254</v>
      </c>
      <c r="K154" s="8" t="n">
        <v>123.790592941254</v>
      </c>
    </row>
    <row r="155" ht="19" customHeight="1">
      <c r="A155" s="6" t="inlineStr">
        <is>
          <t>2022M10</t>
        </is>
      </c>
      <c r="B155" s="8" t="n">
        <v>99.19</v>
      </c>
      <c r="C155" s="8" t="n">
        <v>139.089675142822</v>
      </c>
      <c r="D155" s="8" t="n">
        <v>112.747185356108</v>
      </c>
      <c r="E155" s="8" t="n">
        <v>88.2518549525399</v>
      </c>
      <c r="F155" s="8" t="n">
        <v>97.4939622768306</v>
      </c>
      <c r="G155" s="8" t="n">
        <v>107.835879244464</v>
      </c>
      <c r="H155" s="8" t="n">
        <v>112.776500063922</v>
      </c>
      <c r="I155" s="8" t="n">
        <v>128.820870067102</v>
      </c>
      <c r="J155" s="8" t="n">
        <v>159.377854364546</v>
      </c>
      <c r="K155" s="8" t="n">
        <v>121.895805336721</v>
      </c>
    </row>
    <row r="156" ht="19" customHeight="1">
      <c r="A156" s="6" t="inlineStr">
        <is>
          <t>2022M11</t>
        </is>
      </c>
      <c r="B156" s="8" t="n">
        <v>99</v>
      </c>
      <c r="C156" s="8" t="n">
        <v>136.795421722865</v>
      </c>
      <c r="D156" s="8" t="n">
        <v>108.286179231087</v>
      </c>
      <c r="E156" s="8" t="n">
        <v>87.926752217626</v>
      </c>
      <c r="F156" s="8" t="n">
        <v>97.051227562234</v>
      </c>
      <c r="G156" s="8" t="n">
        <v>109.70735237246</v>
      </c>
      <c r="H156" s="8" t="n">
        <v>113.263617216869</v>
      </c>
      <c r="I156" s="8" t="n">
        <v>130.291566596745</v>
      </c>
      <c r="J156" s="8" t="n">
        <v>152.056760282262</v>
      </c>
      <c r="K156" s="8" t="n">
        <v>120.109344775767</v>
      </c>
    </row>
    <row r="157" ht="19" customHeight="1">
      <c r="A157" s="6" t="inlineStr">
        <is>
          <t>2022M12</t>
        </is>
      </c>
      <c r="B157" s="8" t="n">
        <v>99.09</v>
      </c>
      <c r="C157" s="8" t="n">
        <v>134.299652517659</v>
      </c>
      <c r="D157" s="8" t="n">
        <v>105.870146121482</v>
      </c>
      <c r="E157" s="8" t="n">
        <v>89.7453092913068</v>
      </c>
      <c r="F157" s="8" t="n">
        <v>95.9805283273368</v>
      </c>
      <c r="G157" s="8" t="n">
        <v>111.889376716758</v>
      </c>
      <c r="H157" s="8" t="n">
        <v>114.206828543194</v>
      </c>
      <c r="I157" s="8" t="n">
        <v>130.036664126978</v>
      </c>
      <c r="J157" s="8" t="n">
        <v>153.489331070421</v>
      </c>
      <c r="K157" s="8" t="n">
        <v>118.155520332706</v>
      </c>
    </row>
    <row r="158" ht="19" customHeight="1">
      <c r="A158" s="6" t="inlineStr">
        <is>
          <t>2023M01</t>
        </is>
      </c>
      <c r="B158" s="8" t="n">
        <v>98.87</v>
      </c>
      <c r="C158" s="8" t="n">
        <v>133.13075733107</v>
      </c>
      <c r="D158" s="8" t="n">
        <v>106.144801683945</v>
      </c>
      <c r="E158" s="8" t="n">
        <v>89.7157808488501</v>
      </c>
      <c r="F158" s="8" t="n">
        <v>95.1582554978749</v>
      </c>
      <c r="G158" s="8" t="n">
        <v>114.815962864543</v>
      </c>
      <c r="H158" s="8" t="n">
        <v>114.333007260727</v>
      </c>
      <c r="I158" s="8" t="n">
        <v>130.648353535391</v>
      </c>
      <c r="J158" s="8" t="n">
        <v>152.288818209838</v>
      </c>
      <c r="K158" s="8" t="n">
        <v>119.044749968377</v>
      </c>
    </row>
    <row r="159" ht="19" customHeight="1">
      <c r="A159" s="6" t="inlineStr">
        <is>
          <t>2023M02</t>
        </is>
      </c>
      <c r="B159" s="8" t="n">
        <v>98.93000000000001</v>
      </c>
      <c r="C159" s="8" t="n">
        <v>135.275283448802</v>
      </c>
      <c r="D159" s="8" t="n">
        <v>108.061346212852</v>
      </c>
      <c r="E159" s="8" t="n">
        <v>89.1738870610433</v>
      </c>
      <c r="F159" s="8" t="n">
        <v>97.8876633189146</v>
      </c>
      <c r="G159" s="8" t="n">
        <v>112.694383072493</v>
      </c>
      <c r="H159" s="8" t="n">
        <v>115.653987868802</v>
      </c>
      <c r="I159" s="8" t="n">
        <v>130.962739559885</v>
      </c>
      <c r="J159" s="8" t="n">
        <v>151.95065928937</v>
      </c>
      <c r="K159" s="8" t="n">
        <v>123.417434761956</v>
      </c>
    </row>
    <row r="160" ht="19" customHeight="1">
      <c r="A160" s="6" t="inlineStr">
        <is>
          <t>2023M03</t>
        </is>
      </c>
      <c r="B160" s="8" t="n">
        <v>98.56</v>
      </c>
      <c r="C160" s="8" t="n">
        <v>136.469533414679</v>
      </c>
      <c r="D160" s="8" t="n">
        <v>107.274669041385</v>
      </c>
      <c r="E160" s="8" t="n">
        <v>87.84942493016</v>
      </c>
      <c r="F160" s="8" t="n">
        <v>100.461369330468</v>
      </c>
      <c r="G160" s="8" t="n">
        <v>111.318161748156</v>
      </c>
      <c r="H160" s="8" t="n">
        <v>116.182253147712</v>
      </c>
      <c r="I160" s="8" t="n">
        <v>131.291967588539</v>
      </c>
      <c r="J160" s="8" t="n">
        <v>152.994736814608</v>
      </c>
      <c r="K160" s="8" t="n">
        <v>126.403545433172</v>
      </c>
    </row>
    <row r="161" ht="19" customHeight="1">
      <c r="A161" s="6" t="inlineStr">
        <is>
          <t>2023M04</t>
        </is>
      </c>
      <c r="B161" s="8" t="n">
        <v>97.67</v>
      </c>
      <c r="C161" s="8" t="n">
        <v>134.893504265917</v>
      </c>
      <c r="D161" s="8" t="n">
        <v>109.388650823852</v>
      </c>
      <c r="E161" s="8" t="n">
        <v>87.9374235303538</v>
      </c>
      <c r="F161" s="8" t="n">
        <v>101.606663468676</v>
      </c>
      <c r="G161" s="8" t="n">
        <v>110.314891278749</v>
      </c>
      <c r="H161" s="8" t="n">
        <v>114.115903777143</v>
      </c>
      <c r="I161" s="8" t="n">
        <v>131.38924340948</v>
      </c>
      <c r="J161" s="8" t="n">
        <v>151.91934831539</v>
      </c>
      <c r="K161" s="8" t="n">
        <v>124.389448708027</v>
      </c>
    </row>
    <row r="162" ht="19" customHeight="1">
      <c r="A162" s="6" t="inlineStr">
        <is>
          <t>2023M05</t>
        </is>
      </c>
      <c r="B162" s="8" t="n">
        <v>97.92</v>
      </c>
      <c r="C162" s="8" t="n">
        <v>134.029524219992</v>
      </c>
      <c r="D162" s="8" t="n">
        <v>110.808430238233</v>
      </c>
      <c r="E162" s="8" t="n">
        <v>86.64794183373969</v>
      </c>
      <c r="F162" s="8" t="n">
        <v>104.364467017968</v>
      </c>
      <c r="G162" s="8" t="n">
        <v>110.513891418393</v>
      </c>
      <c r="H162" s="8" t="n">
        <v>114.378557433877</v>
      </c>
      <c r="I162" s="8" t="n">
        <v>131.478543670073</v>
      </c>
      <c r="J162" s="8" t="n">
        <v>153.534005411521</v>
      </c>
      <c r="K162" s="8" t="n">
        <v>124.767988548155</v>
      </c>
    </row>
    <row r="163" ht="19" customHeight="1">
      <c r="A163" s="6" t="inlineStr">
        <is>
          <t>2023M06</t>
        </is>
      </c>
      <c r="B163" s="8" t="n">
        <v>97.52</v>
      </c>
      <c r="C163" s="8" t="n">
        <v>134.899415885768</v>
      </c>
      <c r="D163" s="8" t="n">
        <v>110.586949721079</v>
      </c>
      <c r="E163" s="8" t="n">
        <v>84.9319104298998</v>
      </c>
      <c r="F163" s="8" t="n">
        <v>107.093196483822</v>
      </c>
      <c r="G163" s="8" t="n">
        <v>109.426778058846</v>
      </c>
      <c r="H163" s="8" t="n">
        <v>114.76176719156</v>
      </c>
      <c r="I163" s="8" t="n">
        <v>132.184616337585</v>
      </c>
      <c r="J163" s="8" t="n">
        <v>154.227197679667</v>
      </c>
      <c r="K163" s="8" t="n">
        <v>122.232248417334</v>
      </c>
    </row>
    <row r="164" ht="19" customHeight="1">
      <c r="A164" s="6" t="inlineStr">
        <is>
          <t>2023M07</t>
        </is>
      </c>
      <c r="B164" s="8" t="n">
        <v>97.44</v>
      </c>
      <c r="C164" s="8" t="n">
        <v>134.268191984611</v>
      </c>
      <c r="D164" s="8" t="n">
        <v>109.094193951121</v>
      </c>
      <c r="E164" s="8" t="n">
        <v>85.0593026902439</v>
      </c>
      <c r="F164" s="8" t="n">
        <v>108.324678265202</v>
      </c>
      <c r="G164" s="8" t="n">
        <v>109.560620426949</v>
      </c>
      <c r="H164" s="8" t="n">
        <v>115.73293614993</v>
      </c>
      <c r="I164" s="8" t="n">
        <v>132.549898772529</v>
      </c>
      <c r="J164" s="8" t="n">
        <v>152.214738999799</v>
      </c>
      <c r="K164" s="8" t="n">
        <v>120.303101274351</v>
      </c>
    </row>
    <row r="165" ht="19" customHeight="1">
      <c r="A165" s="6" t="inlineStr">
        <is>
          <t>2023M08</t>
        </is>
      </c>
      <c r="B165" s="8" t="n">
        <v>96.95999999999999</v>
      </c>
      <c r="C165" s="8" t="n">
        <v>135.513151749426</v>
      </c>
      <c r="D165" s="8" t="n">
        <v>108.956657679457</v>
      </c>
      <c r="E165" s="8" t="n">
        <v>85.7701132438029</v>
      </c>
      <c r="F165" s="8" t="n">
        <v>111.353719364819</v>
      </c>
      <c r="G165" s="8" t="n">
        <v>109.801607252943</v>
      </c>
      <c r="H165" s="8" t="n">
        <v>115.450250486669</v>
      </c>
      <c r="I165" s="8" t="n">
        <v>132.732522591803</v>
      </c>
      <c r="J165" s="8" t="n">
        <v>154.362709278962</v>
      </c>
      <c r="K165" s="8" t="n">
        <v>121.990285039071</v>
      </c>
    </row>
    <row r="166" ht="19" customHeight="1">
      <c r="A166" s="6" t="inlineStr">
        <is>
          <t>2023M09</t>
        </is>
      </c>
      <c r="B166" s="8" t="n">
        <v>96.48999999999999</v>
      </c>
      <c r="C166" s="8" t="n">
        <v>137.030306431742</v>
      </c>
      <c r="D166" s="8" t="n">
        <v>109.539372456223</v>
      </c>
      <c r="E166" s="8" t="n">
        <v>85.2349107014473</v>
      </c>
      <c r="F166" s="8" t="n">
        <v>114.62974943071</v>
      </c>
      <c r="G166" s="8" t="n">
        <v>108.309834300556</v>
      </c>
      <c r="H166" s="8" t="n">
        <v>116.700808156238</v>
      </c>
      <c r="I166" s="8" t="n">
        <v>133.07768251747</v>
      </c>
      <c r="J166" s="8" t="n">
        <v>155.348451125748</v>
      </c>
      <c r="K166" s="8" t="n">
        <v>124.368527494723</v>
      </c>
    </row>
    <row r="167" ht="19" customHeight="1">
      <c r="A167" s="6" t="inlineStr">
        <is>
          <t>2023M10</t>
        </is>
      </c>
      <c r="B167" s="8" t="n">
        <v>97</v>
      </c>
      <c r="C167" s="8" t="n">
        <v>137.724094719504</v>
      </c>
      <c r="D167" s="8" t="n">
        <v>107.768380816906</v>
      </c>
      <c r="E167" s="8" t="n">
        <v>84.55416436774119</v>
      </c>
      <c r="F167" s="8" t="n">
        <v>117.794404591886</v>
      </c>
      <c r="G167" s="8" t="n">
        <v>106.645795122903</v>
      </c>
      <c r="H167" s="8" t="n">
        <v>117.12613256889</v>
      </c>
      <c r="I167" s="8" t="n">
        <v>134.305999648447</v>
      </c>
      <c r="J167" s="8" t="n">
        <v>155.131818341574</v>
      </c>
      <c r="K167" s="8" t="n">
        <v>124.91215833393</v>
      </c>
    </row>
    <row r="168" ht="19" customHeight="1">
      <c r="A168" s="6" t="inlineStr">
        <is>
          <t>2023M11</t>
        </is>
      </c>
      <c r="B168" s="8" t="n">
        <v>97.18000000000001</v>
      </c>
      <c r="C168" s="8" t="n">
        <v>135.684873919238</v>
      </c>
      <c r="D168" s="8" t="n">
        <v>107.632572473487</v>
      </c>
      <c r="E168" s="8" t="n">
        <v>84.74720074396591</v>
      </c>
      <c r="F168" s="8" t="n">
        <v>118.335896</v>
      </c>
      <c r="G168" s="8" t="n">
        <v>108.615942276237</v>
      </c>
      <c r="H168" s="8" t="n">
        <v>117.940347961272</v>
      </c>
      <c r="I168" s="8" t="n">
        <v>134.364113093297</v>
      </c>
      <c r="J168" s="8" t="n">
        <v>154.165628383011</v>
      </c>
      <c r="K168" s="8" t="n">
        <v>124.202804720843</v>
      </c>
    </row>
    <row r="169" ht="19" customHeight="1">
      <c r="A169" s="6" t="inlineStr">
        <is>
          <t>2023M12</t>
        </is>
      </c>
      <c r="B169" s="8" t="n">
        <v>97.58</v>
      </c>
      <c r="C169" s="8" t="n">
        <v>134.353806981924</v>
      </c>
      <c r="D169" s="8" t="n">
        <v>107.174592983136</v>
      </c>
      <c r="E169" s="8" t="n">
        <v>84.3080606398135</v>
      </c>
      <c r="F169" s="8" t="n">
        <v>118.888917409927</v>
      </c>
      <c r="G169" s="8" t="n">
        <v>108.417286894478</v>
      </c>
      <c r="H169" s="8" t="n">
        <v>116.70651867547</v>
      </c>
      <c r="I169" s="8" t="n">
        <v>134.561403765928</v>
      </c>
      <c r="J169" s="8" t="n">
        <v>152.526854681892</v>
      </c>
      <c r="K169" s="8" t="n">
        <v>124.916930656013</v>
      </c>
    </row>
    <row r="170" ht="19" customHeight="1">
      <c r="A170" s="6" t="inlineStr">
        <is>
          <t>2024M01</t>
        </is>
      </c>
      <c r="B170" s="8" t="n">
        <v>96.77</v>
      </c>
      <c r="C170" s="8" t="n">
        <v>132.276175185902</v>
      </c>
      <c r="D170" s="8" t="n">
        <v>106.960240098089</v>
      </c>
      <c r="E170" s="8" t="n">
        <v>84.1269796725429</v>
      </c>
      <c r="F170" s="8" t="n">
        <v>121.93550169929</v>
      </c>
      <c r="G170" s="8" t="n">
        <v>108.009940414925</v>
      </c>
      <c r="H170" s="8" t="n">
        <v>116.09713257556</v>
      </c>
      <c r="I170" s="8" t="n">
        <v>134.40363121995</v>
      </c>
      <c r="J170" s="8" t="n">
        <v>152.097972348288</v>
      </c>
      <c r="K170" s="8" t="n">
        <v>127.730678026777</v>
      </c>
    </row>
    <row r="171" ht="19" customHeight="1">
      <c r="A171" s="6" t="inlineStr">
        <is>
          <t>2024M02</t>
        </is>
      </c>
      <c r="B171" s="8" t="n">
        <v>95.95999999999999</v>
      </c>
      <c r="C171" s="8" t="n">
        <v>133.900300015522</v>
      </c>
      <c r="D171" s="8" t="n">
        <v>107.402593043185</v>
      </c>
      <c r="E171" s="8" t="n">
        <v>83.1204553320417</v>
      </c>
      <c r="F171" s="8" t="n">
        <v>125.136125976185</v>
      </c>
      <c r="G171" s="8" t="n">
        <v>106.677635303677</v>
      </c>
      <c r="H171" s="8" t="n">
        <v>117.326913943787</v>
      </c>
      <c r="I171" s="8" t="n">
        <v>134.91080056643</v>
      </c>
      <c r="J171" s="8" t="n">
        <v>153.492237764333</v>
      </c>
      <c r="K171" s="8" t="n">
        <v>130.924746818243</v>
      </c>
    </row>
    <row r="172" ht="19" customHeight="1">
      <c r="A172" s="6" t="inlineStr">
        <is>
          <t>2024M03</t>
        </is>
      </c>
      <c r="B172" s="8" t="n">
        <v>96.04000000000001</v>
      </c>
      <c r="C172" s="8" t="n">
        <v>134.848774452644</v>
      </c>
      <c r="D172" s="8" t="n">
        <v>107.184021827663</v>
      </c>
      <c r="E172" s="8" t="n">
        <v>84.01822351053561</v>
      </c>
      <c r="F172" s="8" t="n">
        <v>127.520594141082</v>
      </c>
      <c r="G172" s="8" t="n">
        <v>106.222234241175</v>
      </c>
      <c r="H172" s="8" t="n">
        <v>117.923782179794</v>
      </c>
      <c r="I172" s="8" t="n">
        <v>134.717079606205</v>
      </c>
      <c r="J172" s="8" t="n">
        <v>151.690177388323</v>
      </c>
      <c r="K172" s="8" t="n">
        <v>132.042279133232</v>
      </c>
    </row>
    <row r="173" ht="19" customHeight="1">
      <c r="A173" s="6" t="inlineStr">
        <is>
          <t>2024M04</t>
        </is>
      </c>
      <c r="B173" s="8" t="n">
        <v>95.59999999999999</v>
      </c>
      <c r="C173" s="8" t="n">
        <v>136.593523648275</v>
      </c>
      <c r="D173" s="8" t="n">
        <v>105.753535519648</v>
      </c>
      <c r="E173" s="8" t="n">
        <v>84.0742086033765</v>
      </c>
      <c r="F173" s="8" t="n">
        <v>131.59755474412</v>
      </c>
      <c r="G173" s="8" t="n">
        <v>106.23192672107</v>
      </c>
      <c r="H173" s="8" t="n">
        <v>117.198416328136</v>
      </c>
      <c r="I173" s="8" t="n">
        <v>135.0746995513</v>
      </c>
      <c r="J173" s="8" t="n">
        <v>151.586616972401</v>
      </c>
      <c r="K173" s="8" t="n">
        <v>132.865781687639</v>
      </c>
    </row>
    <row r="174" ht="19" customHeight="1">
      <c r="A174" s="6" t="inlineStr">
        <is>
          <t>2024M05</t>
        </is>
      </c>
      <c r="B174" s="8" t="n">
        <v>95.76000000000001</v>
      </c>
      <c r="C174" s="8" t="n">
        <v>136.080083561786</v>
      </c>
      <c r="D174" s="8" t="n">
        <v>105.548977703824</v>
      </c>
      <c r="E174" s="8" t="n">
        <v>84.9501982842055</v>
      </c>
      <c r="F174" s="8" t="n">
        <v>133.750685243011</v>
      </c>
      <c r="G174" s="8" t="n">
        <v>107.161518580136</v>
      </c>
      <c r="H174" s="8" t="n">
        <v>115.665090774979</v>
      </c>
      <c r="I174" s="8" t="n">
        <v>135.570427432255</v>
      </c>
      <c r="J174" s="8" t="n">
        <v>149.693577999242</v>
      </c>
      <c r="K174" s="8" t="n">
        <v>134.393476668789</v>
      </c>
    </row>
    <row r="175" ht="19" customHeight="1">
      <c r="A175" s="6" t="inlineStr">
        <is>
          <t>2024M06</t>
        </is>
      </c>
      <c r="B175" s="8" t="n">
        <v>95.73</v>
      </c>
      <c r="C175" s="8" t="n">
        <v>135.532097466601</v>
      </c>
      <c r="D175" s="8" t="n">
        <v>104.265279720303</v>
      </c>
      <c r="E175" s="8" t="n">
        <v>85.4961812959868</v>
      </c>
      <c r="F175" s="8" t="n">
        <v>137.031491109569</v>
      </c>
      <c r="G175" s="8" t="n">
        <v>106.706274053535</v>
      </c>
      <c r="H175" s="8" t="n">
        <v>114.314060413377</v>
      </c>
      <c r="I175" s="8" t="n">
        <v>135.76899686611</v>
      </c>
      <c r="J175" s="8" t="n">
        <v>150.333264069754</v>
      </c>
      <c r="K175" s="8" t="n">
        <v>134.40512187328</v>
      </c>
    </row>
    <row r="176" ht="19" customHeight="1">
      <c r="A176" s="6" t="inlineStr">
        <is>
          <t>2024M07</t>
        </is>
      </c>
      <c r="B176" s="8" t="n">
        <v>95.38</v>
      </c>
      <c r="C176" s="8" t="n">
        <v>135.383329057219</v>
      </c>
      <c r="D176" s="8" t="n">
        <v>104.088387332981</v>
      </c>
      <c r="E176" s="8" t="n">
        <v>85.79008028548429</v>
      </c>
      <c r="F176" s="8" t="n">
        <v>139.163488939124</v>
      </c>
      <c r="G176" s="8" t="n">
        <v>107.890162898687</v>
      </c>
      <c r="H176" s="8" t="n">
        <v>114.722902625941</v>
      </c>
      <c r="I176" s="8" t="n">
        <v>135.870030372781</v>
      </c>
      <c r="J176" s="8" t="n">
        <v>150.568508778716</v>
      </c>
      <c r="K176" s="8" t="n">
        <v>132.999428583821</v>
      </c>
    </row>
    <row r="177" ht="19" customHeight="1">
      <c r="A177" s="6" t="inlineStr">
        <is>
          <t>2024M08</t>
        </is>
      </c>
      <c r="B177" s="8" t="n">
        <v>95.67</v>
      </c>
      <c r="C177" s="8" t="n">
        <v>134.158876534689</v>
      </c>
      <c r="D177" s="8" t="n">
        <v>104.745817461916</v>
      </c>
      <c r="E177" s="8" t="n">
        <v>88.9575625741425</v>
      </c>
      <c r="F177" s="8" t="n">
        <v>138.32200906592</v>
      </c>
      <c r="G177" s="8" t="n">
        <v>109.604225471641</v>
      </c>
      <c r="H177" s="8" t="n">
        <v>114.387100793005</v>
      </c>
      <c r="I177" s="8" t="n">
        <v>135.915886672751</v>
      </c>
      <c r="J177" s="8" t="n">
        <v>148.599918934081</v>
      </c>
      <c r="K177" s="8" t="n">
        <v>130.363000373936</v>
      </c>
    </row>
    <row r="178" ht="19" customHeight="1">
      <c r="A178" s="6" t="inlineStr">
        <is>
          <t>2024M09</t>
        </is>
      </c>
      <c r="B178" s="8" t="n">
        <v>95.56</v>
      </c>
      <c r="C178" s="8" t="n">
        <v>134.567229607243</v>
      </c>
      <c r="D178" s="8" t="n">
        <v>106.553617095703</v>
      </c>
      <c r="E178" s="8" t="n">
        <v>91.2191109602891</v>
      </c>
      <c r="F178" s="8" t="n">
        <v>138.880920838905</v>
      </c>
      <c r="G178" s="8" t="n">
        <v>111.831891480917</v>
      </c>
      <c r="H178" s="8" t="n">
        <v>115.361940673927</v>
      </c>
      <c r="I178" s="8" t="n">
        <v>136.260145511581</v>
      </c>
      <c r="J178" s="8" t="n">
        <v>149.220948899693</v>
      </c>
      <c r="K178" s="8" t="n">
        <v>129.068524391676</v>
      </c>
    </row>
    <row r="179" ht="19" customHeight="1">
      <c r="A179" s="6" t="inlineStr">
        <is>
          <t>2024M10</t>
        </is>
      </c>
      <c r="B179" s="8" t="n">
        <v>95.3</v>
      </c>
      <c r="C179" s="8" t="n">
        <v>136.136088459955</v>
      </c>
      <c r="D179" s="8" t="n">
        <v>106.703958024686</v>
      </c>
      <c r="E179" s="8" t="n">
        <v>91.7529403334385</v>
      </c>
      <c r="F179" s="8" t="n">
        <v>142.911742414181</v>
      </c>
      <c r="G179" s="8" t="n">
        <v>113.433303578904</v>
      </c>
      <c r="H179" s="8" t="n">
        <v>114.43504550633</v>
      </c>
      <c r="I179" s="8" t="n">
        <v>136.559706188205</v>
      </c>
      <c r="J179" s="8" t="n">
        <v>149.594901113318</v>
      </c>
      <c r="K179" s="8" t="n">
        <v>131.824325579908</v>
      </c>
    </row>
    <row r="180" ht="19" customHeight="1">
      <c r="A180" s="6" t="inlineStr">
        <is>
          <t>2024M11</t>
        </is>
      </c>
      <c r="B180" s="8" t="n">
        <v>94.98999999999999</v>
      </c>
      <c r="C180" s="8" t="n">
        <v>138.60013345996</v>
      </c>
      <c r="D180" s="8" t="n">
        <v>106.908836922964</v>
      </c>
      <c r="E180" s="8" t="n">
        <v>90.18459313096341</v>
      </c>
      <c r="F180" s="8" t="n">
        <v>148.754106733043</v>
      </c>
      <c r="G180" s="8" t="n">
        <v>111.665781236177</v>
      </c>
      <c r="H180" s="8" t="n">
        <v>113.623152282719</v>
      </c>
      <c r="I180" s="8" t="n">
        <v>135.800908070569</v>
      </c>
      <c r="J180" s="8" t="n">
        <v>150.856446598549</v>
      </c>
      <c r="K180" s="8" t="n">
        <v>135.051454236388</v>
      </c>
    </row>
    <row r="181" ht="19" customHeight="1">
      <c r="A181" s="6" t="inlineStr">
        <is>
          <t>2024M12</t>
        </is>
      </c>
      <c r="B181" s="8" t="n">
        <v>95.11</v>
      </c>
      <c r="C181" s="8" t="n">
        <v>140.420047664836</v>
      </c>
      <c r="D181" s="8" t="n">
        <v>106.052790279135</v>
      </c>
      <c r="E181" s="8" t="n">
        <v>89.847853562238</v>
      </c>
      <c r="F181" s="8" t="n">
        <v>152.393990539535</v>
      </c>
      <c r="G181" s="8" t="n">
        <v>112.776955037256</v>
      </c>
      <c r="H181" s="8" t="n">
        <v>114.503419199643</v>
      </c>
      <c r="I181" s="8" t="n">
        <v>134.984587522729</v>
      </c>
      <c r="J181" s="8" t="n">
        <v>151.809114738059</v>
      </c>
      <c r="K181" s="8" t="n">
        <v>135.828466023804</v>
      </c>
    </row>
    <row r="182" ht="19" customHeight="1">
      <c r="A182" s="6" t="inlineStr">
        <is>
          <t>2025M01</t>
        </is>
      </c>
      <c r="B182" s="8" t="n">
        <v>94.19</v>
      </c>
      <c r="C182" s="8" t="n">
        <v>141.951032712034</v>
      </c>
      <c r="D182" s="8" t="n">
        <v>104.789205420564</v>
      </c>
      <c r="E182" s="8" t="n">
        <v>90.3909061248158</v>
      </c>
      <c r="F182" s="8" t="n">
        <v>155.817880203319</v>
      </c>
      <c r="G182" s="8" t="n">
        <v>113.604597202028</v>
      </c>
      <c r="H182" s="8" t="n">
        <v>115.477288083165</v>
      </c>
      <c r="I182" s="8" t="n">
        <v>134.63084356786</v>
      </c>
      <c r="J182" s="8" t="n">
        <v>155.630988218653</v>
      </c>
      <c r="K182" s="8" t="n">
        <v>137.979588676638</v>
      </c>
    </row>
    <row r="183" ht="19" customHeight="1">
      <c r="A183" s="6" t="inlineStr">
        <is>
          <t>2025M02</t>
        </is>
      </c>
      <c r="B183" s="8" t="n">
        <v>94.20999999999999</v>
      </c>
      <c r="C183" s="8" t="n">
        <v>141.185067762897</v>
      </c>
      <c r="D183" s="8" t="n">
        <v>102.434945301525</v>
      </c>
      <c r="E183" s="8" t="n">
        <v>90.2515733217687</v>
      </c>
      <c r="F183" s="8" t="n">
        <v>156.95125984875</v>
      </c>
      <c r="G183" s="8" t="n">
        <v>113.866102651198</v>
      </c>
      <c r="H183" s="8" t="n">
        <v>114.714846879043</v>
      </c>
      <c r="I183" s="8" t="n">
        <v>135.253585303063</v>
      </c>
      <c r="J183" s="8" t="n">
        <v>152.296462510216</v>
      </c>
      <c r="K183" s="8" t="n">
        <v>136.424671935817</v>
      </c>
    </row>
    <row r="184" ht="19" customHeight="1">
      <c r="A184" s="6" t="inlineStr">
        <is>
          <t>2025M03</t>
        </is>
      </c>
      <c r="B184" s="8" t="n">
        <v>93.66</v>
      </c>
      <c r="C184" s="8" t="n">
        <v>139.105528369172</v>
      </c>
      <c r="D184" s="8" t="n">
        <v>101.616701816283</v>
      </c>
      <c r="E184" s="8" t="n">
        <v>89.3199589710961</v>
      </c>
      <c r="F184" s="8" t="n">
        <v>158.165128592647</v>
      </c>
      <c r="G184" s="8" t="n">
        <v>112.085007570414</v>
      </c>
      <c r="H184" s="8" t="n">
        <v>114.759798710584</v>
      </c>
      <c r="I184" s="8" t="n">
        <v>134.534056934706</v>
      </c>
      <c r="J184" s="8" t="n">
        <v>149.348869260785</v>
      </c>
      <c r="K184" s="8" t="n">
        <v>135.113979342338</v>
      </c>
    </row>
    <row r="185" ht="19" customHeight="1">
      <c r="A185" s="6" t="inlineStr">
        <is>
          <t>2025M04</t>
        </is>
      </c>
      <c r="B185" s="8" t="n">
        <v>93.53</v>
      </c>
      <c r="C185" s="8" t="n">
        <v>137.758437844428</v>
      </c>
      <c r="D185" s="8" t="n">
        <v>98.7875524379418</v>
      </c>
      <c r="E185" s="8" t="n">
        <v>88.54095232997101</v>
      </c>
      <c r="F185" s="8" t="n">
        <v>159.485675558614</v>
      </c>
      <c r="G185" s="8" t="n">
        <v>109.260595872953</v>
      </c>
      <c r="H185" s="8" t="n">
        <v>114.118094618877</v>
      </c>
      <c r="I185" s="8" t="n">
        <v>133.859560429339</v>
      </c>
      <c r="J185" s="8" t="n">
        <v>144.95890565109</v>
      </c>
      <c r="K185" s="8" t="n">
        <v>134.975579297694</v>
      </c>
    </row>
    <row r="186" ht="19" customHeight="1">
      <c r="A186" s="6" t="inlineStr">
        <is>
          <t>2025M05</t>
        </is>
      </c>
      <c r="B186" s="8" t="n">
        <v>94.04000000000001</v>
      </c>
      <c r="C186" s="8" t="n">
        <v>134.976773715665</v>
      </c>
      <c r="D186" s="8" t="n">
        <v>99.3899982024072</v>
      </c>
      <c r="E186" s="8" t="n">
        <v>90.5607970488895</v>
      </c>
      <c r="F186" s="8" t="n">
        <v>158.817198692513</v>
      </c>
      <c r="G186" s="8" t="n">
        <v>110.498154515704</v>
      </c>
      <c r="H186" s="8" t="n">
        <v>115.213088695909</v>
      </c>
      <c r="I186" s="8" t="n">
        <v>135.326329968248</v>
      </c>
      <c r="J186" s="8" t="n">
        <v>142.53518106141</v>
      </c>
      <c r="K186" s="8" t="n">
        <v>132.991354491574</v>
      </c>
    </row>
    <row r="187" ht="19" customHeight="1">
      <c r="A187" s="6" t="inlineStr">
        <is>
          <t>2025M06</t>
        </is>
      </c>
      <c r="B187" s="8" t="n">
        <v>93.69</v>
      </c>
      <c r="C187" s="8" t="n">
        <v>133.480054966883</v>
      </c>
      <c r="D187" s="8" t="n">
        <v>99.3177153947513</v>
      </c>
      <c r="E187" s="8" t="n">
        <v>90.1450037700571</v>
      </c>
      <c r="F187" s="8" t="n">
        <v>159.813283397263</v>
      </c>
      <c r="G187" s="8" t="n">
        <v>110.477913570607</v>
      </c>
      <c r="H187" s="8" t="n">
        <v>112.780559427616</v>
      </c>
      <c r="I187" s="8" t="n">
        <v>134.980468320082</v>
      </c>
      <c r="J187" s="8" t="n">
        <v>140.500586528595</v>
      </c>
      <c r="K187" s="8" t="n">
        <v>132.27778218383</v>
      </c>
    </row>
    <row r="188" ht="19" customHeight="1">
      <c r="A188" s="6" t="inlineStr">
        <is>
          <t>2025M07</t>
        </is>
      </c>
      <c r="B188" s="8" t="n">
        <v>93.90000000000001</v>
      </c>
      <c r="C188" s="8" t="n">
        <v>133.21533664971</v>
      </c>
      <c r="D188" s="8" t="n">
        <v>99.6461172458263</v>
      </c>
      <c r="E188" s="8" t="n">
        <v>90.2262413624948</v>
      </c>
      <c r="F188" s="8" t="n">
        <v>161.811148310342</v>
      </c>
      <c r="G188" s="8" t="n">
        <v>110.80609148458</v>
      </c>
      <c r="H188" s="8" t="n">
        <v>111.736442745111</v>
      </c>
      <c r="I188" s="8" t="n">
        <v>134.932833038494</v>
      </c>
      <c r="J188" s="8" t="n">
        <v>139.75579070505</v>
      </c>
      <c r="K188" s="8" t="n">
        <v>131.27712769798</v>
      </c>
    </row>
    <row r="189" ht="19" customHeight="1">
      <c r="A189" s="6" t="inlineStr">
        <is>
          <t>2025M08</t>
        </is>
      </c>
      <c r="B189" s="8" t="n">
        <v>93.27</v>
      </c>
      <c r="C189" s="8" t="n">
        <v>133.988072897163</v>
      </c>
      <c r="D189" s="8" t="n">
        <v>99.8783397502461</v>
      </c>
      <c r="E189" s="8" t="n">
        <v>90.8419113820642</v>
      </c>
      <c r="F189" s="8" t="n">
        <v>164.962092669008</v>
      </c>
      <c r="G189" s="8" t="n">
        <v>110.741611183302</v>
      </c>
      <c r="H189" s="8" t="n">
        <v>111.735137833865</v>
      </c>
      <c r="I189" s="8" t="n">
        <v>134.88278359118</v>
      </c>
      <c r="J189" s="8" t="n">
        <v>139.816948799336</v>
      </c>
      <c r="K189" s="8" t="n">
        <v>131.690946716731</v>
      </c>
    </row>
    <row r="190" ht="19" customHeight="1">
      <c r="A190" s="6" t="inlineStr">
        <is>
          <t>2025M09</t>
        </is>
      </c>
      <c r="B190" s="8" t="n">
        <v>93.40000000000001</v>
      </c>
      <c r="C190" s="8" t="n">
        <v>134.224964609796</v>
      </c>
      <c r="D190" s="8" t="n">
        <v>98.4723732198627</v>
      </c>
      <c r="E190" s="8" t="n">
        <v>91.01135676980461</v>
      </c>
      <c r="F190" s="8" t="n">
        <v>166.459973582752</v>
      </c>
      <c r="G190" s="8" t="n">
        <v>112.475742090472</v>
      </c>
      <c r="H190" s="8" t="n">
        <v>111.602145359045</v>
      </c>
      <c r="I190" s="8" t="n">
        <v>134.57933962388</v>
      </c>
      <c r="J190" s="8" t="n">
        <v>139.117882104645</v>
      </c>
      <c r="K190" s="8" t="n">
        <v>130.271612950786</v>
      </c>
    </row>
    <row r="191" ht="19" customHeight="1">
      <c r="A191" s="6" t="inlineStr">
        <is>
          <t>2025M10</t>
        </is>
      </c>
      <c r="B191" s="8" t="n">
        <v>93.04000000000001</v>
      </c>
      <c r="C191" s="8" t="n">
        <v>132.268844544624</v>
      </c>
      <c r="D191" s="8" t="n">
        <v>98.824975296026</v>
      </c>
      <c r="E191" s="8" t="n">
        <v>91.45026653898211</v>
      </c>
      <c r="F191" s="8" t="n">
        <v>170.150233429102</v>
      </c>
      <c r="G191" s="8" t="n">
        <v>111.256822343971</v>
      </c>
      <c r="H191" s="8" t="n">
        <v>110.307758071698</v>
      </c>
      <c r="I191" s="8" t="n">
        <v>134.766912733013</v>
      </c>
      <c r="J191" s="8" t="n">
        <v>140.700387303996</v>
      </c>
      <c r="K191" s="8" t="n">
        <v>132.195467634295</v>
      </c>
    </row>
    <row r="192" ht="19" customHeight="1">
      <c r="A192" s="6" t="inlineStr">
        <is>
          <t>2025M11</t>
        </is>
      </c>
      <c r="B192" s="8" t="n">
        <v>92.73</v>
      </c>
      <c r="C192" s="8" t="n">
        <v>134.9258510572</v>
      </c>
      <c r="D192" s="8" t="n">
        <v>98.9124562886728</v>
      </c>
      <c r="E192" s="8" t="n">
        <v>93.3765150883092</v>
      </c>
      <c r="F192" s="8" t="n">
        <v>172.99665277451</v>
      </c>
      <c r="G192" s="8" t="n">
        <v>112.804805847566</v>
      </c>
      <c r="H192" s="8" t="n">
        <v>109.944740192036</v>
      </c>
      <c r="I192" s="8" t="n">
        <v>134.773658383405</v>
      </c>
      <c r="J192" s="8" t="n">
        <v>142.415545632416</v>
      </c>
      <c r="K192" s="8" t="n">
        <v>133.315559474205</v>
      </c>
    </row>
    <row r="193" ht="19" customHeight="1">
      <c r="A193" s="6" t="inlineStr">
        <is>
          <t>2025M12</t>
        </is>
      </c>
      <c r="B193" s="8" t="n">
        <v>92.7</v>
      </c>
      <c r="C193" s="8" t="n">
        <v>134.572020652854</v>
      </c>
      <c r="D193" s="8" t="n">
        <v>98.7449046013882</v>
      </c>
      <c r="E193" s="8" t="n">
        <v>94.46857371821091</v>
      </c>
      <c r="F193" s="8" t="n">
        <v>173.860406759645</v>
      </c>
      <c r="G193" s="8" t="n">
        <v>115.486786614125</v>
      </c>
      <c r="H193" s="8" t="n">
        <v>110.115083232989</v>
      </c>
      <c r="I193" s="8" t="n">
        <v>135.221389661656</v>
      </c>
      <c r="J193" s="8" t="n">
        <v>141.90366359883</v>
      </c>
      <c r="K193" s="8" t="n">
        <v>132.903522198119</v>
      </c>
    </row>
  </sheetData>
  <autoFilter ref="A1:K19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9" customWidth="1" min="4" max="4"/>
  </cols>
  <sheetData>
    <row r="1" ht="26" customHeight="1">
      <c r="A1" s="5" t="inlineStr">
        <is>
          <t>date</t>
        </is>
      </c>
      <c r="B1" s="5" t="inlineStr">
        <is>
          <t>year</t>
        </is>
      </c>
      <c r="C1" s="5" t="inlineStr">
        <is>
          <t>month</t>
        </is>
      </c>
      <c r="D1" s="5" t="inlineStr">
        <is>
          <t>fao_index</t>
        </is>
      </c>
    </row>
    <row r="2" ht="19" customHeight="1">
      <c r="A2" s="6" t="inlineStr">
        <is>
          <t>2010-01-01</t>
        </is>
      </c>
      <c r="B2" s="10" t="n">
        <v>2010</v>
      </c>
      <c r="C2" s="8" t="n">
        <v>1</v>
      </c>
      <c r="D2" s="8" t="n">
        <v>101.856476141856</v>
      </c>
    </row>
    <row r="3" ht="19" customHeight="1">
      <c r="A3" s="6" t="inlineStr">
        <is>
          <t>2010-02-01</t>
        </is>
      </c>
      <c r="B3" s="10" t="n">
        <v>2010</v>
      </c>
      <c r="C3" s="8" t="n">
        <v>2</v>
      </c>
      <c r="D3" s="8" t="n">
        <v>99.3104484669685</v>
      </c>
    </row>
    <row r="4" ht="19" customHeight="1">
      <c r="A4" s="6" t="inlineStr">
        <is>
          <t>2010-03-01</t>
        </is>
      </c>
      <c r="B4" s="10" t="n">
        <v>2010</v>
      </c>
      <c r="C4" s="8" t="n">
        <v>3</v>
      </c>
      <c r="D4" s="8" t="n">
        <v>96.5590612356703</v>
      </c>
    </row>
    <row r="5" ht="19" customHeight="1">
      <c r="A5" s="6" t="inlineStr">
        <is>
          <t>2010-04-01</t>
        </is>
      </c>
      <c r="B5" s="10" t="n">
        <v>2010</v>
      </c>
      <c r="C5" s="8" t="n">
        <v>4</v>
      </c>
      <c r="D5" s="8" t="n">
        <v>97.1120788835665</v>
      </c>
    </row>
    <row r="6" ht="19" customHeight="1">
      <c r="A6" s="6" t="inlineStr">
        <is>
          <t>2010-05-01</t>
        </is>
      </c>
      <c r="B6" s="10" t="n">
        <v>2010</v>
      </c>
      <c r="C6" s="8" t="n">
        <v>5</v>
      </c>
      <c r="D6" s="8" t="n">
        <v>96.4530628811042</v>
      </c>
    </row>
    <row r="7" ht="19" customHeight="1">
      <c r="A7" s="6" t="inlineStr">
        <is>
          <t>2010-06-01</t>
        </is>
      </c>
      <c r="B7" s="10" t="n">
        <v>2010</v>
      </c>
      <c r="C7" s="8" t="n">
        <v>6</v>
      </c>
      <c r="D7" s="8" t="n">
        <v>95.93024499229681</v>
      </c>
    </row>
    <row r="8" ht="19" customHeight="1">
      <c r="A8" s="6" t="inlineStr">
        <is>
          <t>2010-07-01</t>
        </is>
      </c>
      <c r="B8" s="10" t="n">
        <v>2010</v>
      </c>
      <c r="C8" s="8" t="n">
        <v>7</v>
      </c>
      <c r="D8" s="8" t="n">
        <v>100.08199854165</v>
      </c>
    </row>
    <row r="9" ht="19" customHeight="1">
      <c r="A9" s="6" t="inlineStr">
        <is>
          <t>2010-08-01</t>
        </is>
      </c>
      <c r="B9" s="10" t="n">
        <v>2010</v>
      </c>
      <c r="C9" s="8" t="n">
        <v>8</v>
      </c>
      <c r="D9" s="8" t="n">
        <v>107.809529599224</v>
      </c>
    </row>
    <row r="10" ht="19" customHeight="1">
      <c r="A10" s="6" t="inlineStr">
        <is>
          <t>2010-09-01</t>
        </is>
      </c>
      <c r="B10" s="10" t="n">
        <v>2010</v>
      </c>
      <c r="C10" s="8" t="n">
        <v>9</v>
      </c>
      <c r="D10" s="8" t="n">
        <v>114.179383299206</v>
      </c>
    </row>
    <row r="11" ht="19" customHeight="1">
      <c r="A11" s="6" t="inlineStr">
        <is>
          <t>2010-10-01</t>
        </is>
      </c>
      <c r="B11" s="10" t="n">
        <v>2010</v>
      </c>
      <c r="C11" s="8" t="n">
        <v>10</v>
      </c>
      <c r="D11" s="8" t="n">
        <v>120.11246940185</v>
      </c>
    </row>
    <row r="12" ht="19" customHeight="1">
      <c r="A12" s="6" t="inlineStr">
        <is>
          <t>2010-11-01</t>
        </is>
      </c>
      <c r="B12" s="10" t="n">
        <v>2010</v>
      </c>
      <c r="C12" s="8" t="n">
        <v>11</v>
      </c>
      <c r="D12" s="8" t="n">
        <v>124.286042368159</v>
      </c>
    </row>
    <row r="13" ht="19" customHeight="1">
      <c r="A13" s="6" t="inlineStr">
        <is>
          <t>2010-12-01</t>
        </is>
      </c>
      <c r="B13" s="10" t="n">
        <v>2010</v>
      </c>
      <c r="C13" s="8" t="n">
        <v>12</v>
      </c>
      <c r="D13" s="8" t="n">
        <v>129.427698719664</v>
      </c>
    </row>
    <row r="14" ht="19" customHeight="1">
      <c r="A14" s="6" t="inlineStr">
        <is>
          <t>2011-01-01</t>
        </is>
      </c>
      <c r="B14" s="10" t="n">
        <v>2011</v>
      </c>
      <c r="C14" s="8" t="n">
        <v>1</v>
      </c>
      <c r="D14" s="8" t="n">
        <v>120.547421160475</v>
      </c>
    </row>
    <row r="15" ht="19" customHeight="1">
      <c r="A15" s="6" t="inlineStr">
        <is>
          <t>2011-02-01</t>
        </is>
      </c>
      <c r="B15" s="10" t="n">
        <v>2011</v>
      </c>
      <c r="C15" s="8" t="n">
        <v>2</v>
      </c>
      <c r="D15" s="8" t="n">
        <v>124.05115847068</v>
      </c>
    </row>
    <row r="16" ht="19" customHeight="1">
      <c r="A16" s="6" t="inlineStr">
        <is>
          <t>2011-03-01</t>
        </is>
      </c>
      <c r="B16" s="10" t="n">
        <v>2011</v>
      </c>
      <c r="C16" s="8" t="n">
        <v>3</v>
      </c>
      <c r="D16" s="8" t="n">
        <v>121.029258541763</v>
      </c>
    </row>
    <row r="17" ht="19" customHeight="1">
      <c r="A17" s="6" t="inlineStr">
        <is>
          <t>2011-04-01</t>
        </is>
      </c>
      <c r="B17" s="10" t="n">
        <v>2011</v>
      </c>
      <c r="C17" s="8" t="n">
        <v>4</v>
      </c>
      <c r="D17" s="8" t="n">
        <v>122.842386189153</v>
      </c>
    </row>
    <row r="18" ht="19" customHeight="1">
      <c r="A18" s="6" t="inlineStr">
        <is>
          <t>2011-05-01</t>
        </is>
      </c>
      <c r="B18" s="10" t="n">
        <v>2011</v>
      </c>
      <c r="C18" s="8" t="n">
        <v>5</v>
      </c>
      <c r="D18" s="8" t="n">
        <v>121.745184913805</v>
      </c>
    </row>
    <row r="19" ht="19" customHeight="1">
      <c r="A19" s="6" t="inlineStr">
        <is>
          <t>2011-06-01</t>
        </is>
      </c>
      <c r="B19" s="10" t="n">
        <v>2011</v>
      </c>
      <c r="C19" s="8" t="n">
        <v>6</v>
      </c>
      <c r="D19" s="8" t="n">
        <v>121.414883268203</v>
      </c>
    </row>
    <row r="20" ht="19" customHeight="1">
      <c r="A20" s="6" t="inlineStr">
        <is>
          <t>2011-07-01</t>
        </is>
      </c>
      <c r="B20" s="10" t="n">
        <v>2011</v>
      </c>
      <c r="C20" s="8" t="n">
        <v>7</v>
      </c>
      <c r="D20" s="8" t="n">
        <v>119.817137324458</v>
      </c>
    </row>
    <row r="21" ht="19" customHeight="1">
      <c r="A21" s="6" t="inlineStr">
        <is>
          <t>2011-08-01</t>
        </is>
      </c>
      <c r="B21" s="10" t="n">
        <v>2011</v>
      </c>
      <c r="C21" s="8" t="n">
        <v>8</v>
      </c>
      <c r="D21" s="8" t="n">
        <v>119.587630703403</v>
      </c>
    </row>
    <row r="22" ht="19" customHeight="1">
      <c r="A22" s="6" t="inlineStr">
        <is>
          <t>2011-09-01</t>
        </is>
      </c>
      <c r="B22" s="10" t="n">
        <v>2011</v>
      </c>
      <c r="C22" s="8" t="n">
        <v>9</v>
      </c>
      <c r="D22" s="8" t="n">
        <v>117.261503674666</v>
      </c>
    </row>
    <row r="23" ht="19" customHeight="1">
      <c r="A23" s="6" t="inlineStr">
        <is>
          <t>2011-10-01</t>
        </is>
      </c>
      <c r="B23" s="10" t="n">
        <v>2011</v>
      </c>
      <c r="C23" s="8" t="n">
        <v>10</v>
      </c>
      <c r="D23" s="8" t="n">
        <v>113.178518937472</v>
      </c>
    </row>
    <row r="24" ht="19" customHeight="1">
      <c r="A24" s="6" t="inlineStr">
        <is>
          <t>2011-11-01</t>
        </is>
      </c>
      <c r="B24" s="10" t="n">
        <v>2011</v>
      </c>
      <c r="C24" s="8" t="n">
        <v>11</v>
      </c>
      <c r="D24" s="8" t="n">
        <v>113.47621295335</v>
      </c>
    </row>
    <row r="25" ht="19" customHeight="1">
      <c r="A25" s="6" t="inlineStr">
        <is>
          <t>2011-12-01</t>
        </is>
      </c>
      <c r="B25" s="10" t="n">
        <v>2011</v>
      </c>
      <c r="C25" s="8" t="n">
        <v>12</v>
      </c>
      <c r="D25" s="8" t="n">
        <v>109.867626003835</v>
      </c>
    </row>
    <row r="26" ht="19" customHeight="1">
      <c r="A26" s="6" t="inlineStr">
        <is>
          <t>2012-01-01</t>
        </is>
      </c>
      <c r="B26" s="10" t="n">
        <v>2012</v>
      </c>
      <c r="C26" s="8" t="n">
        <v>1</v>
      </c>
      <c r="D26" s="8" t="n">
        <v>110.946469087332</v>
      </c>
    </row>
    <row r="27" ht="19" customHeight="1">
      <c r="A27" s="6" t="inlineStr">
        <is>
          <t>2012-02-01</t>
        </is>
      </c>
      <c r="B27" s="10" t="n">
        <v>2012</v>
      </c>
      <c r="C27" s="8" t="n">
        <v>2</v>
      </c>
      <c r="D27" s="8" t="n">
        <v>113.766621101599</v>
      </c>
    </row>
    <row r="28" ht="19" customHeight="1">
      <c r="A28" s="6" t="inlineStr">
        <is>
          <t>2012-03-01</t>
        </is>
      </c>
      <c r="B28" s="10" t="n">
        <v>2012</v>
      </c>
      <c r="C28" s="8" t="n">
        <v>3</v>
      </c>
      <c r="D28" s="8" t="n">
        <v>114.049986458285</v>
      </c>
    </row>
    <row r="29" ht="19" customHeight="1">
      <c r="A29" s="6" t="inlineStr">
        <is>
          <t>2012-04-01</t>
        </is>
      </c>
      <c r="B29" s="10" t="n">
        <v>2012</v>
      </c>
      <c r="C29" s="8" t="n">
        <v>4</v>
      </c>
      <c r="D29" s="8" t="n">
        <v>112.910781676526</v>
      </c>
    </row>
    <row r="30" ht="19" customHeight="1">
      <c r="A30" s="6" t="inlineStr">
        <is>
          <t>2012-05-01</t>
        </is>
      </c>
      <c r="B30" s="10" t="n">
        <v>2012</v>
      </c>
      <c r="C30" s="8" t="n">
        <v>5</v>
      </c>
      <c r="D30" s="8" t="n">
        <v>108.020123775233</v>
      </c>
    </row>
    <row r="31" ht="19" customHeight="1">
      <c r="A31" s="6" t="inlineStr">
        <is>
          <t>2012-06-01</t>
        </is>
      </c>
      <c r="B31" s="10" t="n">
        <v>2012</v>
      </c>
      <c r="C31" s="8" t="n">
        <v>6</v>
      </c>
      <c r="D31" s="8" t="n">
        <v>105.092716740607</v>
      </c>
    </row>
    <row r="32" ht="19" customHeight="1">
      <c r="A32" s="6" t="inlineStr">
        <is>
          <t>2012-07-01</t>
        </is>
      </c>
      <c r="B32" s="10" t="n">
        <v>2012</v>
      </c>
      <c r="C32" s="8" t="n">
        <v>7</v>
      </c>
      <c r="D32" s="8" t="n">
        <v>110.690530911271</v>
      </c>
    </row>
    <row r="33" ht="19" customHeight="1">
      <c r="A33" s="6" t="inlineStr">
        <is>
          <t>2012-08-01</t>
        </is>
      </c>
      <c r="B33" s="10" t="n">
        <v>2012</v>
      </c>
      <c r="C33" s="8" t="n">
        <v>8</v>
      </c>
      <c r="D33" s="8" t="n">
        <v>111.801458264255</v>
      </c>
    </row>
    <row r="34" ht="19" customHeight="1">
      <c r="A34" s="6" t="inlineStr">
        <is>
          <t>2012-09-01</t>
        </is>
      </c>
      <c r="B34" s="10" t="n">
        <v>2012</v>
      </c>
      <c r="C34" s="8" t="n">
        <v>9</v>
      </c>
      <c r="D34" s="8" t="n">
        <v>113.572222864094</v>
      </c>
    </row>
    <row r="35" ht="19" customHeight="1">
      <c r="A35" s="6" t="inlineStr">
        <is>
          <t>2012-10-01</t>
        </is>
      </c>
      <c r="B35" s="10" t="n">
        <v>2012</v>
      </c>
      <c r="C35" s="8" t="n">
        <v>10</v>
      </c>
      <c r="D35" s="8" t="n">
        <v>112.560872605147</v>
      </c>
    </row>
    <row r="36" ht="19" customHeight="1">
      <c r="A36" s="6" t="inlineStr">
        <is>
          <t>2012-11-01</t>
        </is>
      </c>
      <c r="B36" s="10" t="n">
        <v>2012</v>
      </c>
      <c r="C36" s="8" t="n">
        <v>11</v>
      </c>
      <c r="D36" s="8" t="n">
        <v>112.119753795693</v>
      </c>
    </row>
    <row r="37" ht="19" customHeight="1">
      <c r="A37" s="6" t="inlineStr">
        <is>
          <t>2012-12-01</t>
        </is>
      </c>
      <c r="B37" s="10" t="n">
        <v>2012</v>
      </c>
      <c r="C37" s="8" t="n">
        <v>12</v>
      </c>
      <c r="D37" s="8" t="n">
        <v>111.450193602028</v>
      </c>
    </row>
    <row r="38" ht="19" customHeight="1">
      <c r="A38" s="6" t="inlineStr">
        <is>
          <t>2013-01-01</t>
        </is>
      </c>
      <c r="B38" s="10" t="n">
        <v>2013</v>
      </c>
      <c r="C38" s="8" t="n">
        <v>1</v>
      </c>
      <c r="D38" s="8" t="n">
        <v>112.521116934357</v>
      </c>
    </row>
    <row r="39" ht="19" customHeight="1">
      <c r="A39" s="6" t="inlineStr">
        <is>
          <t>2013-02-01</t>
        </is>
      </c>
      <c r="B39" s="10" t="n">
        <v>2013</v>
      </c>
      <c r="C39" s="8" t="n">
        <v>2</v>
      </c>
      <c r="D39" s="8" t="n">
        <v>112.430709841674</v>
      </c>
    </row>
    <row r="40" ht="19" customHeight="1">
      <c r="A40" s="6" t="inlineStr">
        <is>
          <t>2013-03-01</t>
        </is>
      </c>
      <c r="B40" s="10" t="n">
        <v>2013</v>
      </c>
      <c r="C40" s="8" t="n">
        <v>3</v>
      </c>
      <c r="D40" s="8" t="n">
        <v>112.080966176616</v>
      </c>
    </row>
    <row r="41" ht="19" customHeight="1">
      <c r="A41" s="6" t="inlineStr">
        <is>
          <t>2013-04-01</t>
        </is>
      </c>
      <c r="B41" s="10" t="n">
        <v>2013</v>
      </c>
      <c r="C41" s="8" t="n">
        <v>4</v>
      </c>
      <c r="D41" s="8" t="n">
        <v>112.028697739726</v>
      </c>
    </row>
    <row r="42" ht="19" customHeight="1">
      <c r="A42" s="6" t="inlineStr">
        <is>
          <t>2013-05-01</t>
        </is>
      </c>
      <c r="B42" s="10" t="n">
        <v>2013</v>
      </c>
      <c r="C42" s="8" t="n">
        <v>5</v>
      </c>
      <c r="D42" s="8" t="n">
        <v>111.360844081295</v>
      </c>
    </row>
    <row r="43" ht="19" customHeight="1">
      <c r="A43" s="6" t="inlineStr">
        <is>
          <t>2013-06-01</t>
        </is>
      </c>
      <c r="B43" s="10" t="n">
        <v>2013</v>
      </c>
      <c r="C43" s="8" t="n">
        <v>6</v>
      </c>
      <c r="D43" s="8" t="n">
        <v>110.227696756822</v>
      </c>
    </row>
    <row r="44" ht="19" customHeight="1">
      <c r="A44" s="6" t="inlineStr">
        <is>
          <t>2013-07-01</t>
        </is>
      </c>
      <c r="B44" s="10" t="n">
        <v>2013</v>
      </c>
      <c r="C44" s="8" t="n">
        <v>7</v>
      </c>
      <c r="D44" s="8" t="n">
        <v>107.545441939603</v>
      </c>
    </row>
    <row r="45" ht="19" customHeight="1">
      <c r="A45" s="6" t="inlineStr">
        <is>
          <t>2013-08-01</t>
        </is>
      </c>
      <c r="B45" s="10" t="n">
        <v>2013</v>
      </c>
      <c r="C45" s="8" t="n">
        <v>8</v>
      </c>
      <c r="D45" s="8" t="n">
        <v>105.910113780909</v>
      </c>
    </row>
    <row r="46" ht="19" customHeight="1">
      <c r="A46" s="6" t="inlineStr">
        <is>
          <t>2013-09-01</t>
        </is>
      </c>
      <c r="B46" s="10" t="n">
        <v>2013</v>
      </c>
      <c r="C46" s="8" t="n">
        <v>9</v>
      </c>
      <c r="D46" s="8" t="n">
        <v>106.097363261956</v>
      </c>
    </row>
    <row r="47" ht="19" customHeight="1">
      <c r="A47" s="6" t="inlineStr">
        <is>
          <t>2013-10-01</t>
        </is>
      </c>
      <c r="B47" s="10" t="n">
        <v>2013</v>
      </c>
      <c r="C47" s="8" t="n">
        <v>10</v>
      </c>
      <c r="D47" s="8" t="n">
        <v>108.214846768412</v>
      </c>
    </row>
    <row r="48" ht="19" customHeight="1">
      <c r="A48" s="6" t="inlineStr">
        <is>
          <t>2013-11-01</t>
        </is>
      </c>
      <c r="B48" s="10" t="n">
        <v>2013</v>
      </c>
      <c r="C48" s="8" t="n">
        <v>11</v>
      </c>
      <c r="D48" s="8" t="n">
        <v>108.130879885736</v>
      </c>
    </row>
    <row r="49" ht="19" customHeight="1">
      <c r="A49" s="6" t="inlineStr">
        <is>
          <t>2013-12-01</t>
        </is>
      </c>
      <c r="B49" s="10" t="n">
        <v>2013</v>
      </c>
      <c r="C49" s="8" t="n">
        <v>12</v>
      </c>
      <c r="D49" s="8" t="n">
        <v>107.781379719759</v>
      </c>
    </row>
    <row r="50" ht="19" customHeight="1">
      <c r="A50" s="6" t="inlineStr">
        <is>
          <t>2014-01-01</t>
        </is>
      </c>
      <c r="B50" s="10" t="n">
        <v>2014</v>
      </c>
      <c r="C50" s="8" t="n">
        <v>1</v>
      </c>
      <c r="D50" s="8" t="n">
        <v>107.429049312198</v>
      </c>
    </row>
    <row r="51" ht="19" customHeight="1">
      <c r="A51" s="6" t="inlineStr">
        <is>
          <t>2014-02-01</t>
        </is>
      </c>
      <c r="B51" s="10" t="n">
        <v>2014</v>
      </c>
      <c r="C51" s="8" t="n">
        <v>2</v>
      </c>
      <c r="D51" s="8" t="n">
        <v>109.635006262518</v>
      </c>
    </row>
    <row r="52" ht="19" customHeight="1">
      <c r="A52" s="6" t="inlineStr">
        <is>
          <t>2014-03-01</t>
        </is>
      </c>
      <c r="B52" s="10" t="n">
        <v>2014</v>
      </c>
      <c r="C52" s="8" t="n">
        <v>3</v>
      </c>
      <c r="D52" s="8" t="n">
        <v>112.891800333247</v>
      </c>
    </row>
    <row r="53" ht="19" customHeight="1">
      <c r="A53" s="6" t="inlineStr">
        <is>
          <t>2014-04-01</t>
        </is>
      </c>
      <c r="B53" s="10" t="n">
        <v>2014</v>
      </c>
      <c r="C53" s="8" t="n">
        <v>4</v>
      </c>
      <c r="D53" s="8" t="n">
        <v>112.265180676469</v>
      </c>
    </row>
    <row r="54" ht="19" customHeight="1">
      <c r="A54" s="6" t="inlineStr">
        <is>
          <t>2014-05-01</t>
        </is>
      </c>
      <c r="B54" s="10" t="n">
        <v>2014</v>
      </c>
      <c r="C54" s="8" t="n">
        <v>5</v>
      </c>
      <c r="D54" s="8" t="n">
        <v>112.017982223128</v>
      </c>
    </row>
    <row r="55" ht="19" customHeight="1">
      <c r="A55" s="6" t="inlineStr">
        <is>
          <t>2014-06-01</t>
        </is>
      </c>
      <c r="B55" s="10" t="n">
        <v>2014</v>
      </c>
      <c r="C55" s="8" t="n">
        <v>6</v>
      </c>
      <c r="D55" s="8" t="n">
        <v>110.212906335367</v>
      </c>
    </row>
    <row r="56" ht="19" customHeight="1">
      <c r="A56" s="6" t="inlineStr">
        <is>
          <t>2014-07-01</t>
        </is>
      </c>
      <c r="B56" s="10" t="n">
        <v>2014</v>
      </c>
      <c r="C56" s="8" t="n">
        <v>7</v>
      </c>
      <c r="D56" s="8" t="n">
        <v>107.449857528732</v>
      </c>
    </row>
    <row r="57" ht="19" customHeight="1">
      <c r="A57" s="6" t="inlineStr">
        <is>
          <t>2014-08-01</t>
        </is>
      </c>
      <c r="B57" s="10" t="n">
        <v>2014</v>
      </c>
      <c r="C57" s="8" t="n">
        <v>8</v>
      </c>
      <c r="D57" s="8" t="n">
        <v>104.244298548451</v>
      </c>
    </row>
    <row r="58" ht="19" customHeight="1">
      <c r="A58" s="6" t="inlineStr">
        <is>
          <t>2014-09-01</t>
        </is>
      </c>
      <c r="B58" s="10" t="n">
        <v>2014</v>
      </c>
      <c r="C58" s="8" t="n">
        <v>9</v>
      </c>
      <c r="D58" s="8" t="n">
        <v>100.940067827413</v>
      </c>
    </row>
    <row r="59" ht="19" customHeight="1">
      <c r="A59" s="6" t="inlineStr">
        <is>
          <t>2014-10-01</t>
        </is>
      </c>
      <c r="B59" s="10" t="n">
        <v>2014</v>
      </c>
      <c r="C59" s="8" t="n">
        <v>10</v>
      </c>
      <c r="D59" s="8" t="n">
        <v>101.056722636124</v>
      </c>
    </row>
    <row r="60" ht="19" customHeight="1">
      <c r="A60" s="6" t="inlineStr">
        <is>
          <t>2014-11-01</t>
        </is>
      </c>
      <c r="B60" s="10" t="n">
        <v>2014</v>
      </c>
      <c r="C60" s="8" t="n">
        <v>11</v>
      </c>
      <c r="D60" s="8" t="n">
        <v>99.94879798673421</v>
      </c>
    </row>
    <row r="61" ht="19" customHeight="1">
      <c r="A61" s="6" t="inlineStr">
        <is>
          <t>2014-12-01</t>
        </is>
      </c>
      <c r="B61" s="10" t="n">
        <v>2014</v>
      </c>
      <c r="C61" s="8" t="n">
        <v>12</v>
      </c>
      <c r="D61" s="8" t="n">
        <v>97.20846854035121</v>
      </c>
    </row>
    <row r="62" ht="19" customHeight="1">
      <c r="A62" s="6" t="inlineStr">
        <is>
          <t>2015-01-01</t>
        </is>
      </c>
      <c r="B62" s="10" t="n">
        <v>2015</v>
      </c>
      <c r="C62" s="8" t="n">
        <v>1</v>
      </c>
      <c r="D62" s="8" t="n">
        <v>103.211233272111</v>
      </c>
    </row>
    <row r="63" ht="19" customHeight="1">
      <c r="A63" s="6" t="inlineStr">
        <is>
          <t>2015-02-01</t>
        </is>
      </c>
      <c r="B63" s="10" t="n">
        <v>2015</v>
      </c>
      <c r="C63" s="8" t="n">
        <v>2</v>
      </c>
      <c r="D63" s="8" t="n">
        <v>100.911571296185</v>
      </c>
    </row>
    <row r="64" ht="19" customHeight="1">
      <c r="A64" s="6" t="inlineStr">
        <is>
          <t>2015-03-01</t>
        </is>
      </c>
      <c r="B64" s="10" t="n">
        <v>2015</v>
      </c>
      <c r="C64" s="8" t="n">
        <v>3</v>
      </c>
      <c r="D64" s="8" t="n">
        <v>97.85039143759469</v>
      </c>
    </row>
    <row r="65" ht="19" customHeight="1">
      <c r="A65" s="6" t="inlineStr">
        <is>
          <t>2015-04-01</t>
        </is>
      </c>
      <c r="B65" s="10" t="n">
        <v>2015</v>
      </c>
      <c r="C65" s="8" t="n">
        <v>4</v>
      </c>
      <c r="D65" s="8" t="n">
        <v>96.69932453901509</v>
      </c>
    </row>
    <row r="66" ht="19" customHeight="1">
      <c r="A66" s="6" t="inlineStr">
        <is>
          <t>2015-05-01</t>
        </is>
      </c>
      <c r="B66" s="10" t="n">
        <v>2015</v>
      </c>
      <c r="C66" s="8" t="n">
        <v>5</v>
      </c>
      <c r="D66" s="8" t="n">
        <v>97.16355815622821</v>
      </c>
    </row>
    <row r="67" ht="19" customHeight="1">
      <c r="A67" s="6" t="inlineStr">
        <is>
          <t>2015-06-01</t>
        </is>
      </c>
      <c r="B67" s="10" t="n">
        <v>2015</v>
      </c>
      <c r="C67" s="8" t="n">
        <v>6</v>
      </c>
      <c r="D67" s="8" t="n">
        <v>96.67956244386011</v>
      </c>
    </row>
    <row r="68" ht="19" customHeight="1">
      <c r="A68" s="6" t="inlineStr">
        <is>
          <t>2015-07-01</t>
        </is>
      </c>
      <c r="B68" s="10" t="n">
        <v>2015</v>
      </c>
      <c r="C68" s="8" t="n">
        <v>7</v>
      </c>
      <c r="D68" s="8" t="n">
        <v>95.8598651561975</v>
      </c>
    </row>
    <row r="69" ht="19" customHeight="1">
      <c r="A69" s="6" t="inlineStr">
        <is>
          <t>2015-08-01</t>
        </is>
      </c>
      <c r="B69" s="10" t="n">
        <v>2015</v>
      </c>
      <c r="C69" s="8" t="n">
        <v>8</v>
      </c>
      <c r="D69" s="8" t="n">
        <v>91.5090677693277</v>
      </c>
    </row>
    <row r="70" ht="19" customHeight="1">
      <c r="A70" s="6" t="inlineStr">
        <is>
          <t>2015-09-01</t>
        </is>
      </c>
      <c r="B70" s="10" t="n">
        <v>2015</v>
      </c>
      <c r="C70" s="8" t="n">
        <v>9</v>
      </c>
      <c r="D70" s="8" t="n">
        <v>90.8687850891873</v>
      </c>
    </row>
    <row r="71" ht="19" customHeight="1">
      <c r="A71" s="6" t="inlineStr">
        <is>
          <t>2015-10-01</t>
        </is>
      </c>
      <c r="B71" s="10" t="n">
        <v>2015</v>
      </c>
      <c r="C71" s="8" t="n">
        <v>10</v>
      </c>
      <c r="D71" s="8" t="n">
        <v>92.2698583629245</v>
      </c>
    </row>
    <row r="72" ht="19" customHeight="1">
      <c r="A72" s="6" t="inlineStr">
        <is>
          <t>2015-11-01</t>
        </is>
      </c>
      <c r="B72" s="10" t="n">
        <v>2015</v>
      </c>
      <c r="C72" s="8" t="n">
        <v>11</v>
      </c>
      <c r="D72" s="8" t="n">
        <v>89.6888160897558</v>
      </c>
    </row>
    <row r="73" ht="19" customHeight="1">
      <c r="A73" s="6" t="inlineStr">
        <is>
          <t>2015-12-01</t>
        </is>
      </c>
      <c r="B73" s="10" t="n">
        <v>2015</v>
      </c>
      <c r="C73" s="8" t="n">
        <v>12</v>
      </c>
      <c r="D73" s="8" t="n">
        <v>88.94301131669521</v>
      </c>
    </row>
    <row r="74" ht="19" customHeight="1">
      <c r="A74" s="6" t="inlineStr">
        <is>
          <t>2016-01-01</t>
        </is>
      </c>
      <c r="B74" s="10" t="n">
        <v>2016</v>
      </c>
      <c r="C74" s="8" t="n">
        <v>1</v>
      </c>
      <c r="D74" s="8" t="n">
        <v>90.36893860263589</v>
      </c>
    </row>
    <row r="75" ht="19" customHeight="1">
      <c r="A75" s="6" t="inlineStr">
        <is>
          <t>2016-02-01</t>
        </is>
      </c>
      <c r="B75" s="10" t="n">
        <v>2016</v>
      </c>
      <c r="C75" s="8" t="n">
        <v>2</v>
      </c>
      <c r="D75" s="8" t="n">
        <v>91.58866905669809</v>
      </c>
    </row>
    <row r="76" ht="19" customHeight="1">
      <c r="A76" s="6" t="inlineStr">
        <is>
          <t>2016-03-01</t>
        </is>
      </c>
      <c r="B76" s="10" t="n">
        <v>2016</v>
      </c>
      <c r="C76" s="8" t="n">
        <v>3</v>
      </c>
      <c r="D76" s="8" t="n">
        <v>93.0293097433788</v>
      </c>
    </row>
    <row r="77" ht="19" customHeight="1">
      <c r="A77" s="6" t="inlineStr">
        <is>
          <t>2016-04-01</t>
        </is>
      </c>
      <c r="B77" s="10" t="n">
        <v>2016</v>
      </c>
      <c r="C77" s="8" t="n">
        <v>4</v>
      </c>
      <c r="D77" s="8" t="n">
        <v>94.8042205424868</v>
      </c>
    </row>
    <row r="78" ht="19" customHeight="1">
      <c r="A78" s="6" t="inlineStr">
        <is>
          <t>2016-05-01</t>
        </is>
      </c>
      <c r="B78" s="10" t="n">
        <v>2016</v>
      </c>
      <c r="C78" s="8" t="n">
        <v>5</v>
      </c>
      <c r="D78" s="8" t="n">
        <v>96.3859013791283</v>
      </c>
    </row>
    <row r="79" ht="19" customHeight="1">
      <c r="A79" s="6" t="inlineStr">
        <is>
          <t>2016-06-01</t>
        </is>
      </c>
      <c r="B79" s="10" t="n">
        <v>2016</v>
      </c>
      <c r="C79" s="8" t="n">
        <v>6</v>
      </c>
      <c r="D79" s="8" t="n">
        <v>99.76371594903689</v>
      </c>
    </row>
    <row r="80" ht="19" customHeight="1">
      <c r="A80" s="6" t="inlineStr">
        <is>
          <t>2016-07-01</t>
        </is>
      </c>
      <c r="B80" s="10" t="n">
        <v>2016</v>
      </c>
      <c r="C80" s="8" t="n">
        <v>7</v>
      </c>
      <c r="D80" s="8" t="n">
        <v>98.9346819590174</v>
      </c>
    </row>
    <row r="81" ht="19" customHeight="1">
      <c r="A81" s="6" t="inlineStr">
        <is>
          <t>2016-08-01</t>
        </is>
      </c>
      <c r="B81" s="10" t="n">
        <v>2016</v>
      </c>
      <c r="C81" s="8" t="n">
        <v>8</v>
      </c>
      <c r="D81" s="8" t="n">
        <v>101.402487660043</v>
      </c>
    </row>
    <row r="82" ht="19" customHeight="1">
      <c r="A82" s="6" t="inlineStr">
        <is>
          <t>2016-09-01</t>
        </is>
      </c>
      <c r="B82" s="10" t="n">
        <v>2016</v>
      </c>
      <c r="C82" s="8" t="n">
        <v>9</v>
      </c>
      <c r="D82" s="8" t="n">
        <v>102.256928982934</v>
      </c>
    </row>
    <row r="83" ht="19" customHeight="1">
      <c r="A83" s="6" t="inlineStr">
        <is>
          <t>2016-10-01</t>
        </is>
      </c>
      <c r="B83" s="10" t="n">
        <v>2016</v>
      </c>
      <c r="C83" s="8" t="n">
        <v>10</v>
      </c>
      <c r="D83" s="8" t="n">
        <v>102.048137759445</v>
      </c>
    </row>
    <row r="84" ht="19" customHeight="1">
      <c r="A84" s="6" t="inlineStr">
        <is>
          <t>2016-11-01</t>
        </is>
      </c>
      <c r="B84" s="10" t="n">
        <v>2016</v>
      </c>
      <c r="C84" s="8" t="n">
        <v>11</v>
      </c>
      <c r="D84" s="8" t="n">
        <v>102.091139781577</v>
      </c>
    </row>
    <row r="85" ht="19" customHeight="1">
      <c r="A85" s="6" t="inlineStr">
        <is>
          <t>2016-12-01</t>
        </is>
      </c>
      <c r="B85" s="10" t="n">
        <v>2016</v>
      </c>
      <c r="C85" s="8" t="n">
        <v>12</v>
      </c>
      <c r="D85" s="8" t="n">
        <v>101.367537452837</v>
      </c>
    </row>
    <row r="86" ht="19" customHeight="1">
      <c r="A86" s="6" t="inlineStr">
        <is>
          <t>2017-01-01</t>
        </is>
      </c>
      <c r="B86" s="10" t="n">
        <v>2017</v>
      </c>
      <c r="C86" s="8" t="n">
        <v>1</v>
      </c>
      <c r="D86" s="8" t="n">
        <v>100.574461113927</v>
      </c>
    </row>
    <row r="87" ht="19" customHeight="1">
      <c r="A87" s="6" t="inlineStr">
        <is>
          <t>2017-02-01</t>
        </is>
      </c>
      <c r="B87" s="10" t="n">
        <v>2017</v>
      </c>
      <c r="C87" s="8" t="n">
        <v>2</v>
      </c>
      <c r="D87" s="8" t="n">
        <v>100.912400876342</v>
      </c>
    </row>
    <row r="88" ht="19" customHeight="1">
      <c r="A88" s="6" t="inlineStr">
        <is>
          <t>2017-03-01</t>
        </is>
      </c>
      <c r="B88" s="10" t="n">
        <v>2017</v>
      </c>
      <c r="C88" s="8" t="n">
        <v>3</v>
      </c>
      <c r="D88" s="8" t="n">
        <v>98.89047690481701</v>
      </c>
    </row>
    <row r="89" ht="19" customHeight="1">
      <c r="A89" s="6" t="inlineStr">
        <is>
          <t>2017-04-01</t>
        </is>
      </c>
      <c r="B89" s="10" t="n">
        <v>2017</v>
      </c>
      <c r="C89" s="8" t="n">
        <v>4</v>
      </c>
      <c r="D89" s="8" t="n">
        <v>97.7358076038436</v>
      </c>
    </row>
    <row r="90" ht="19" customHeight="1">
      <c r="A90" s="6" t="inlineStr">
        <is>
          <t>2017-05-01</t>
        </is>
      </c>
      <c r="B90" s="10" t="n">
        <v>2017</v>
      </c>
      <c r="C90" s="8" t="n">
        <v>5</v>
      </c>
      <c r="D90" s="8" t="n">
        <v>100.106515574251</v>
      </c>
    </row>
    <row r="91" ht="19" customHeight="1">
      <c r="A91" s="6" t="inlineStr">
        <is>
          <t>2017-06-02</t>
        </is>
      </c>
      <c r="B91" s="10" t="n">
        <v>2017</v>
      </c>
      <c r="C91" s="8" t="n">
        <v>6</v>
      </c>
      <c r="D91" s="8" t="n">
        <v>100.539334864042</v>
      </c>
    </row>
    <row r="92" ht="19" customHeight="1">
      <c r="A92" s="6" t="inlineStr">
        <is>
          <t>2017-07-01</t>
        </is>
      </c>
      <c r="B92" s="10" t="n">
        <v>2017</v>
      </c>
      <c r="C92" s="8" t="n">
        <v>7</v>
      </c>
      <c r="D92" s="8" t="n">
        <v>102.864565842242</v>
      </c>
    </row>
    <row r="93" ht="19" customHeight="1">
      <c r="A93" s="6" t="inlineStr">
        <is>
          <t>2017-08-01</t>
        </is>
      </c>
      <c r="B93" s="10" t="n">
        <v>2017</v>
      </c>
      <c r="C93" s="8" t="n">
        <v>8</v>
      </c>
      <c r="D93" s="8" t="n">
        <v>102.054906740477</v>
      </c>
    </row>
    <row r="94" ht="19" customHeight="1">
      <c r="A94" s="6" t="inlineStr">
        <is>
          <t>2017-09-01</t>
        </is>
      </c>
      <c r="B94" s="10" t="n">
        <v>2017</v>
      </c>
      <c r="C94" s="8" t="n">
        <v>9</v>
      </c>
      <c r="D94" s="8" t="n">
        <v>102.522529953247</v>
      </c>
    </row>
    <row r="95" ht="19" customHeight="1">
      <c r="A95" s="6" t="inlineStr">
        <is>
          <t>2017-10-01</t>
        </is>
      </c>
      <c r="B95" s="10" t="n">
        <v>2017</v>
      </c>
      <c r="C95" s="8" t="n">
        <v>10</v>
      </c>
      <c r="D95" s="8" t="n">
        <v>101.657155093892</v>
      </c>
    </row>
    <row r="96" ht="19" customHeight="1">
      <c r="A96" s="6" t="inlineStr">
        <is>
          <t>2017-11-01</t>
        </is>
      </c>
      <c r="B96" s="10" t="n">
        <v>2017</v>
      </c>
      <c r="C96" s="8" t="n">
        <v>11</v>
      </c>
      <c r="D96" s="8" t="n">
        <v>101.608913327403</v>
      </c>
    </row>
    <row r="97" ht="19" customHeight="1">
      <c r="A97" s="6" t="inlineStr">
        <is>
          <t>2017-12-01</t>
        </is>
      </c>
      <c r="B97" s="10" t="n">
        <v>2017</v>
      </c>
      <c r="C97" s="8" t="n">
        <v>12</v>
      </c>
      <c r="D97" s="8" t="n">
        <v>99.1119588883121</v>
      </c>
    </row>
    <row r="98" ht="19" customHeight="1">
      <c r="A98" s="6" t="inlineStr">
        <is>
          <t>2018-01-01</t>
        </is>
      </c>
      <c r="B98" s="10" t="n">
        <v>2018</v>
      </c>
      <c r="C98" s="8" t="n">
        <v>1</v>
      </c>
      <c r="D98" s="8" t="n">
        <v>94.9663148147162</v>
      </c>
    </row>
    <row r="99" ht="19" customHeight="1">
      <c r="A99" s="6" t="inlineStr">
        <is>
          <t>2018-02-01</t>
        </is>
      </c>
      <c r="B99" s="10" t="n">
        <v>2018</v>
      </c>
      <c r="C99" s="8" t="n">
        <v>2</v>
      </c>
      <c r="D99" s="8" t="n">
        <v>96.01446836116411</v>
      </c>
    </row>
    <row r="100" ht="19" customHeight="1">
      <c r="A100" s="6" t="inlineStr">
        <is>
          <t>2018-03-02</t>
        </is>
      </c>
      <c r="B100" s="10" t="n">
        <v>2018</v>
      </c>
      <c r="C100" s="8" t="n">
        <v>3</v>
      </c>
      <c r="D100" s="8" t="n">
        <v>97.09133718681301</v>
      </c>
    </row>
    <row r="101" ht="19" customHeight="1">
      <c r="A101" s="6" t="inlineStr">
        <is>
          <t>2018-04-02</t>
        </is>
      </c>
      <c r="B101" s="10" t="n">
        <v>2018</v>
      </c>
      <c r="C101" s="8" t="n">
        <v>4</v>
      </c>
      <c r="D101" s="8" t="n">
        <v>96.63711502397</v>
      </c>
    </row>
    <row r="102" ht="19" customHeight="1">
      <c r="A102" s="6" t="inlineStr">
        <is>
          <t>2018-05-03</t>
        </is>
      </c>
      <c r="B102" s="10" t="n">
        <v>2018</v>
      </c>
      <c r="C102" s="8" t="n">
        <v>5</v>
      </c>
      <c r="D102" s="8" t="n">
        <v>96.7724989675221</v>
      </c>
    </row>
    <row r="103" ht="19" customHeight="1">
      <c r="A103" s="6" t="inlineStr">
        <is>
          <t>2018-06-01</t>
        </is>
      </c>
      <c r="B103" s="10" t="n">
        <v>2018</v>
      </c>
      <c r="C103" s="8" t="n">
        <v>6</v>
      </c>
      <c r="D103" s="8" t="n">
        <v>95.1116776720976</v>
      </c>
    </row>
    <row r="104" ht="19" customHeight="1">
      <c r="A104" s="6" t="inlineStr">
        <is>
          <t>2018-07-02</t>
        </is>
      </c>
      <c r="B104" s="10" t="n">
        <v>2018</v>
      </c>
      <c r="C104" s="8" t="n">
        <v>7</v>
      </c>
      <c r="D104" s="8" t="n">
        <v>93.321424889385</v>
      </c>
    </row>
    <row r="105" ht="19" customHeight="1">
      <c r="A105" s="6" t="inlineStr">
        <is>
          <t>2018-08-01</t>
        </is>
      </c>
      <c r="B105" s="10" t="n">
        <v>2018</v>
      </c>
      <c r="C105" s="8" t="n">
        <v>8</v>
      </c>
      <c r="D105" s="8" t="n">
        <v>94.14017166565741</v>
      </c>
    </row>
    <row r="106" ht="19" customHeight="1">
      <c r="A106" s="6" t="inlineStr">
        <is>
          <t>2018-09-01</t>
        </is>
      </c>
      <c r="B106" s="10" t="n">
        <v>2018</v>
      </c>
      <c r="C106" s="8" t="n">
        <v>9</v>
      </c>
      <c r="D106" s="8" t="n">
        <v>92.3468449677603</v>
      </c>
    </row>
    <row r="107" ht="19" customHeight="1">
      <c r="A107" s="6" t="inlineStr">
        <is>
          <t>2018-10-01</t>
        </is>
      </c>
      <c r="B107" s="10" t="n">
        <v>2018</v>
      </c>
      <c r="C107" s="8" t="n">
        <v>10</v>
      </c>
      <c r="D107" s="8" t="n">
        <v>91.50848827949601</v>
      </c>
    </row>
    <row r="108" ht="19" customHeight="1">
      <c r="A108" s="6" t="inlineStr">
        <is>
          <t>2018-11-01</t>
        </is>
      </c>
      <c r="B108" s="10" t="n">
        <v>2018</v>
      </c>
      <c r="C108" s="8" t="n">
        <v>11</v>
      </c>
      <c r="D108" s="8" t="n">
        <v>90.2955302887639</v>
      </c>
    </row>
    <row r="109" ht="19" customHeight="1">
      <c r="A109" s="6" t="inlineStr">
        <is>
          <t>2018-12-01</t>
        </is>
      </c>
      <c r="B109" s="10" t="n">
        <v>2018</v>
      </c>
      <c r="C109" s="8" t="n">
        <v>12</v>
      </c>
      <c r="D109" s="8" t="n">
        <v>90.4067903838254</v>
      </c>
    </row>
    <row r="110" ht="19" customHeight="1">
      <c r="A110" s="6" t="inlineStr">
        <is>
          <t>2019-01-01</t>
        </is>
      </c>
      <c r="B110" s="10" t="n">
        <v>2019</v>
      </c>
      <c r="C110" s="8" t="n">
        <v>1</v>
      </c>
      <c r="D110" s="8" t="n">
        <v>93.617425399494</v>
      </c>
    </row>
    <row r="111" ht="19" customHeight="1">
      <c r="A111" s="6" t="inlineStr">
        <is>
          <t>2019-02-01</t>
        </is>
      </c>
      <c r="B111" s="10" t="n">
        <v>2019</v>
      </c>
      <c r="C111" s="8" t="n">
        <v>2</v>
      </c>
      <c r="D111" s="8" t="n">
        <v>94.36581011406351</v>
      </c>
    </row>
    <row r="112" ht="19" customHeight="1">
      <c r="A112" s="6" t="inlineStr">
        <is>
          <t>2019-03-01</t>
        </is>
      </c>
      <c r="B112" s="10" t="n">
        <v>2019</v>
      </c>
      <c r="C112" s="8" t="n">
        <v>3</v>
      </c>
      <c r="D112" s="8" t="n">
        <v>93.5142606148633</v>
      </c>
    </row>
    <row r="113" ht="19" customHeight="1">
      <c r="A113" s="6" t="inlineStr">
        <is>
          <t>2019-04-01</t>
        </is>
      </c>
      <c r="B113" s="10" t="n">
        <v>2019</v>
      </c>
      <c r="C113" s="8" t="n">
        <v>4</v>
      </c>
      <c r="D113" s="8" t="n">
        <v>94.0056473368259</v>
      </c>
    </row>
    <row r="114" ht="19" customHeight="1">
      <c r="A114" s="6" t="inlineStr">
        <is>
          <t>2019-05-01</t>
        </is>
      </c>
      <c r="B114" s="10" t="n">
        <v>2019</v>
      </c>
      <c r="C114" s="8" t="n">
        <v>5</v>
      </c>
      <c r="D114" s="8" t="n">
        <v>94.69841521141331</v>
      </c>
    </row>
    <row r="115" ht="19" customHeight="1">
      <c r="A115" s="6" t="inlineStr">
        <is>
          <t>2019-06-02</t>
        </is>
      </c>
      <c r="B115" s="10" t="n">
        <v>2019</v>
      </c>
      <c r="C115" s="8" t="n">
        <v>6</v>
      </c>
      <c r="D115" s="8" t="n">
        <v>95.948772698394</v>
      </c>
    </row>
    <row r="116" ht="19" customHeight="1">
      <c r="A116" s="6" t="inlineStr">
        <is>
          <t>2019-07-01</t>
        </is>
      </c>
      <c r="B116" s="10" t="n">
        <v>2019</v>
      </c>
      <c r="C116" s="8" t="n">
        <v>7</v>
      </c>
      <c r="D116" s="8" t="n">
        <v>95.63474269417129</v>
      </c>
    </row>
    <row r="117" ht="19" customHeight="1">
      <c r="A117" s="6" t="inlineStr">
        <is>
          <t>2019-08-01</t>
        </is>
      </c>
      <c r="B117" s="10" t="n">
        <v>2019</v>
      </c>
      <c r="C117" s="8" t="n">
        <v>8</v>
      </c>
      <c r="D117" s="8" t="n">
        <v>94.3851545967855</v>
      </c>
    </row>
    <row r="118" ht="19" customHeight="1">
      <c r="A118" s="6" t="inlineStr">
        <is>
          <t>2019-09-01</t>
        </is>
      </c>
      <c r="B118" s="10" t="n">
        <v>2019</v>
      </c>
      <c r="C118" s="8" t="n">
        <v>9</v>
      </c>
      <c r="D118" s="8" t="n">
        <v>93.775155148739</v>
      </c>
    </row>
    <row r="119" ht="19" customHeight="1">
      <c r="A119" s="6" t="inlineStr">
        <is>
          <t>2019-10-01</t>
        </is>
      </c>
      <c r="B119" s="10" t="n">
        <v>2019</v>
      </c>
      <c r="C119" s="8" t="n">
        <v>10</v>
      </c>
      <c r="D119" s="8" t="n">
        <v>95.58690475012349</v>
      </c>
    </row>
    <row r="120" ht="19" customHeight="1">
      <c r="A120" s="6" t="inlineStr">
        <is>
          <t>2019-11-02</t>
        </is>
      </c>
      <c r="B120" s="10" t="n">
        <v>2019</v>
      </c>
      <c r="C120" s="8" t="n">
        <v>11</v>
      </c>
      <c r="D120" s="8" t="n">
        <v>98.8137804201224</v>
      </c>
    </row>
    <row r="121" ht="19" customHeight="1">
      <c r="A121" s="6" t="inlineStr">
        <is>
          <t>2019-12-01</t>
        </is>
      </c>
      <c r="B121" s="10" t="n">
        <v>2019</v>
      </c>
      <c r="C121" s="8" t="n">
        <v>12</v>
      </c>
      <c r="D121" s="8" t="n">
        <v>101.369444170127</v>
      </c>
    </row>
    <row r="122" ht="19" customHeight="1">
      <c r="A122" s="6" t="inlineStr">
        <is>
          <t>2020-01-01</t>
        </is>
      </c>
      <c r="B122" s="10" t="n">
        <v>2020</v>
      </c>
      <c r="C122" s="8" t="n">
        <v>1</v>
      </c>
      <c r="D122" s="8" t="n">
        <v>104.716643726042</v>
      </c>
    </row>
    <row r="123" ht="19" customHeight="1">
      <c r="A123" s="6" t="inlineStr">
        <is>
          <t>2020-02-01</t>
        </is>
      </c>
      <c r="B123" s="10" t="n">
        <v>2020</v>
      </c>
      <c r="C123" s="8" t="n">
        <v>2</v>
      </c>
      <c r="D123" s="8" t="n">
        <v>101.772862638525</v>
      </c>
    </row>
    <row r="124" ht="19" customHeight="1">
      <c r="A124" s="6" t="inlineStr">
        <is>
          <t>2020-03-01</t>
        </is>
      </c>
      <c r="B124" s="10" t="n">
        <v>2020</v>
      </c>
      <c r="C124" s="8" t="n">
        <v>3</v>
      </c>
      <c r="D124" s="8" t="n">
        <v>97.305063607474</v>
      </c>
    </row>
    <row r="125" ht="19" customHeight="1">
      <c r="A125" s="6" t="inlineStr">
        <is>
          <t>2020-04-01</t>
        </is>
      </c>
      <c r="B125" s="10" t="n">
        <v>2020</v>
      </c>
      <c r="C125" s="8" t="n">
        <v>4</v>
      </c>
      <c r="D125" s="8" t="n">
        <v>94.4498393079171</v>
      </c>
    </row>
    <row r="126" ht="19" customHeight="1">
      <c r="A126" s="6" t="inlineStr">
        <is>
          <t>2020-05-01</t>
        </is>
      </c>
      <c r="B126" s="10" t="n">
        <v>2020</v>
      </c>
      <c r="C126" s="8" t="n">
        <v>5</v>
      </c>
      <c r="D126" s="8" t="n">
        <v>93.1532706372418</v>
      </c>
    </row>
    <row r="127" ht="19" customHeight="1">
      <c r="A127" s="6" t="inlineStr">
        <is>
          <t>2020-06-01</t>
        </is>
      </c>
      <c r="B127" s="10" t="n">
        <v>2020</v>
      </c>
      <c r="C127" s="8" t="n">
        <v>6</v>
      </c>
      <c r="D127" s="8" t="n">
        <v>95.18013077821431</v>
      </c>
    </row>
    <row r="128" ht="19" customHeight="1">
      <c r="A128" s="6" t="inlineStr">
        <is>
          <t>2020-07-01</t>
        </is>
      </c>
      <c r="B128" s="10" t="n">
        <v>2020</v>
      </c>
      <c r="C128" s="8" t="n">
        <v>7</v>
      </c>
      <c r="D128" s="8" t="n">
        <v>95.8336788124939</v>
      </c>
    </row>
    <row r="129" ht="19" customHeight="1">
      <c r="A129" s="6" t="inlineStr">
        <is>
          <t>2020-08-01</t>
        </is>
      </c>
      <c r="B129" s="10" t="n">
        <v>2020</v>
      </c>
      <c r="C129" s="8" t="n">
        <v>8</v>
      </c>
      <c r="D129" s="8" t="n">
        <v>97.7678470975017</v>
      </c>
    </row>
    <row r="130" ht="19" customHeight="1">
      <c r="A130" s="6" t="inlineStr">
        <is>
          <t>2020-09-01</t>
        </is>
      </c>
      <c r="B130" s="10" t="n">
        <v>2020</v>
      </c>
      <c r="C130" s="8" t="n">
        <v>9</v>
      </c>
      <c r="D130" s="8" t="n">
        <v>100.064050686995</v>
      </c>
    </row>
    <row r="131" ht="19" customHeight="1">
      <c r="A131" s="6" t="inlineStr">
        <is>
          <t>2020-10-01</t>
        </is>
      </c>
      <c r="B131" s="10" t="n">
        <v>2020</v>
      </c>
      <c r="C131" s="8" t="n">
        <v>10</v>
      </c>
      <c r="D131" s="8" t="n">
        <v>103.542737016137</v>
      </c>
    </row>
    <row r="132" ht="19" customHeight="1">
      <c r="A132" s="6" t="inlineStr">
        <is>
          <t>2020-11-01</t>
        </is>
      </c>
      <c r="B132" s="10" t="n">
        <v>2020</v>
      </c>
      <c r="C132" s="8" t="n">
        <v>11</v>
      </c>
      <c r="D132" s="8" t="n">
        <v>107.82841934013</v>
      </c>
    </row>
    <row r="133" ht="19" customHeight="1">
      <c r="A133" s="6" t="inlineStr">
        <is>
          <t>2020-12-01</t>
        </is>
      </c>
      <c r="B133" s="10" t="n">
        <v>2020</v>
      </c>
      <c r="C133" s="8" t="n">
        <v>12</v>
      </c>
      <c r="D133" s="8" t="n">
        <v>110.84516899469</v>
      </c>
    </row>
    <row r="134" ht="19" customHeight="1">
      <c r="A134" s="6" t="inlineStr">
        <is>
          <t>2021-01-01</t>
        </is>
      </c>
      <c r="B134" s="10" t="n">
        <v>2021</v>
      </c>
      <c r="C134" s="8" t="n">
        <v>1</v>
      </c>
      <c r="D134" s="8" t="n">
        <v>103.792865137152</v>
      </c>
    </row>
    <row r="135" ht="19" customHeight="1">
      <c r="A135" s="6" t="inlineStr">
        <is>
          <t>2021-02-01</t>
        </is>
      </c>
      <c r="B135" s="10" t="n">
        <v>2021</v>
      </c>
      <c r="C135" s="8" t="n">
        <v>2</v>
      </c>
      <c r="D135" s="8" t="n">
        <v>106.53998784013</v>
      </c>
    </row>
    <row r="136" ht="19" customHeight="1">
      <c r="A136" s="6" t="inlineStr">
        <is>
          <t>2021-03-01</t>
        </is>
      </c>
      <c r="B136" s="10" t="n">
        <v>2021</v>
      </c>
      <c r="C136" s="8" t="n">
        <v>3</v>
      </c>
      <c r="D136" s="8" t="n">
        <v>108.922517926501</v>
      </c>
    </row>
    <row r="137" ht="19" customHeight="1">
      <c r="A137" s="6" t="inlineStr">
        <is>
          <t>2021-04-01</t>
        </is>
      </c>
      <c r="B137" s="10" t="n">
        <v>2021</v>
      </c>
      <c r="C137" s="8" t="n">
        <v>4</v>
      </c>
      <c r="D137" s="8" t="n">
        <v>111.628294227347</v>
      </c>
    </row>
    <row r="138" ht="19" customHeight="1">
      <c r="A138" s="6" t="inlineStr">
        <is>
          <t>2021-05-01</t>
        </is>
      </c>
      <c r="B138" s="10" t="n">
        <v>2021</v>
      </c>
      <c r="C138" s="8" t="n">
        <v>5</v>
      </c>
      <c r="D138" s="8" t="n">
        <v>117.380837513547</v>
      </c>
    </row>
    <row r="139" ht="19" customHeight="1">
      <c r="A139" s="6" t="inlineStr">
        <is>
          <t>2021-06-01</t>
        </is>
      </c>
      <c r="B139" s="10" t="n">
        <v>2021</v>
      </c>
      <c r="C139" s="8" t="n">
        <v>6</v>
      </c>
      <c r="D139" s="8" t="n">
        <v>114.646315888689</v>
      </c>
    </row>
    <row r="140" ht="19" customHeight="1">
      <c r="A140" s="6" t="inlineStr">
        <is>
          <t>2021-07-01</t>
        </is>
      </c>
      <c r="B140" s="10" t="n">
        <v>2021</v>
      </c>
      <c r="C140" s="8" t="n">
        <v>7</v>
      </c>
      <c r="D140" s="8" t="n">
        <v>113.742125023484</v>
      </c>
    </row>
    <row r="141" ht="19" customHeight="1">
      <c r="A141" s="6" t="inlineStr">
        <is>
          <t>2021-08-01</t>
        </is>
      </c>
      <c r="B141" s="10" t="n">
        <v>2021</v>
      </c>
      <c r="C141" s="8" t="n">
        <v>8</v>
      </c>
      <c r="D141" s="8" t="n">
        <v>117.046554912657</v>
      </c>
    </row>
    <row r="142" ht="19" customHeight="1">
      <c r="A142" s="6" t="inlineStr">
        <is>
          <t>2021-09-01</t>
        </is>
      </c>
      <c r="B142" s="10" t="n">
        <v>2021</v>
      </c>
      <c r="C142" s="8" t="n">
        <v>9</v>
      </c>
      <c r="D142" s="8" t="n">
        <v>118.106313803614</v>
      </c>
    </row>
    <row r="143" ht="19" customHeight="1">
      <c r="A143" s="6" t="inlineStr">
        <is>
          <t>2021-10-01</t>
        </is>
      </c>
      <c r="B143" s="10" t="n">
        <v>2021</v>
      </c>
      <c r="C143" s="8" t="n">
        <v>10</v>
      </c>
      <c r="D143" s="8" t="n">
        <v>121.882833055598</v>
      </c>
    </row>
    <row r="144" ht="19" customHeight="1">
      <c r="A144" s="6" t="inlineStr">
        <is>
          <t>2021-11-01</t>
        </is>
      </c>
      <c r="B144" s="10" t="n">
        <v>2021</v>
      </c>
      <c r="C144" s="8" t="n">
        <v>11</v>
      </c>
      <c r="D144" s="8" t="n">
        <v>123.86389055207</v>
      </c>
    </row>
    <row r="145" ht="19" customHeight="1">
      <c r="A145" s="6" t="inlineStr">
        <is>
          <t>2021-12-01</t>
        </is>
      </c>
      <c r="B145" s="10" t="n">
        <v>2021</v>
      </c>
      <c r="C145" s="8" t="n">
        <v>12</v>
      </c>
      <c r="D145" s="8" t="n">
        <v>122.292084264405</v>
      </c>
    </row>
    <row r="146" ht="19" customHeight="1">
      <c r="A146" s="6" t="inlineStr">
        <is>
          <t>2022-01-01</t>
        </is>
      </c>
      <c r="B146" s="10" t="n">
        <v>2022</v>
      </c>
      <c r="C146" s="8" t="n">
        <v>1</v>
      </c>
      <c r="D146" s="8" t="n">
        <v>115.593414401326</v>
      </c>
    </row>
    <row r="147" ht="19" customHeight="1">
      <c r="A147" s="6" t="inlineStr">
        <is>
          <t>2022-02-01</t>
        </is>
      </c>
      <c r="B147" s="10" t="n">
        <v>2022</v>
      </c>
      <c r="C147" s="8" t="n">
        <v>2</v>
      </c>
      <c r="D147" s="8" t="n">
        <v>120.680599330715</v>
      </c>
    </row>
    <row r="148" ht="19" customHeight="1">
      <c r="A148" s="6" t="inlineStr">
        <is>
          <t>2022-03-01</t>
        </is>
      </c>
      <c r="B148" s="10" t="n">
        <v>2022</v>
      </c>
      <c r="C148" s="8" t="n">
        <v>3</v>
      </c>
      <c r="D148" s="8" t="n">
        <v>136.48630251898</v>
      </c>
    </row>
    <row r="149" ht="19" customHeight="1">
      <c r="A149" s="6" t="inlineStr">
        <is>
          <t>2022-04-01</t>
        </is>
      </c>
      <c r="B149" s="10" t="n">
        <v>2022</v>
      </c>
      <c r="C149" s="8" t="n">
        <v>4</v>
      </c>
      <c r="D149" s="8" t="n">
        <v>135.272395082705</v>
      </c>
    </row>
    <row r="150" ht="19" customHeight="1">
      <c r="A150" s="6" t="inlineStr">
        <is>
          <t>2022-05-01</t>
        </is>
      </c>
      <c r="B150" s="10" t="n">
        <v>2022</v>
      </c>
      <c r="C150" s="8" t="n">
        <v>5</v>
      </c>
      <c r="D150" s="8" t="n">
        <v>135.181140921124</v>
      </c>
    </row>
    <row r="151" ht="19" customHeight="1">
      <c r="A151" s="6" t="inlineStr">
        <is>
          <t>2022-06-01</t>
        </is>
      </c>
      <c r="B151" s="10" t="n">
        <v>2022</v>
      </c>
      <c r="C151" s="8" t="n">
        <v>6</v>
      </c>
      <c r="D151" s="8" t="n">
        <v>132.600762800205</v>
      </c>
    </row>
    <row r="152" ht="19" customHeight="1">
      <c r="A152" s="6" t="inlineStr">
        <is>
          <t>2022-07-01</t>
        </is>
      </c>
      <c r="B152" s="10" t="n">
        <v>2022</v>
      </c>
      <c r="C152" s="8" t="n">
        <v>7</v>
      </c>
      <c r="D152" s="8" t="n">
        <v>120.625490390213</v>
      </c>
    </row>
    <row r="153" ht="19" customHeight="1">
      <c r="A153" s="6" t="inlineStr">
        <is>
          <t>2022-08-01</t>
        </is>
      </c>
      <c r="B153" s="10" t="n">
        <v>2022</v>
      </c>
      <c r="C153" s="8" t="n">
        <v>8</v>
      </c>
      <c r="D153" s="8" t="n">
        <v>118.143608575401</v>
      </c>
    </row>
    <row r="154" ht="19" customHeight="1">
      <c r="A154" s="6" t="inlineStr">
        <is>
          <t>2022-09-01</t>
        </is>
      </c>
      <c r="B154" s="10" t="n">
        <v>2022</v>
      </c>
      <c r="C154" s="8" t="n">
        <v>9</v>
      </c>
      <c r="D154" s="8" t="n">
        <v>116.985156274354</v>
      </c>
    </row>
    <row r="155" ht="19" customHeight="1">
      <c r="A155" s="6" t="inlineStr">
        <is>
          <t>2022-10-01</t>
        </is>
      </c>
      <c r="B155" s="10" t="n">
        <v>2022</v>
      </c>
      <c r="C155" s="8" t="n">
        <v>10</v>
      </c>
      <c r="D155" s="8" t="n">
        <v>116.417973463831</v>
      </c>
    </row>
    <row r="156" ht="19" customHeight="1">
      <c r="A156" s="6" t="inlineStr">
        <is>
          <t>2022-11-01</t>
        </is>
      </c>
      <c r="B156" s="10" t="n">
        <v>2022</v>
      </c>
      <c r="C156" s="8" t="n">
        <v>11</v>
      </c>
      <c r="D156" s="8" t="n">
        <v>115.832601511601</v>
      </c>
    </row>
    <row r="157" ht="19" customHeight="1">
      <c r="A157" s="6" t="inlineStr">
        <is>
          <t>2022-12-01</t>
        </is>
      </c>
      <c r="B157" s="10" t="n">
        <v>2022</v>
      </c>
      <c r="C157" s="8" t="n">
        <v>12</v>
      </c>
      <c r="D157" s="8" t="n">
        <v>113.379578760209</v>
      </c>
    </row>
    <row r="158" ht="19" customHeight="1">
      <c r="A158" s="6" t="inlineStr">
        <is>
          <t>2023-01-01</t>
        </is>
      </c>
      <c r="B158" s="10" t="n">
        <v>2023</v>
      </c>
      <c r="C158" s="8" t="n">
        <v>1</v>
      </c>
      <c r="D158" s="8" t="n">
        <v>115.244907365072</v>
      </c>
    </row>
    <row r="159" ht="19" customHeight="1">
      <c r="A159" s="6" t="inlineStr">
        <is>
          <t>2023-02-01</t>
        </is>
      </c>
      <c r="B159" s="10" t="n">
        <v>2023</v>
      </c>
      <c r="C159" s="8" t="n">
        <v>2</v>
      </c>
      <c r="D159" s="8" t="n">
        <v>114.633990996215</v>
      </c>
    </row>
    <row r="160" ht="19" customHeight="1">
      <c r="A160" s="6" t="inlineStr">
        <is>
          <t>2023-03-01</t>
        </is>
      </c>
      <c r="B160" s="10" t="n">
        <v>2023</v>
      </c>
      <c r="C160" s="8" t="n">
        <v>3</v>
      </c>
      <c r="D160" s="8" t="n">
        <v>112.225170186187</v>
      </c>
    </row>
    <row r="161" ht="19" customHeight="1">
      <c r="A161" s="6" t="inlineStr">
        <is>
          <t>2023-04-01</t>
        </is>
      </c>
      <c r="B161" s="10" t="n">
        <v>2023</v>
      </c>
      <c r="C161" s="8" t="n">
        <v>4</v>
      </c>
      <c r="D161" s="8" t="n">
        <v>112.578040321374</v>
      </c>
    </row>
    <row r="162" ht="19" customHeight="1">
      <c r="A162" s="6" t="inlineStr">
        <is>
          <t>2023-05-01</t>
        </is>
      </c>
      <c r="B162" s="10" t="n">
        <v>2023</v>
      </c>
      <c r="C162" s="8" t="n">
        <v>5</v>
      </c>
      <c r="D162" s="8" t="n">
        <v>109.135673103064</v>
      </c>
    </row>
    <row r="163" ht="19" customHeight="1">
      <c r="A163" s="6" t="inlineStr">
        <is>
          <t>2023-06-01</t>
        </is>
      </c>
      <c r="B163" s="10" t="n">
        <v>2023</v>
      </c>
      <c r="C163" s="8" t="n">
        <v>6</v>
      </c>
      <c r="D163" s="8" t="n">
        <v>107.859656228113</v>
      </c>
    </row>
    <row r="164" ht="19" customHeight="1">
      <c r="A164" s="6" t="inlineStr">
        <is>
          <t>2023-07-01</t>
        </is>
      </c>
      <c r="B164" s="10" t="n">
        <v>2023</v>
      </c>
      <c r="C164" s="8" t="n">
        <v>7</v>
      </c>
      <c r="D164" s="8" t="n">
        <v>109.045576456027</v>
      </c>
    </row>
    <row r="165" ht="19" customHeight="1">
      <c r="A165" s="6" t="inlineStr">
        <is>
          <t>2023-08-01</t>
        </is>
      </c>
      <c r="B165" s="10" t="n">
        <v>2023</v>
      </c>
      <c r="C165" s="8" t="n">
        <v>8</v>
      </c>
      <c r="D165" s="8" t="n">
        <v>106.799664489849</v>
      </c>
    </row>
    <row r="166" ht="19" customHeight="1">
      <c r="A166" s="6" t="inlineStr">
        <is>
          <t>2023-09-01</t>
        </is>
      </c>
      <c r="B166" s="10" t="n">
        <v>2023</v>
      </c>
      <c r="C166" s="8" t="n">
        <v>9</v>
      </c>
      <c r="D166" s="8" t="n">
        <v>106.686604018627</v>
      </c>
    </row>
    <row r="167" ht="19" customHeight="1">
      <c r="A167" s="6" t="inlineStr">
        <is>
          <t>2023-10-01</t>
        </is>
      </c>
      <c r="B167" s="10" t="n">
        <v>2023</v>
      </c>
      <c r="C167" s="8" t="n">
        <v>10</v>
      </c>
      <c r="D167" s="8" t="n">
        <v>105.857874069854</v>
      </c>
    </row>
    <row r="168" ht="19" customHeight="1">
      <c r="A168" s="6" t="inlineStr">
        <is>
          <t>2023-11-01</t>
        </is>
      </c>
      <c r="B168" s="10" t="n">
        <v>2023</v>
      </c>
      <c r="C168" s="8" t="n">
        <v>11</v>
      </c>
      <c r="D168" s="8" t="n">
        <v>105.754136668425</v>
      </c>
    </row>
    <row r="169" ht="19" customHeight="1">
      <c r="A169" s="6" t="inlineStr">
        <is>
          <t>2023-12-01</t>
        </is>
      </c>
      <c r="B169" s="10" t="n">
        <v>2023</v>
      </c>
      <c r="C169" s="8" t="n">
        <v>12</v>
      </c>
      <c r="D169" s="8" t="n">
        <v>104.406590801674</v>
      </c>
    </row>
    <row r="170" ht="19" customHeight="1">
      <c r="A170" s="6" t="inlineStr">
        <is>
          <t>2024-01-01</t>
        </is>
      </c>
      <c r="B170" s="10" t="n">
        <v>2024</v>
      </c>
      <c r="C170" s="8" t="n">
        <v>1</v>
      </c>
      <c r="D170" s="8" t="n">
        <v>102.264144161342</v>
      </c>
    </row>
    <row r="171" ht="19" customHeight="1">
      <c r="A171" s="6" t="inlineStr">
        <is>
          <t>2024-02-01</t>
        </is>
      </c>
      <c r="B171" s="10" t="n">
        <v>2024</v>
      </c>
      <c r="C171" s="8" t="n">
        <v>2</v>
      </c>
      <c r="D171" s="8" t="n">
        <v>102.090707535421</v>
      </c>
    </row>
    <row r="172" ht="19" customHeight="1">
      <c r="A172" s="6" t="inlineStr">
        <is>
          <t>2024-03-01</t>
        </is>
      </c>
      <c r="B172" s="10" t="n">
        <v>2024</v>
      </c>
      <c r="C172" s="8" t="n">
        <v>3</v>
      </c>
      <c r="D172" s="8" t="n">
        <v>103.392854053675</v>
      </c>
    </row>
    <row r="173" ht="19" customHeight="1">
      <c r="A173" s="6" t="inlineStr">
        <is>
          <t>2024-04-01</t>
        </is>
      </c>
      <c r="B173" s="10" t="n">
        <v>2024</v>
      </c>
      <c r="C173" s="8" t="n">
        <v>4</v>
      </c>
      <c r="D173" s="8" t="n">
        <v>103.656295434725</v>
      </c>
    </row>
    <row r="174" ht="19" customHeight="1">
      <c r="A174" s="6" t="inlineStr">
        <is>
          <t>2024-05-01</t>
        </is>
      </c>
      <c r="B174" s="10" t="n">
        <v>2024</v>
      </c>
      <c r="C174" s="8" t="n">
        <v>5</v>
      </c>
      <c r="D174" s="8" t="n">
        <v>104.733576411612</v>
      </c>
    </row>
    <row r="175" ht="19" customHeight="1">
      <c r="A175" s="6" t="inlineStr">
        <is>
          <t>2024-06-01</t>
        </is>
      </c>
      <c r="B175" s="10" t="n">
        <v>2024</v>
      </c>
      <c r="C175" s="8" t="n">
        <v>6</v>
      </c>
      <c r="D175" s="8" t="n">
        <v>105.169509075756</v>
      </c>
    </row>
    <row r="176" ht="19" customHeight="1">
      <c r="A176" s="6" t="inlineStr">
        <is>
          <t>2024-07-01</t>
        </is>
      </c>
      <c r="B176" s="10" t="n">
        <v>2024</v>
      </c>
      <c r="C176" s="8" t="n">
        <v>7</v>
      </c>
      <c r="D176" s="8" t="n">
        <v>105.069520097267</v>
      </c>
    </row>
    <row r="177" ht="19" customHeight="1">
      <c r="A177" s="6" t="inlineStr">
        <is>
          <t>2024-08-01</t>
        </is>
      </c>
      <c r="B177" s="10" t="n">
        <v>2024</v>
      </c>
      <c r="C177" s="8" t="n">
        <v>8</v>
      </c>
      <c r="D177" s="8" t="n">
        <v>105.76388433437</v>
      </c>
    </row>
    <row r="178" ht="19" customHeight="1">
      <c r="A178" s="6" t="inlineStr">
        <is>
          <t>2024-09-01</t>
        </is>
      </c>
      <c r="B178" s="10" t="n">
        <v>2024</v>
      </c>
      <c r="C178" s="8" t="n">
        <v>9</v>
      </c>
      <c r="D178" s="8" t="n">
        <v>108.297893555568</v>
      </c>
    </row>
    <row r="179" ht="19" customHeight="1">
      <c r="A179" s="6" t="inlineStr">
        <is>
          <t>2024-10-01</t>
        </is>
      </c>
      <c r="B179" s="10" t="n">
        <v>2024</v>
      </c>
      <c r="C179" s="8" t="n">
        <v>10</v>
      </c>
      <c r="D179" s="8" t="n">
        <v>110.287776137712</v>
      </c>
    </row>
    <row r="180" ht="19" customHeight="1">
      <c r="A180" s="6" t="inlineStr">
        <is>
          <t>2024-11-01</t>
        </is>
      </c>
      <c r="B180" s="10" t="n">
        <v>2024</v>
      </c>
      <c r="C180" s="8" t="n">
        <v>11</v>
      </c>
      <c r="D180" s="8" t="n">
        <v>110.991535865332</v>
      </c>
    </row>
    <row r="181" ht="19" customHeight="1">
      <c r="A181" s="6" t="inlineStr">
        <is>
          <t>2024-12-01</t>
        </is>
      </c>
      <c r="B181" s="10" t="n">
        <v>2024</v>
      </c>
      <c r="C181" s="8" t="n">
        <v>12</v>
      </c>
      <c r="D181" s="8" t="n">
        <v>110.656772363182</v>
      </c>
    </row>
    <row r="182" ht="19" customHeight="1">
      <c r="A182" s="6" t="inlineStr">
        <is>
          <t>2025-01-01</t>
        </is>
      </c>
      <c r="B182" s="10" t="n">
        <v>2025</v>
      </c>
      <c r="C182" s="8" t="n">
        <v>1</v>
      </c>
      <c r="D182" s="8" t="n">
        <v>107.391159740164</v>
      </c>
    </row>
    <row r="183" ht="19" customHeight="1">
      <c r="A183" s="6" t="inlineStr">
        <is>
          <t>2025-02-01</t>
        </is>
      </c>
      <c r="B183" s="10" t="n">
        <v>2025</v>
      </c>
      <c r="C183" s="8" t="n">
        <v>2</v>
      </c>
      <c r="D183" s="8" t="n">
        <v>109.09864818743</v>
      </c>
    </row>
    <row r="184" ht="19" customHeight="1">
      <c r="A184" s="6" t="inlineStr">
        <is>
          <t>2025-03-01</t>
        </is>
      </c>
      <c r="B184" s="10" t="n">
        <v>2025</v>
      </c>
      <c r="C184" s="8" t="n">
        <v>3</v>
      </c>
      <c r="D184" s="8" t="n">
        <v>109.644681224123</v>
      </c>
    </row>
    <row r="185" ht="19" customHeight="1">
      <c r="A185" s="6" t="inlineStr">
        <is>
          <t>2025-04-01</t>
        </is>
      </c>
      <c r="B185" s="10" t="n">
        <v>2025</v>
      </c>
      <c r="C185" s="8" t="n">
        <v>4</v>
      </c>
      <c r="D185" s="8" t="n">
        <v>110.445981551578</v>
      </c>
    </row>
    <row r="186" ht="19" customHeight="1">
      <c r="A186" s="6" t="inlineStr">
        <is>
          <t>2025-05-01</t>
        </is>
      </c>
      <c r="B186" s="10" t="n">
        <v>2025</v>
      </c>
      <c r="C186" s="8" t="n">
        <v>5</v>
      </c>
      <c r="D186" s="8" t="n">
        <v>109.512152611135</v>
      </c>
    </row>
    <row r="187" ht="19" customHeight="1">
      <c r="A187" s="6" t="inlineStr">
        <is>
          <t>2025-06-01</t>
        </is>
      </c>
      <c r="B187" s="10" t="n">
        <v>2025</v>
      </c>
      <c r="C187" s="8" t="n">
        <v>6</v>
      </c>
      <c r="D187" s="8" t="n">
        <v>110.378778101256</v>
      </c>
    </row>
    <row r="188" ht="19" customHeight="1">
      <c r="A188" s="6" t="inlineStr">
        <is>
          <t>2025-07-01</t>
        </is>
      </c>
      <c r="B188" s="10" t="n">
        <v>2025</v>
      </c>
      <c r="C188" s="8" t="n">
        <v>7</v>
      </c>
      <c r="D188" s="8" t="n">
        <v>111.83172044922</v>
      </c>
    </row>
    <row r="189" ht="19" customHeight="1">
      <c r="A189" s="6" t="inlineStr">
        <is>
          <t>2025-08-01</t>
        </is>
      </c>
      <c r="B189" s="10" t="n">
        <v>2025</v>
      </c>
      <c r="C189" s="8" t="n">
        <v>8</v>
      </c>
      <c r="D189" s="8" t="n">
        <v>112.043492639738</v>
      </c>
    </row>
    <row r="190" ht="19" customHeight="1">
      <c r="A190" s="6" t="inlineStr">
        <is>
          <t>2025-09-01</t>
        </is>
      </c>
      <c r="B190" s="10" t="n">
        <v>2025</v>
      </c>
      <c r="C190" s="8" t="n">
        <v>9</v>
      </c>
      <c r="D190" s="8" t="n">
        <v>110.794148350868</v>
      </c>
    </row>
    <row r="191" ht="19" customHeight="1">
      <c r="A191" s="6" t="inlineStr">
        <is>
          <t>2025-10-01</t>
        </is>
      </c>
      <c r="B191" s="10" t="n">
        <v>2025</v>
      </c>
      <c r="C191" s="8" t="n">
        <v>10</v>
      </c>
      <c r="D191" s="8" t="n">
        <v>108.944837244059</v>
      </c>
    </row>
    <row r="192" ht="19" customHeight="1">
      <c r="A192" s="6" t="inlineStr">
        <is>
          <t>2025-11-01</t>
        </is>
      </c>
      <c r="B192" s="10" t="n">
        <v>2025</v>
      </c>
      <c r="C192" s="8" t="n">
        <v>11</v>
      </c>
      <c r="D192" s="8" t="n">
        <v>107.909747505375</v>
      </c>
    </row>
    <row r="193" ht="19" customHeight="1">
      <c r="A193" s="6" t="inlineStr">
        <is>
          <t>2025-12-01</t>
        </is>
      </c>
      <c r="B193" s="10" t="n">
        <v>2025</v>
      </c>
      <c r="C193" s="8" t="n">
        <v>12</v>
      </c>
      <c r="D193" s="8" t="n">
        <v>107.292481094957</v>
      </c>
    </row>
  </sheetData>
  <autoFilter ref="A1:D19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</cols>
  <sheetData>
    <row r="1" ht="26" customHeight="1">
      <c r="A1" s="5" t="inlineStr">
        <is>
          <t>date</t>
        </is>
      </c>
      <c r="B1" s="5" t="inlineStr">
        <is>
          <t>year</t>
        </is>
      </c>
      <c r="C1" s="5" t="inlineStr">
        <is>
          <t>month</t>
        </is>
      </c>
      <c r="D1" s="5" t="inlineStr">
        <is>
          <t>ffr</t>
        </is>
      </c>
    </row>
    <row r="2" ht="19" customHeight="1">
      <c r="A2" s="6" t="inlineStr">
        <is>
          <t>2010-01-01</t>
        </is>
      </c>
      <c r="B2" s="10" t="n">
        <v>2010</v>
      </c>
      <c r="C2" s="8" t="n">
        <v>1</v>
      </c>
      <c r="D2" s="8" t="n">
        <v>0.11</v>
      </c>
    </row>
    <row r="3" ht="19" customHeight="1">
      <c r="A3" s="6" t="inlineStr">
        <is>
          <t>2010-02-01</t>
        </is>
      </c>
      <c r="B3" s="10" t="n">
        <v>2010</v>
      </c>
      <c r="C3" s="8" t="n">
        <v>2</v>
      </c>
      <c r="D3" s="8" t="n">
        <v>0.13</v>
      </c>
    </row>
    <row r="4" ht="19" customHeight="1">
      <c r="A4" s="6" t="inlineStr">
        <is>
          <t>2010-03-01</t>
        </is>
      </c>
      <c r="B4" s="10" t="n">
        <v>2010</v>
      </c>
      <c r="C4" s="8" t="n">
        <v>3</v>
      </c>
      <c r="D4" s="8" t="n">
        <v>0.16</v>
      </c>
    </row>
    <row r="5" ht="19" customHeight="1">
      <c r="A5" s="6" t="inlineStr">
        <is>
          <t>2010-04-01</t>
        </is>
      </c>
      <c r="B5" s="10" t="n">
        <v>2010</v>
      </c>
      <c r="C5" s="8" t="n">
        <v>4</v>
      </c>
      <c r="D5" s="8" t="n">
        <v>0.2</v>
      </c>
    </row>
    <row r="6" ht="19" customHeight="1">
      <c r="A6" s="6" t="inlineStr">
        <is>
          <t>2010-05-01</t>
        </is>
      </c>
      <c r="B6" s="10" t="n">
        <v>2010</v>
      </c>
      <c r="C6" s="8" t="n">
        <v>5</v>
      </c>
      <c r="D6" s="8" t="n">
        <v>0.2</v>
      </c>
    </row>
    <row r="7" ht="19" customHeight="1">
      <c r="A7" s="6" t="inlineStr">
        <is>
          <t>2010-06-01</t>
        </is>
      </c>
      <c r="B7" s="10" t="n">
        <v>2010</v>
      </c>
      <c r="C7" s="8" t="n">
        <v>6</v>
      </c>
      <c r="D7" s="8" t="n">
        <v>0.18</v>
      </c>
    </row>
    <row r="8" ht="19" customHeight="1">
      <c r="A8" s="6" t="inlineStr">
        <is>
          <t>2010-07-01</t>
        </is>
      </c>
      <c r="B8" s="10" t="n">
        <v>2010</v>
      </c>
      <c r="C8" s="8" t="n">
        <v>7</v>
      </c>
      <c r="D8" s="8" t="n">
        <v>0.18</v>
      </c>
    </row>
    <row r="9" ht="19" customHeight="1">
      <c r="A9" s="6" t="inlineStr">
        <is>
          <t>2010-08-01</t>
        </is>
      </c>
      <c r="B9" s="10" t="n">
        <v>2010</v>
      </c>
      <c r="C9" s="8" t="n">
        <v>8</v>
      </c>
      <c r="D9" s="8" t="n">
        <v>0.19</v>
      </c>
    </row>
    <row r="10" ht="19" customHeight="1">
      <c r="A10" s="6" t="inlineStr">
        <is>
          <t>2010-09-01</t>
        </is>
      </c>
      <c r="B10" s="10" t="n">
        <v>2010</v>
      </c>
      <c r="C10" s="8" t="n">
        <v>9</v>
      </c>
      <c r="D10" s="8" t="n">
        <v>0.19</v>
      </c>
    </row>
    <row r="11" ht="19" customHeight="1">
      <c r="A11" s="6" t="inlineStr">
        <is>
          <t>2010-10-01</t>
        </is>
      </c>
      <c r="B11" s="10" t="n">
        <v>2010</v>
      </c>
      <c r="C11" s="8" t="n">
        <v>10</v>
      </c>
      <c r="D11" s="8" t="n">
        <v>0.19</v>
      </c>
    </row>
    <row r="12" ht="19" customHeight="1">
      <c r="A12" s="6" t="inlineStr">
        <is>
          <t>2010-11-01</t>
        </is>
      </c>
      <c r="B12" s="10" t="n">
        <v>2010</v>
      </c>
      <c r="C12" s="8" t="n">
        <v>11</v>
      </c>
      <c r="D12" s="8" t="n">
        <v>0.19</v>
      </c>
    </row>
    <row r="13" ht="19" customHeight="1">
      <c r="A13" s="6" t="inlineStr">
        <is>
          <t>2010-12-01</t>
        </is>
      </c>
      <c r="B13" s="10" t="n">
        <v>2010</v>
      </c>
      <c r="C13" s="8" t="n">
        <v>12</v>
      </c>
      <c r="D13" s="8" t="n">
        <v>0.18</v>
      </c>
    </row>
    <row r="14" ht="19" customHeight="1">
      <c r="A14" s="6" t="inlineStr">
        <is>
          <t>2011-01-01</t>
        </is>
      </c>
      <c r="B14" s="10" t="n">
        <v>2011</v>
      </c>
      <c r="C14" s="8" t="n">
        <v>1</v>
      </c>
      <c r="D14" s="8" t="n">
        <v>0.17</v>
      </c>
    </row>
    <row r="15" ht="19" customHeight="1">
      <c r="A15" s="6" t="inlineStr">
        <is>
          <t>2011-02-01</t>
        </is>
      </c>
      <c r="B15" s="10" t="n">
        <v>2011</v>
      </c>
      <c r="C15" s="8" t="n">
        <v>2</v>
      </c>
      <c r="D15" s="8" t="n">
        <v>0.16</v>
      </c>
    </row>
    <row r="16" ht="19" customHeight="1">
      <c r="A16" s="6" t="inlineStr">
        <is>
          <t>2011-03-01</t>
        </is>
      </c>
      <c r="B16" s="10" t="n">
        <v>2011</v>
      </c>
      <c r="C16" s="8" t="n">
        <v>3</v>
      </c>
      <c r="D16" s="8" t="n">
        <v>0.14</v>
      </c>
    </row>
    <row r="17" ht="19" customHeight="1">
      <c r="A17" s="6" t="inlineStr">
        <is>
          <t>2011-04-01</t>
        </is>
      </c>
      <c r="B17" s="10" t="n">
        <v>2011</v>
      </c>
      <c r="C17" s="8" t="n">
        <v>4</v>
      </c>
      <c r="D17" s="8" t="n">
        <v>0.1</v>
      </c>
    </row>
    <row r="18" ht="19" customHeight="1">
      <c r="A18" s="6" t="inlineStr">
        <is>
          <t>2011-05-01</t>
        </is>
      </c>
      <c r="B18" s="10" t="n">
        <v>2011</v>
      </c>
      <c r="C18" s="8" t="n">
        <v>5</v>
      </c>
      <c r="D18" s="8" t="n">
        <v>0.09</v>
      </c>
    </row>
    <row r="19" ht="19" customHeight="1">
      <c r="A19" s="6" t="inlineStr">
        <is>
          <t>2011-06-01</t>
        </is>
      </c>
      <c r="B19" s="10" t="n">
        <v>2011</v>
      </c>
      <c r="C19" s="8" t="n">
        <v>6</v>
      </c>
      <c r="D19" s="8" t="n">
        <v>0.09</v>
      </c>
    </row>
    <row r="20" ht="19" customHeight="1">
      <c r="A20" s="6" t="inlineStr">
        <is>
          <t>2011-07-01</t>
        </is>
      </c>
      <c r="B20" s="10" t="n">
        <v>2011</v>
      </c>
      <c r="C20" s="8" t="n">
        <v>7</v>
      </c>
      <c r="D20" s="8" t="n">
        <v>0.07000000000000001</v>
      </c>
    </row>
    <row r="21" ht="19" customHeight="1">
      <c r="A21" s="6" t="inlineStr">
        <is>
          <t>2011-08-01</t>
        </is>
      </c>
      <c r="B21" s="10" t="n">
        <v>2011</v>
      </c>
      <c r="C21" s="8" t="n">
        <v>8</v>
      </c>
      <c r="D21" s="8" t="n">
        <v>0.1</v>
      </c>
    </row>
    <row r="22" ht="19" customHeight="1">
      <c r="A22" s="6" t="inlineStr">
        <is>
          <t>2011-09-01</t>
        </is>
      </c>
      <c r="B22" s="10" t="n">
        <v>2011</v>
      </c>
      <c r="C22" s="8" t="n">
        <v>9</v>
      </c>
      <c r="D22" s="8" t="n">
        <v>0.08</v>
      </c>
    </row>
    <row r="23" ht="19" customHeight="1">
      <c r="A23" s="6" t="inlineStr">
        <is>
          <t>2011-10-01</t>
        </is>
      </c>
      <c r="B23" s="10" t="n">
        <v>2011</v>
      </c>
      <c r="C23" s="8" t="n">
        <v>10</v>
      </c>
      <c r="D23" s="8" t="n">
        <v>0.07000000000000001</v>
      </c>
    </row>
    <row r="24" ht="19" customHeight="1">
      <c r="A24" s="6" t="inlineStr">
        <is>
          <t>2011-11-01</t>
        </is>
      </c>
      <c r="B24" s="10" t="n">
        <v>2011</v>
      </c>
      <c r="C24" s="8" t="n">
        <v>11</v>
      </c>
      <c r="D24" s="8" t="n">
        <v>0.08</v>
      </c>
    </row>
    <row r="25" ht="19" customHeight="1">
      <c r="A25" s="6" t="inlineStr">
        <is>
          <t>2011-12-01</t>
        </is>
      </c>
      <c r="B25" s="10" t="n">
        <v>2011</v>
      </c>
      <c r="C25" s="8" t="n">
        <v>12</v>
      </c>
      <c r="D25" s="8" t="n">
        <v>0.07000000000000001</v>
      </c>
    </row>
    <row r="26" ht="19" customHeight="1">
      <c r="A26" s="6" t="inlineStr">
        <is>
          <t>2012-01-01</t>
        </is>
      </c>
      <c r="B26" s="10" t="n">
        <v>2012</v>
      </c>
      <c r="C26" s="8" t="n">
        <v>1</v>
      </c>
      <c r="D26" s="8" t="n">
        <v>0.08</v>
      </c>
    </row>
    <row r="27" ht="19" customHeight="1">
      <c r="A27" s="6" t="inlineStr">
        <is>
          <t>2012-02-01</t>
        </is>
      </c>
      <c r="B27" s="10" t="n">
        <v>2012</v>
      </c>
      <c r="C27" s="8" t="n">
        <v>2</v>
      </c>
      <c r="D27" s="8" t="n">
        <v>0.1</v>
      </c>
    </row>
    <row r="28" ht="19" customHeight="1">
      <c r="A28" s="6" t="inlineStr">
        <is>
          <t>2012-03-01</t>
        </is>
      </c>
      <c r="B28" s="10" t="n">
        <v>2012</v>
      </c>
      <c r="C28" s="8" t="n">
        <v>3</v>
      </c>
      <c r="D28" s="8" t="n">
        <v>0.13</v>
      </c>
    </row>
    <row r="29" ht="19" customHeight="1">
      <c r="A29" s="6" t="inlineStr">
        <is>
          <t>2012-04-01</t>
        </is>
      </c>
      <c r="B29" s="10" t="n">
        <v>2012</v>
      </c>
      <c r="C29" s="8" t="n">
        <v>4</v>
      </c>
      <c r="D29" s="8" t="n">
        <v>0.14</v>
      </c>
    </row>
    <row r="30" ht="19" customHeight="1">
      <c r="A30" s="6" t="inlineStr">
        <is>
          <t>2012-05-01</t>
        </is>
      </c>
      <c r="B30" s="10" t="n">
        <v>2012</v>
      </c>
      <c r="C30" s="8" t="n">
        <v>5</v>
      </c>
      <c r="D30" s="8" t="n">
        <v>0.16</v>
      </c>
    </row>
    <row r="31" ht="19" customHeight="1">
      <c r="A31" s="6" t="inlineStr">
        <is>
          <t>2012-06-01</t>
        </is>
      </c>
      <c r="B31" s="10" t="n">
        <v>2012</v>
      </c>
      <c r="C31" s="8" t="n">
        <v>6</v>
      </c>
      <c r="D31" s="8" t="n">
        <v>0.16</v>
      </c>
    </row>
    <row r="32" ht="19" customHeight="1">
      <c r="A32" s="6" t="inlineStr">
        <is>
          <t>2012-07-01</t>
        </is>
      </c>
      <c r="B32" s="10" t="n">
        <v>2012</v>
      </c>
      <c r="C32" s="8" t="n">
        <v>7</v>
      </c>
      <c r="D32" s="8" t="n">
        <v>0.16</v>
      </c>
    </row>
    <row r="33" ht="19" customHeight="1">
      <c r="A33" s="6" t="inlineStr">
        <is>
          <t>2012-08-01</t>
        </is>
      </c>
      <c r="B33" s="10" t="n">
        <v>2012</v>
      </c>
      <c r="C33" s="8" t="n">
        <v>8</v>
      </c>
      <c r="D33" s="8" t="n">
        <v>0.13</v>
      </c>
    </row>
    <row r="34" ht="19" customHeight="1">
      <c r="A34" s="6" t="inlineStr">
        <is>
          <t>2012-09-01</t>
        </is>
      </c>
      <c r="B34" s="10" t="n">
        <v>2012</v>
      </c>
      <c r="C34" s="8" t="n">
        <v>9</v>
      </c>
      <c r="D34" s="8" t="n">
        <v>0.14</v>
      </c>
    </row>
    <row r="35" ht="19" customHeight="1">
      <c r="A35" s="6" t="inlineStr">
        <is>
          <t>2012-10-01</t>
        </is>
      </c>
      <c r="B35" s="10" t="n">
        <v>2012</v>
      </c>
      <c r="C35" s="8" t="n">
        <v>10</v>
      </c>
      <c r="D35" s="8" t="n">
        <v>0.16</v>
      </c>
    </row>
    <row r="36" ht="19" customHeight="1">
      <c r="A36" s="6" t="inlineStr">
        <is>
          <t>2012-11-01</t>
        </is>
      </c>
      <c r="B36" s="10" t="n">
        <v>2012</v>
      </c>
      <c r="C36" s="8" t="n">
        <v>11</v>
      </c>
      <c r="D36" s="8" t="n">
        <v>0.16</v>
      </c>
    </row>
    <row r="37" ht="19" customHeight="1">
      <c r="A37" s="6" t="inlineStr">
        <is>
          <t>2012-12-01</t>
        </is>
      </c>
      <c r="B37" s="10" t="n">
        <v>2012</v>
      </c>
      <c r="C37" s="8" t="n">
        <v>12</v>
      </c>
      <c r="D37" s="8" t="n">
        <v>0.16</v>
      </c>
    </row>
    <row r="38" ht="19" customHeight="1">
      <c r="A38" s="6" t="inlineStr">
        <is>
          <t>2013-01-01</t>
        </is>
      </c>
      <c r="B38" s="10" t="n">
        <v>2013</v>
      </c>
      <c r="C38" s="8" t="n">
        <v>1</v>
      </c>
      <c r="D38" s="8" t="n">
        <v>0.14</v>
      </c>
    </row>
    <row r="39" ht="19" customHeight="1">
      <c r="A39" s="6" t="inlineStr">
        <is>
          <t>2013-02-01</t>
        </is>
      </c>
      <c r="B39" s="10" t="n">
        <v>2013</v>
      </c>
      <c r="C39" s="8" t="n">
        <v>2</v>
      </c>
      <c r="D39" s="8" t="n">
        <v>0.15</v>
      </c>
    </row>
    <row r="40" ht="19" customHeight="1">
      <c r="A40" s="6" t="inlineStr">
        <is>
          <t>2013-03-01</t>
        </is>
      </c>
      <c r="B40" s="10" t="n">
        <v>2013</v>
      </c>
      <c r="C40" s="8" t="n">
        <v>3</v>
      </c>
      <c r="D40" s="8" t="n">
        <v>0.14</v>
      </c>
    </row>
    <row r="41" ht="19" customHeight="1">
      <c r="A41" s="6" t="inlineStr">
        <is>
          <t>2013-04-01</t>
        </is>
      </c>
      <c r="B41" s="10" t="n">
        <v>2013</v>
      </c>
      <c r="C41" s="8" t="n">
        <v>4</v>
      </c>
      <c r="D41" s="8" t="n">
        <v>0.15</v>
      </c>
    </row>
    <row r="42" ht="19" customHeight="1">
      <c r="A42" s="6" t="inlineStr">
        <is>
          <t>2013-05-01</t>
        </is>
      </c>
      <c r="B42" s="10" t="n">
        <v>2013</v>
      </c>
      <c r="C42" s="8" t="n">
        <v>5</v>
      </c>
      <c r="D42" s="8" t="n">
        <v>0.11</v>
      </c>
    </row>
    <row r="43" ht="19" customHeight="1">
      <c r="A43" s="6" t="inlineStr">
        <is>
          <t>2013-06-01</t>
        </is>
      </c>
      <c r="B43" s="10" t="n">
        <v>2013</v>
      </c>
      <c r="C43" s="8" t="n">
        <v>6</v>
      </c>
      <c r="D43" s="8" t="n">
        <v>0.09</v>
      </c>
    </row>
    <row r="44" ht="19" customHeight="1">
      <c r="A44" s="6" t="inlineStr">
        <is>
          <t>2013-07-01</t>
        </is>
      </c>
      <c r="B44" s="10" t="n">
        <v>2013</v>
      </c>
      <c r="C44" s="8" t="n">
        <v>7</v>
      </c>
      <c r="D44" s="8" t="n">
        <v>0.09</v>
      </c>
    </row>
    <row r="45" ht="19" customHeight="1">
      <c r="A45" s="6" t="inlineStr">
        <is>
          <t>2013-08-01</t>
        </is>
      </c>
      <c r="B45" s="10" t="n">
        <v>2013</v>
      </c>
      <c r="C45" s="8" t="n">
        <v>8</v>
      </c>
      <c r="D45" s="8" t="n">
        <v>0.08</v>
      </c>
    </row>
    <row r="46" ht="19" customHeight="1">
      <c r="A46" s="6" t="inlineStr">
        <is>
          <t>2013-09-01</t>
        </is>
      </c>
      <c r="B46" s="10" t="n">
        <v>2013</v>
      </c>
      <c r="C46" s="8" t="n">
        <v>9</v>
      </c>
      <c r="D46" s="8" t="n">
        <v>0.08</v>
      </c>
    </row>
    <row r="47" ht="19" customHeight="1">
      <c r="A47" s="6" t="inlineStr">
        <is>
          <t>2013-10-01</t>
        </is>
      </c>
      <c r="B47" s="10" t="n">
        <v>2013</v>
      </c>
      <c r="C47" s="8" t="n">
        <v>10</v>
      </c>
      <c r="D47" s="8" t="n">
        <v>0.09</v>
      </c>
    </row>
    <row r="48" ht="19" customHeight="1">
      <c r="A48" s="6" t="inlineStr">
        <is>
          <t>2013-11-01</t>
        </is>
      </c>
      <c r="B48" s="10" t="n">
        <v>2013</v>
      </c>
      <c r="C48" s="8" t="n">
        <v>11</v>
      </c>
      <c r="D48" s="8" t="n">
        <v>0.08</v>
      </c>
    </row>
    <row r="49" ht="19" customHeight="1">
      <c r="A49" s="6" t="inlineStr">
        <is>
          <t>2013-12-01</t>
        </is>
      </c>
      <c r="B49" s="10" t="n">
        <v>2013</v>
      </c>
      <c r="C49" s="8" t="n">
        <v>12</v>
      </c>
      <c r="D49" s="8" t="n">
        <v>0.09</v>
      </c>
    </row>
    <row r="50" ht="19" customHeight="1">
      <c r="A50" s="6" t="inlineStr">
        <is>
          <t>2014-01-01</t>
        </is>
      </c>
      <c r="B50" s="10" t="n">
        <v>2014</v>
      </c>
      <c r="C50" s="8" t="n">
        <v>1</v>
      </c>
      <c r="D50" s="8" t="n">
        <v>0.07000000000000001</v>
      </c>
    </row>
    <row r="51" ht="19" customHeight="1">
      <c r="A51" s="6" t="inlineStr">
        <is>
          <t>2014-02-01</t>
        </is>
      </c>
      <c r="B51" s="10" t="n">
        <v>2014</v>
      </c>
      <c r="C51" s="8" t="n">
        <v>2</v>
      </c>
      <c r="D51" s="8" t="n">
        <v>0.07000000000000001</v>
      </c>
    </row>
    <row r="52" ht="19" customHeight="1">
      <c r="A52" s="6" t="inlineStr">
        <is>
          <t>2014-03-01</t>
        </is>
      </c>
      <c r="B52" s="10" t="n">
        <v>2014</v>
      </c>
      <c r="C52" s="8" t="n">
        <v>3</v>
      </c>
      <c r="D52" s="8" t="n">
        <v>0.08</v>
      </c>
    </row>
    <row r="53" ht="19" customHeight="1">
      <c r="A53" s="6" t="inlineStr">
        <is>
          <t>2014-04-01</t>
        </is>
      </c>
      <c r="B53" s="10" t="n">
        <v>2014</v>
      </c>
      <c r="C53" s="8" t="n">
        <v>4</v>
      </c>
      <c r="D53" s="8" t="n">
        <v>0.09</v>
      </c>
    </row>
    <row r="54" ht="19" customHeight="1">
      <c r="A54" s="6" t="inlineStr">
        <is>
          <t>2014-05-01</t>
        </is>
      </c>
      <c r="B54" s="10" t="n">
        <v>2014</v>
      </c>
      <c r="C54" s="8" t="n">
        <v>5</v>
      </c>
      <c r="D54" s="8" t="n">
        <v>0.09</v>
      </c>
    </row>
    <row r="55" ht="19" customHeight="1">
      <c r="A55" s="6" t="inlineStr">
        <is>
          <t>2014-06-01</t>
        </is>
      </c>
      <c r="B55" s="10" t="n">
        <v>2014</v>
      </c>
      <c r="C55" s="8" t="n">
        <v>6</v>
      </c>
      <c r="D55" s="8" t="n">
        <v>0.1</v>
      </c>
    </row>
    <row r="56" ht="19" customHeight="1">
      <c r="A56" s="6" t="inlineStr">
        <is>
          <t>2014-07-01</t>
        </is>
      </c>
      <c r="B56" s="10" t="n">
        <v>2014</v>
      </c>
      <c r="C56" s="8" t="n">
        <v>7</v>
      </c>
      <c r="D56" s="8" t="n">
        <v>0.09</v>
      </c>
    </row>
    <row r="57" ht="19" customHeight="1">
      <c r="A57" s="6" t="inlineStr">
        <is>
          <t>2014-08-01</t>
        </is>
      </c>
      <c r="B57" s="10" t="n">
        <v>2014</v>
      </c>
      <c r="C57" s="8" t="n">
        <v>8</v>
      </c>
      <c r="D57" s="8" t="n">
        <v>0.09</v>
      </c>
    </row>
    <row r="58" ht="19" customHeight="1">
      <c r="A58" s="6" t="inlineStr">
        <is>
          <t>2014-09-01</t>
        </is>
      </c>
      <c r="B58" s="10" t="n">
        <v>2014</v>
      </c>
      <c r="C58" s="8" t="n">
        <v>9</v>
      </c>
      <c r="D58" s="8" t="n">
        <v>0.09</v>
      </c>
    </row>
    <row r="59" ht="19" customHeight="1">
      <c r="A59" s="6" t="inlineStr">
        <is>
          <t>2014-10-01</t>
        </is>
      </c>
      <c r="B59" s="10" t="n">
        <v>2014</v>
      </c>
      <c r="C59" s="8" t="n">
        <v>10</v>
      </c>
      <c r="D59" s="8" t="n">
        <v>0.09</v>
      </c>
    </row>
    <row r="60" ht="19" customHeight="1">
      <c r="A60" s="6" t="inlineStr">
        <is>
          <t>2014-11-01</t>
        </is>
      </c>
      <c r="B60" s="10" t="n">
        <v>2014</v>
      </c>
      <c r="C60" s="8" t="n">
        <v>11</v>
      </c>
      <c r="D60" s="8" t="n">
        <v>0.09</v>
      </c>
    </row>
    <row r="61" ht="19" customHeight="1">
      <c r="A61" s="6" t="inlineStr">
        <is>
          <t>2014-12-01</t>
        </is>
      </c>
      <c r="B61" s="10" t="n">
        <v>2014</v>
      </c>
      <c r="C61" s="8" t="n">
        <v>12</v>
      </c>
      <c r="D61" s="8" t="n">
        <v>0.12</v>
      </c>
    </row>
    <row r="62" ht="19" customHeight="1">
      <c r="A62" s="6" t="inlineStr">
        <is>
          <t>2015-01-01</t>
        </is>
      </c>
      <c r="B62" s="10" t="n">
        <v>2015</v>
      </c>
      <c r="C62" s="8" t="n">
        <v>1</v>
      </c>
      <c r="D62" s="8" t="n">
        <v>0.11</v>
      </c>
    </row>
    <row r="63" ht="19" customHeight="1">
      <c r="A63" s="6" t="inlineStr">
        <is>
          <t>2015-02-01</t>
        </is>
      </c>
      <c r="B63" s="10" t="n">
        <v>2015</v>
      </c>
      <c r="C63" s="8" t="n">
        <v>2</v>
      </c>
      <c r="D63" s="8" t="n">
        <v>0.11</v>
      </c>
    </row>
    <row r="64" ht="19" customHeight="1">
      <c r="A64" s="6" t="inlineStr">
        <is>
          <t>2015-03-01</t>
        </is>
      </c>
      <c r="B64" s="10" t="n">
        <v>2015</v>
      </c>
      <c r="C64" s="8" t="n">
        <v>3</v>
      </c>
      <c r="D64" s="8" t="n">
        <v>0.11</v>
      </c>
    </row>
    <row r="65" ht="19" customHeight="1">
      <c r="A65" s="6" t="inlineStr">
        <is>
          <t>2015-04-01</t>
        </is>
      </c>
      <c r="B65" s="10" t="n">
        <v>2015</v>
      </c>
      <c r="C65" s="8" t="n">
        <v>4</v>
      </c>
      <c r="D65" s="8" t="n">
        <v>0.12</v>
      </c>
    </row>
    <row r="66" ht="19" customHeight="1">
      <c r="A66" s="6" t="inlineStr">
        <is>
          <t>2015-05-01</t>
        </is>
      </c>
      <c r="B66" s="10" t="n">
        <v>2015</v>
      </c>
      <c r="C66" s="8" t="n">
        <v>5</v>
      </c>
      <c r="D66" s="8" t="n">
        <v>0.12</v>
      </c>
    </row>
    <row r="67" ht="19" customHeight="1">
      <c r="A67" s="6" t="inlineStr">
        <is>
          <t>2015-06-01</t>
        </is>
      </c>
      <c r="B67" s="10" t="n">
        <v>2015</v>
      </c>
      <c r="C67" s="8" t="n">
        <v>6</v>
      </c>
      <c r="D67" s="8" t="n">
        <v>0.13</v>
      </c>
    </row>
    <row r="68" ht="19" customHeight="1">
      <c r="A68" s="6" t="inlineStr">
        <is>
          <t>2015-07-01</t>
        </is>
      </c>
      <c r="B68" s="10" t="n">
        <v>2015</v>
      </c>
      <c r="C68" s="8" t="n">
        <v>7</v>
      </c>
      <c r="D68" s="8" t="n">
        <v>0.13</v>
      </c>
    </row>
    <row r="69" ht="19" customHeight="1">
      <c r="A69" s="6" t="inlineStr">
        <is>
          <t>2015-08-01</t>
        </is>
      </c>
      <c r="B69" s="10" t="n">
        <v>2015</v>
      </c>
      <c r="C69" s="8" t="n">
        <v>8</v>
      </c>
      <c r="D69" s="8" t="n">
        <v>0.14</v>
      </c>
    </row>
    <row r="70" ht="19" customHeight="1">
      <c r="A70" s="6" t="inlineStr">
        <is>
          <t>2015-09-01</t>
        </is>
      </c>
      <c r="B70" s="10" t="n">
        <v>2015</v>
      </c>
      <c r="C70" s="8" t="n">
        <v>9</v>
      </c>
      <c r="D70" s="8" t="n">
        <v>0.14</v>
      </c>
    </row>
    <row r="71" ht="19" customHeight="1">
      <c r="A71" s="6" t="inlineStr">
        <is>
          <t>2015-10-01</t>
        </is>
      </c>
      <c r="B71" s="10" t="n">
        <v>2015</v>
      </c>
      <c r="C71" s="8" t="n">
        <v>10</v>
      </c>
      <c r="D71" s="8" t="n">
        <v>0.12</v>
      </c>
    </row>
    <row r="72" ht="19" customHeight="1">
      <c r="A72" s="6" t="inlineStr">
        <is>
          <t>2015-11-01</t>
        </is>
      </c>
      <c r="B72" s="10" t="n">
        <v>2015</v>
      </c>
      <c r="C72" s="8" t="n">
        <v>11</v>
      </c>
      <c r="D72" s="8" t="n">
        <v>0.12</v>
      </c>
    </row>
    <row r="73" ht="19" customHeight="1">
      <c r="A73" s="6" t="inlineStr">
        <is>
          <t>2015-12-01</t>
        </is>
      </c>
      <c r="B73" s="10" t="n">
        <v>2015</v>
      </c>
      <c r="C73" s="8" t="n">
        <v>12</v>
      </c>
      <c r="D73" s="8" t="n">
        <v>0.24</v>
      </c>
    </row>
    <row r="74" ht="19" customHeight="1">
      <c r="A74" s="6" t="inlineStr">
        <is>
          <t>2016-01-01</t>
        </is>
      </c>
      <c r="B74" s="10" t="n">
        <v>2016</v>
      </c>
      <c r="C74" s="8" t="n">
        <v>1</v>
      </c>
      <c r="D74" s="8" t="n">
        <v>0.34</v>
      </c>
    </row>
    <row r="75" ht="19" customHeight="1">
      <c r="A75" s="6" t="inlineStr">
        <is>
          <t>2016-02-01</t>
        </is>
      </c>
      <c r="B75" s="10" t="n">
        <v>2016</v>
      </c>
      <c r="C75" s="8" t="n">
        <v>2</v>
      </c>
      <c r="D75" s="8" t="n">
        <v>0.38</v>
      </c>
    </row>
    <row r="76" ht="19" customHeight="1">
      <c r="A76" s="6" t="inlineStr">
        <is>
          <t>2016-03-01</t>
        </is>
      </c>
      <c r="B76" s="10" t="n">
        <v>2016</v>
      </c>
      <c r="C76" s="8" t="n">
        <v>3</v>
      </c>
      <c r="D76" s="8" t="n">
        <v>0.36</v>
      </c>
    </row>
    <row r="77" ht="19" customHeight="1">
      <c r="A77" s="6" t="inlineStr">
        <is>
          <t>2016-04-01</t>
        </is>
      </c>
      <c r="B77" s="10" t="n">
        <v>2016</v>
      </c>
      <c r="C77" s="8" t="n">
        <v>4</v>
      </c>
      <c r="D77" s="8" t="n">
        <v>0.37</v>
      </c>
    </row>
    <row r="78" ht="19" customHeight="1">
      <c r="A78" s="6" t="inlineStr">
        <is>
          <t>2016-05-01</t>
        </is>
      </c>
      <c r="B78" s="10" t="n">
        <v>2016</v>
      </c>
      <c r="C78" s="8" t="n">
        <v>5</v>
      </c>
      <c r="D78" s="8" t="n">
        <v>0.37</v>
      </c>
    </row>
    <row r="79" ht="19" customHeight="1">
      <c r="A79" s="6" t="inlineStr">
        <is>
          <t>2016-06-01</t>
        </is>
      </c>
      <c r="B79" s="10" t="n">
        <v>2016</v>
      </c>
      <c r="C79" s="8" t="n">
        <v>6</v>
      </c>
      <c r="D79" s="8" t="n">
        <v>0.38</v>
      </c>
    </row>
    <row r="80" ht="19" customHeight="1">
      <c r="A80" s="6" t="inlineStr">
        <is>
          <t>2016-07-01</t>
        </is>
      </c>
      <c r="B80" s="10" t="n">
        <v>2016</v>
      </c>
      <c r="C80" s="8" t="n">
        <v>7</v>
      </c>
      <c r="D80" s="8" t="n">
        <v>0.39</v>
      </c>
    </row>
    <row r="81" ht="19" customHeight="1">
      <c r="A81" s="6" t="inlineStr">
        <is>
          <t>2016-08-01</t>
        </is>
      </c>
      <c r="B81" s="10" t="n">
        <v>2016</v>
      </c>
      <c r="C81" s="8" t="n">
        <v>8</v>
      </c>
      <c r="D81" s="8" t="n">
        <v>0.4</v>
      </c>
    </row>
    <row r="82" ht="19" customHeight="1">
      <c r="A82" s="6" t="inlineStr">
        <is>
          <t>2016-09-01</t>
        </is>
      </c>
      <c r="B82" s="10" t="n">
        <v>2016</v>
      </c>
      <c r="C82" s="8" t="n">
        <v>9</v>
      </c>
      <c r="D82" s="8" t="n">
        <v>0.4</v>
      </c>
    </row>
    <row r="83" ht="19" customHeight="1">
      <c r="A83" s="6" t="inlineStr">
        <is>
          <t>2016-10-01</t>
        </is>
      </c>
      <c r="B83" s="10" t="n">
        <v>2016</v>
      </c>
      <c r="C83" s="8" t="n">
        <v>10</v>
      </c>
      <c r="D83" s="8" t="n">
        <v>0.4</v>
      </c>
    </row>
    <row r="84" ht="19" customHeight="1">
      <c r="A84" s="6" t="inlineStr">
        <is>
          <t>2016-11-01</t>
        </is>
      </c>
      <c r="B84" s="10" t="n">
        <v>2016</v>
      </c>
      <c r="C84" s="8" t="n">
        <v>11</v>
      </c>
      <c r="D84" s="8" t="n">
        <v>0.41</v>
      </c>
    </row>
    <row r="85" ht="19" customHeight="1">
      <c r="A85" s="6" t="inlineStr">
        <is>
          <t>2016-12-01</t>
        </is>
      </c>
      <c r="B85" s="10" t="n">
        <v>2016</v>
      </c>
      <c r="C85" s="8" t="n">
        <v>12</v>
      </c>
      <c r="D85" s="8" t="n">
        <v>0.54</v>
      </c>
    </row>
    <row r="86" ht="19" customHeight="1">
      <c r="A86" s="6" t="inlineStr">
        <is>
          <t>2017-01-01</t>
        </is>
      </c>
      <c r="B86" s="10" t="n">
        <v>2017</v>
      </c>
      <c r="C86" s="8" t="n">
        <v>1</v>
      </c>
      <c r="D86" s="8" t="n">
        <v>0.65</v>
      </c>
    </row>
    <row r="87" ht="19" customHeight="1">
      <c r="A87" s="6" t="inlineStr">
        <is>
          <t>2017-02-01</t>
        </is>
      </c>
      <c r="B87" s="10" t="n">
        <v>2017</v>
      </c>
      <c r="C87" s="8" t="n">
        <v>2</v>
      </c>
      <c r="D87" s="8" t="n">
        <v>0.66</v>
      </c>
    </row>
    <row r="88" ht="19" customHeight="1">
      <c r="A88" s="6" t="inlineStr">
        <is>
          <t>2017-03-01</t>
        </is>
      </c>
      <c r="B88" s="10" t="n">
        <v>2017</v>
      </c>
      <c r="C88" s="8" t="n">
        <v>3</v>
      </c>
      <c r="D88" s="8" t="n">
        <v>0.79</v>
      </c>
    </row>
    <row r="89" ht="19" customHeight="1">
      <c r="A89" s="6" t="inlineStr">
        <is>
          <t>2017-04-01</t>
        </is>
      </c>
      <c r="B89" s="10" t="n">
        <v>2017</v>
      </c>
      <c r="C89" s="8" t="n">
        <v>4</v>
      </c>
      <c r="D89" s="8" t="n">
        <v>0.9</v>
      </c>
    </row>
    <row r="90" ht="19" customHeight="1">
      <c r="A90" s="6" t="inlineStr">
        <is>
          <t>2017-05-01</t>
        </is>
      </c>
      <c r="B90" s="10" t="n">
        <v>2017</v>
      </c>
      <c r="C90" s="8" t="n">
        <v>5</v>
      </c>
      <c r="D90" s="8" t="n">
        <v>0.91</v>
      </c>
    </row>
    <row r="91" ht="19" customHeight="1">
      <c r="A91" s="6" t="inlineStr">
        <is>
          <t>2017-06-01</t>
        </is>
      </c>
      <c r="B91" s="10" t="n">
        <v>2017</v>
      </c>
      <c r="C91" s="8" t="n">
        <v>6</v>
      </c>
      <c r="D91" s="8" t="n">
        <v>1.04</v>
      </c>
    </row>
    <row r="92" ht="19" customHeight="1">
      <c r="A92" s="6" t="inlineStr">
        <is>
          <t>2017-07-01</t>
        </is>
      </c>
      <c r="B92" s="10" t="n">
        <v>2017</v>
      </c>
      <c r="C92" s="8" t="n">
        <v>7</v>
      </c>
      <c r="D92" s="8" t="n">
        <v>1.15</v>
      </c>
    </row>
    <row r="93" ht="19" customHeight="1">
      <c r="A93" s="6" t="inlineStr">
        <is>
          <t>2017-08-01</t>
        </is>
      </c>
      <c r="B93" s="10" t="n">
        <v>2017</v>
      </c>
      <c r="C93" s="8" t="n">
        <v>8</v>
      </c>
      <c r="D93" s="8" t="n">
        <v>1.16</v>
      </c>
    </row>
    <row r="94" ht="19" customHeight="1">
      <c r="A94" s="6" t="inlineStr">
        <is>
          <t>2017-09-01</t>
        </is>
      </c>
      <c r="B94" s="10" t="n">
        <v>2017</v>
      </c>
      <c r="C94" s="8" t="n">
        <v>9</v>
      </c>
      <c r="D94" s="8" t="n">
        <v>1.15</v>
      </c>
    </row>
    <row r="95" ht="19" customHeight="1">
      <c r="A95" s="6" t="inlineStr">
        <is>
          <t>2017-10-01</t>
        </is>
      </c>
      <c r="B95" s="10" t="n">
        <v>2017</v>
      </c>
      <c r="C95" s="8" t="n">
        <v>10</v>
      </c>
      <c r="D95" s="8" t="n">
        <v>1.15</v>
      </c>
    </row>
    <row r="96" ht="19" customHeight="1">
      <c r="A96" s="6" t="inlineStr">
        <is>
          <t>2017-11-01</t>
        </is>
      </c>
      <c r="B96" s="10" t="n">
        <v>2017</v>
      </c>
      <c r="C96" s="8" t="n">
        <v>11</v>
      </c>
      <c r="D96" s="8" t="n">
        <v>1.16</v>
      </c>
    </row>
    <row r="97" ht="19" customHeight="1">
      <c r="A97" s="6" t="inlineStr">
        <is>
          <t>2017-12-01</t>
        </is>
      </c>
      <c r="B97" s="10" t="n">
        <v>2017</v>
      </c>
      <c r="C97" s="8" t="n">
        <v>12</v>
      </c>
      <c r="D97" s="8" t="n">
        <v>1.3</v>
      </c>
    </row>
    <row r="98" ht="19" customHeight="1">
      <c r="A98" s="6" t="inlineStr">
        <is>
          <t>2018-01-01</t>
        </is>
      </c>
      <c r="B98" s="10" t="n">
        <v>2018</v>
      </c>
      <c r="C98" s="8" t="n">
        <v>1</v>
      </c>
      <c r="D98" s="8" t="n">
        <v>1.41</v>
      </c>
    </row>
    <row r="99" ht="19" customHeight="1">
      <c r="A99" s="6" t="inlineStr">
        <is>
          <t>2018-02-01</t>
        </is>
      </c>
      <c r="B99" s="10" t="n">
        <v>2018</v>
      </c>
      <c r="C99" s="8" t="n">
        <v>2</v>
      </c>
      <c r="D99" s="8" t="n">
        <v>1.42</v>
      </c>
    </row>
    <row r="100" ht="19" customHeight="1">
      <c r="A100" s="6" t="inlineStr">
        <is>
          <t>2018-03-01</t>
        </is>
      </c>
      <c r="B100" s="10" t="n">
        <v>2018</v>
      </c>
      <c r="C100" s="8" t="n">
        <v>3</v>
      </c>
      <c r="D100" s="8" t="n">
        <v>1.51</v>
      </c>
    </row>
    <row r="101" ht="19" customHeight="1">
      <c r="A101" s="6" t="inlineStr">
        <is>
          <t>2018-04-01</t>
        </is>
      </c>
      <c r="B101" s="10" t="n">
        <v>2018</v>
      </c>
      <c r="C101" s="8" t="n">
        <v>4</v>
      </c>
      <c r="D101" s="8" t="n">
        <v>1.69</v>
      </c>
    </row>
    <row r="102" ht="19" customHeight="1">
      <c r="A102" s="6" t="inlineStr">
        <is>
          <t>2018-05-01</t>
        </is>
      </c>
      <c r="B102" s="10" t="n">
        <v>2018</v>
      </c>
      <c r="C102" s="8" t="n">
        <v>5</v>
      </c>
      <c r="D102" s="8" t="n">
        <v>1.7</v>
      </c>
    </row>
    <row r="103" ht="19" customHeight="1">
      <c r="A103" s="6" t="inlineStr">
        <is>
          <t>2018-06-01</t>
        </is>
      </c>
      <c r="B103" s="10" t="n">
        <v>2018</v>
      </c>
      <c r="C103" s="8" t="n">
        <v>6</v>
      </c>
      <c r="D103" s="8" t="n">
        <v>1.82</v>
      </c>
    </row>
    <row r="104" ht="19" customHeight="1">
      <c r="A104" s="6" t="inlineStr">
        <is>
          <t>2018-07-01</t>
        </is>
      </c>
      <c r="B104" s="10" t="n">
        <v>2018</v>
      </c>
      <c r="C104" s="8" t="n">
        <v>7</v>
      </c>
      <c r="D104" s="8" t="n">
        <v>1.91</v>
      </c>
    </row>
    <row r="105" ht="19" customHeight="1">
      <c r="A105" s="6" t="inlineStr">
        <is>
          <t>2018-08-01</t>
        </is>
      </c>
      <c r="B105" s="10" t="n">
        <v>2018</v>
      </c>
      <c r="C105" s="8" t="n">
        <v>8</v>
      </c>
      <c r="D105" s="8" t="n">
        <v>1.91</v>
      </c>
    </row>
    <row r="106" ht="19" customHeight="1">
      <c r="A106" s="6" t="inlineStr">
        <is>
          <t>2018-09-01</t>
        </is>
      </c>
      <c r="B106" s="10" t="n">
        <v>2018</v>
      </c>
      <c r="C106" s="8" t="n">
        <v>9</v>
      </c>
      <c r="D106" s="8" t="n">
        <v>1.95</v>
      </c>
    </row>
    <row r="107" ht="19" customHeight="1">
      <c r="A107" s="6" t="inlineStr">
        <is>
          <t>2018-10-01</t>
        </is>
      </c>
      <c r="B107" s="10" t="n">
        <v>2018</v>
      </c>
      <c r="C107" s="8" t="n">
        <v>10</v>
      </c>
      <c r="D107" s="8" t="n">
        <v>2.19</v>
      </c>
    </row>
    <row r="108" ht="19" customHeight="1">
      <c r="A108" s="6" t="inlineStr">
        <is>
          <t>2018-11-01</t>
        </is>
      </c>
      <c r="B108" s="10" t="n">
        <v>2018</v>
      </c>
      <c r="C108" s="8" t="n">
        <v>11</v>
      </c>
      <c r="D108" s="8" t="n">
        <v>2.2</v>
      </c>
    </row>
    <row r="109" ht="19" customHeight="1">
      <c r="A109" s="6" t="inlineStr">
        <is>
          <t>2018-12-01</t>
        </is>
      </c>
      <c r="B109" s="10" t="n">
        <v>2018</v>
      </c>
      <c r="C109" s="8" t="n">
        <v>12</v>
      </c>
      <c r="D109" s="8" t="n">
        <v>2.27</v>
      </c>
    </row>
    <row r="110" ht="19" customHeight="1">
      <c r="A110" s="6" t="inlineStr">
        <is>
          <t>2019-01-01</t>
        </is>
      </c>
      <c r="B110" s="10" t="n">
        <v>2019</v>
      </c>
      <c r="C110" s="8" t="n">
        <v>1</v>
      </c>
      <c r="D110" s="8" t="n">
        <v>2.4</v>
      </c>
    </row>
    <row r="111" ht="19" customHeight="1">
      <c r="A111" s="6" t="inlineStr">
        <is>
          <t>2019-02-01</t>
        </is>
      </c>
      <c r="B111" s="10" t="n">
        <v>2019</v>
      </c>
      <c r="C111" s="8" t="n">
        <v>2</v>
      </c>
      <c r="D111" s="8" t="n">
        <v>2.4</v>
      </c>
    </row>
    <row r="112" ht="19" customHeight="1">
      <c r="A112" s="6" t="inlineStr">
        <is>
          <t>2019-03-01</t>
        </is>
      </c>
      <c r="B112" s="10" t="n">
        <v>2019</v>
      </c>
      <c r="C112" s="8" t="n">
        <v>3</v>
      </c>
      <c r="D112" s="8" t="n">
        <v>2.41</v>
      </c>
    </row>
    <row r="113" ht="19" customHeight="1">
      <c r="A113" s="6" t="inlineStr">
        <is>
          <t>2019-04-01</t>
        </is>
      </c>
      <c r="B113" s="10" t="n">
        <v>2019</v>
      </c>
      <c r="C113" s="8" t="n">
        <v>4</v>
      </c>
      <c r="D113" s="8" t="n">
        <v>2.42</v>
      </c>
    </row>
    <row r="114" ht="19" customHeight="1">
      <c r="A114" s="6" t="inlineStr">
        <is>
          <t>2019-05-01</t>
        </is>
      </c>
      <c r="B114" s="10" t="n">
        <v>2019</v>
      </c>
      <c r="C114" s="8" t="n">
        <v>5</v>
      </c>
      <c r="D114" s="8" t="n">
        <v>2.39</v>
      </c>
    </row>
    <row r="115" ht="19" customHeight="1">
      <c r="A115" s="6" t="inlineStr">
        <is>
          <t>2019-06-01</t>
        </is>
      </c>
      <c r="B115" s="10" t="n">
        <v>2019</v>
      </c>
      <c r="C115" s="8" t="n">
        <v>6</v>
      </c>
      <c r="D115" s="8" t="n">
        <v>2.38</v>
      </c>
    </row>
    <row r="116" ht="19" customHeight="1">
      <c r="A116" s="6" t="inlineStr">
        <is>
          <t>2019-07-01</t>
        </is>
      </c>
      <c r="B116" s="10" t="n">
        <v>2019</v>
      </c>
      <c r="C116" s="8" t="n">
        <v>7</v>
      </c>
      <c r="D116" s="8" t="n">
        <v>2.4</v>
      </c>
    </row>
    <row r="117" ht="19" customHeight="1">
      <c r="A117" s="6" t="inlineStr">
        <is>
          <t>2019-08-01</t>
        </is>
      </c>
      <c r="B117" s="10" t="n">
        <v>2019</v>
      </c>
      <c r="C117" s="8" t="n">
        <v>8</v>
      </c>
      <c r="D117" s="8" t="n">
        <v>2.13</v>
      </c>
    </row>
    <row r="118" ht="19" customHeight="1">
      <c r="A118" s="6" t="inlineStr">
        <is>
          <t>2019-09-01</t>
        </is>
      </c>
      <c r="B118" s="10" t="n">
        <v>2019</v>
      </c>
      <c r="C118" s="8" t="n">
        <v>9</v>
      </c>
      <c r="D118" s="8" t="n">
        <v>2.04</v>
      </c>
    </row>
    <row r="119" ht="19" customHeight="1">
      <c r="A119" s="6" t="inlineStr">
        <is>
          <t>2019-10-01</t>
        </is>
      </c>
      <c r="B119" s="10" t="n">
        <v>2019</v>
      </c>
      <c r="C119" s="8" t="n">
        <v>10</v>
      </c>
      <c r="D119" s="8" t="n">
        <v>1.83</v>
      </c>
    </row>
    <row r="120" ht="19" customHeight="1">
      <c r="A120" s="6" t="inlineStr">
        <is>
          <t>2019-11-01</t>
        </is>
      </c>
      <c r="B120" s="10" t="n">
        <v>2019</v>
      </c>
      <c r="C120" s="8" t="n">
        <v>11</v>
      </c>
      <c r="D120" s="8" t="n">
        <v>1.55</v>
      </c>
    </row>
    <row r="121" ht="19" customHeight="1">
      <c r="A121" s="6" t="inlineStr">
        <is>
          <t>2019-12-01</t>
        </is>
      </c>
      <c r="B121" s="10" t="n">
        <v>2019</v>
      </c>
      <c r="C121" s="8" t="n">
        <v>12</v>
      </c>
      <c r="D121" s="8" t="n">
        <v>1.55</v>
      </c>
    </row>
    <row r="122" ht="19" customHeight="1">
      <c r="A122" s="6" t="inlineStr">
        <is>
          <t>2020-01-01</t>
        </is>
      </c>
      <c r="B122" s="10" t="n">
        <v>2020</v>
      </c>
      <c r="C122" s="8" t="n">
        <v>1</v>
      </c>
      <c r="D122" s="8" t="n">
        <v>1.55</v>
      </c>
    </row>
    <row r="123" ht="19" customHeight="1">
      <c r="A123" s="6" t="inlineStr">
        <is>
          <t>2020-02-01</t>
        </is>
      </c>
      <c r="B123" s="10" t="n">
        <v>2020</v>
      </c>
      <c r="C123" s="8" t="n">
        <v>2</v>
      </c>
      <c r="D123" s="8" t="n">
        <v>1.58</v>
      </c>
    </row>
    <row r="124" ht="19" customHeight="1">
      <c r="A124" s="6" t="inlineStr">
        <is>
          <t>2020-03-01</t>
        </is>
      </c>
      <c r="B124" s="10" t="n">
        <v>2020</v>
      </c>
      <c r="C124" s="8" t="n">
        <v>3</v>
      </c>
      <c r="D124" s="8" t="n">
        <v>0.65</v>
      </c>
    </row>
    <row r="125" ht="19" customHeight="1">
      <c r="A125" s="6" t="inlineStr">
        <is>
          <t>2020-04-01</t>
        </is>
      </c>
      <c r="B125" s="10" t="n">
        <v>2020</v>
      </c>
      <c r="C125" s="8" t="n">
        <v>4</v>
      </c>
      <c r="D125" s="8" t="n">
        <v>0.05</v>
      </c>
    </row>
    <row r="126" ht="19" customHeight="1">
      <c r="A126" s="6" t="inlineStr">
        <is>
          <t>2020-05-01</t>
        </is>
      </c>
      <c r="B126" s="10" t="n">
        <v>2020</v>
      </c>
      <c r="C126" s="8" t="n">
        <v>5</v>
      </c>
      <c r="D126" s="8" t="n">
        <v>0.05</v>
      </c>
    </row>
    <row r="127" ht="19" customHeight="1">
      <c r="A127" s="6" t="inlineStr">
        <is>
          <t>2020-06-01</t>
        </is>
      </c>
      <c r="B127" s="10" t="n">
        <v>2020</v>
      </c>
      <c r="C127" s="8" t="n">
        <v>6</v>
      </c>
      <c r="D127" s="8" t="n">
        <v>0.08</v>
      </c>
    </row>
    <row r="128" ht="19" customHeight="1">
      <c r="A128" s="6" t="inlineStr">
        <is>
          <t>2020-07-01</t>
        </is>
      </c>
      <c r="B128" s="10" t="n">
        <v>2020</v>
      </c>
      <c r="C128" s="8" t="n">
        <v>7</v>
      </c>
      <c r="D128" s="8" t="n">
        <v>0.09</v>
      </c>
    </row>
    <row r="129" ht="19" customHeight="1">
      <c r="A129" s="6" t="inlineStr">
        <is>
          <t>2020-08-01</t>
        </is>
      </c>
      <c r="B129" s="10" t="n">
        <v>2020</v>
      </c>
      <c r="C129" s="8" t="n">
        <v>8</v>
      </c>
      <c r="D129" s="8" t="n">
        <v>0.1</v>
      </c>
    </row>
    <row r="130" ht="19" customHeight="1">
      <c r="A130" s="6" t="inlineStr">
        <is>
          <t>2020-09-01</t>
        </is>
      </c>
      <c r="B130" s="10" t="n">
        <v>2020</v>
      </c>
      <c r="C130" s="8" t="n">
        <v>9</v>
      </c>
      <c r="D130" s="8" t="n">
        <v>0.09</v>
      </c>
    </row>
    <row r="131" ht="19" customHeight="1">
      <c r="A131" s="6" t="inlineStr">
        <is>
          <t>2020-10-01</t>
        </is>
      </c>
      <c r="B131" s="10" t="n">
        <v>2020</v>
      </c>
      <c r="C131" s="8" t="n">
        <v>10</v>
      </c>
      <c r="D131" s="8" t="n">
        <v>0.09</v>
      </c>
    </row>
    <row r="132" ht="19" customHeight="1">
      <c r="A132" s="6" t="inlineStr">
        <is>
          <t>2020-11-01</t>
        </is>
      </c>
      <c r="B132" s="10" t="n">
        <v>2020</v>
      </c>
      <c r="C132" s="8" t="n">
        <v>11</v>
      </c>
      <c r="D132" s="8" t="n">
        <v>0.09</v>
      </c>
    </row>
    <row r="133" ht="19" customHeight="1">
      <c r="A133" s="6" t="inlineStr">
        <is>
          <t>2020-12-01</t>
        </is>
      </c>
      <c r="B133" s="10" t="n">
        <v>2020</v>
      </c>
      <c r="C133" s="8" t="n">
        <v>12</v>
      </c>
      <c r="D133" s="8" t="n">
        <v>0.09</v>
      </c>
    </row>
    <row r="134" ht="19" customHeight="1">
      <c r="A134" s="6" t="inlineStr">
        <is>
          <t>2021-01-01</t>
        </is>
      </c>
      <c r="B134" s="10" t="n">
        <v>2021</v>
      </c>
      <c r="C134" s="8" t="n">
        <v>1</v>
      </c>
      <c r="D134" s="8" t="n">
        <v>0.09</v>
      </c>
    </row>
    <row r="135" ht="19" customHeight="1">
      <c r="A135" s="6" t="inlineStr">
        <is>
          <t>2021-02-01</t>
        </is>
      </c>
      <c r="B135" s="10" t="n">
        <v>2021</v>
      </c>
      <c r="C135" s="8" t="n">
        <v>2</v>
      </c>
      <c r="D135" s="8" t="n">
        <v>0.08</v>
      </c>
    </row>
    <row r="136" ht="19" customHeight="1">
      <c r="A136" s="6" t="inlineStr">
        <is>
          <t>2021-03-01</t>
        </is>
      </c>
      <c r="B136" s="10" t="n">
        <v>2021</v>
      </c>
      <c r="C136" s="8" t="n">
        <v>3</v>
      </c>
      <c r="D136" s="8" t="n">
        <v>0.07000000000000001</v>
      </c>
    </row>
    <row r="137" ht="19" customHeight="1">
      <c r="A137" s="6" t="inlineStr">
        <is>
          <t>2021-04-01</t>
        </is>
      </c>
      <c r="B137" s="10" t="n">
        <v>2021</v>
      </c>
      <c r="C137" s="8" t="n">
        <v>4</v>
      </c>
      <c r="D137" s="8" t="n">
        <v>0.07000000000000001</v>
      </c>
    </row>
    <row r="138" ht="19" customHeight="1">
      <c r="A138" s="6" t="inlineStr">
        <is>
          <t>2021-05-01</t>
        </is>
      </c>
      <c r="B138" s="10" t="n">
        <v>2021</v>
      </c>
      <c r="C138" s="8" t="n">
        <v>5</v>
      </c>
      <c r="D138" s="8" t="n">
        <v>0.06</v>
      </c>
    </row>
    <row r="139" ht="19" customHeight="1">
      <c r="A139" s="6" t="inlineStr">
        <is>
          <t>2021-06-01</t>
        </is>
      </c>
      <c r="B139" s="10" t="n">
        <v>2021</v>
      </c>
      <c r="C139" s="8" t="n">
        <v>6</v>
      </c>
      <c r="D139" s="8" t="n">
        <v>0.08</v>
      </c>
    </row>
    <row r="140" ht="19" customHeight="1">
      <c r="A140" s="6" t="inlineStr">
        <is>
          <t>2021-07-01</t>
        </is>
      </c>
      <c r="B140" s="10" t="n">
        <v>2021</v>
      </c>
      <c r="C140" s="8" t="n">
        <v>7</v>
      </c>
      <c r="D140" s="8" t="n">
        <v>0.1</v>
      </c>
    </row>
    <row r="141" ht="19" customHeight="1">
      <c r="A141" s="6" t="inlineStr">
        <is>
          <t>2021-08-01</t>
        </is>
      </c>
      <c r="B141" s="10" t="n">
        <v>2021</v>
      </c>
      <c r="C141" s="8" t="n">
        <v>8</v>
      </c>
      <c r="D141" s="8" t="n">
        <v>0.09</v>
      </c>
    </row>
    <row r="142" ht="19" customHeight="1">
      <c r="A142" s="6" t="inlineStr">
        <is>
          <t>2021-09-01</t>
        </is>
      </c>
      <c r="B142" s="10" t="n">
        <v>2021</v>
      </c>
      <c r="C142" s="8" t="n">
        <v>9</v>
      </c>
      <c r="D142" s="8" t="n">
        <v>0.08</v>
      </c>
    </row>
    <row r="143" ht="19" customHeight="1">
      <c r="A143" s="6" t="inlineStr">
        <is>
          <t>2021-10-01</t>
        </is>
      </c>
      <c r="B143" s="10" t="n">
        <v>2021</v>
      </c>
      <c r="C143" s="8" t="n">
        <v>10</v>
      </c>
      <c r="D143" s="8" t="n">
        <v>0.08</v>
      </c>
    </row>
    <row r="144" ht="19" customHeight="1">
      <c r="A144" s="6" t="inlineStr">
        <is>
          <t>2021-11-01</t>
        </is>
      </c>
      <c r="B144" s="10" t="n">
        <v>2021</v>
      </c>
      <c r="C144" s="8" t="n">
        <v>11</v>
      </c>
      <c r="D144" s="8" t="n">
        <v>0.08</v>
      </c>
    </row>
    <row r="145" ht="19" customHeight="1">
      <c r="A145" s="6" t="inlineStr">
        <is>
          <t>2021-12-01</t>
        </is>
      </c>
      <c r="B145" s="10" t="n">
        <v>2021</v>
      </c>
      <c r="C145" s="8" t="n">
        <v>12</v>
      </c>
      <c r="D145" s="8" t="n">
        <v>0.08</v>
      </c>
    </row>
    <row r="146" ht="19" customHeight="1">
      <c r="A146" s="6" t="inlineStr">
        <is>
          <t>2022-01-01</t>
        </is>
      </c>
      <c r="B146" s="10" t="n">
        <v>2022</v>
      </c>
      <c r="C146" s="8" t="n">
        <v>1</v>
      </c>
      <c r="D146" s="8" t="n">
        <v>0.08</v>
      </c>
    </row>
    <row r="147" ht="19" customHeight="1">
      <c r="A147" s="6" t="inlineStr">
        <is>
          <t>2022-02-01</t>
        </is>
      </c>
      <c r="B147" s="10" t="n">
        <v>2022</v>
      </c>
      <c r="C147" s="8" t="n">
        <v>2</v>
      </c>
      <c r="D147" s="8" t="n">
        <v>0.08</v>
      </c>
    </row>
    <row r="148" ht="19" customHeight="1">
      <c r="A148" s="6" t="inlineStr">
        <is>
          <t>2022-03-01</t>
        </is>
      </c>
      <c r="B148" s="10" t="n">
        <v>2022</v>
      </c>
      <c r="C148" s="8" t="n">
        <v>3</v>
      </c>
      <c r="D148" s="8" t="n">
        <v>0.2</v>
      </c>
    </row>
    <row r="149" ht="19" customHeight="1">
      <c r="A149" s="6" t="inlineStr">
        <is>
          <t>2022-04-01</t>
        </is>
      </c>
      <c r="B149" s="10" t="n">
        <v>2022</v>
      </c>
      <c r="C149" s="8" t="n">
        <v>4</v>
      </c>
      <c r="D149" s="8" t="n">
        <v>0.33</v>
      </c>
    </row>
    <row r="150" ht="19" customHeight="1">
      <c r="A150" s="6" t="inlineStr">
        <is>
          <t>2022-05-01</t>
        </is>
      </c>
      <c r="B150" s="10" t="n">
        <v>2022</v>
      </c>
      <c r="C150" s="8" t="n">
        <v>5</v>
      </c>
      <c r="D150" s="8" t="n">
        <v>0.77</v>
      </c>
    </row>
    <row r="151" ht="19" customHeight="1">
      <c r="A151" s="6" t="inlineStr">
        <is>
          <t>2022-06-01</t>
        </is>
      </c>
      <c r="B151" s="10" t="n">
        <v>2022</v>
      </c>
      <c r="C151" s="8" t="n">
        <v>6</v>
      </c>
      <c r="D151" s="8" t="n">
        <v>1.21</v>
      </c>
    </row>
    <row r="152" ht="19" customHeight="1">
      <c r="A152" s="6" t="inlineStr">
        <is>
          <t>2022-07-01</t>
        </is>
      </c>
      <c r="B152" s="10" t="n">
        <v>2022</v>
      </c>
      <c r="C152" s="8" t="n">
        <v>7</v>
      </c>
      <c r="D152" s="8" t="n">
        <v>1.68</v>
      </c>
    </row>
    <row r="153" ht="19" customHeight="1">
      <c r="A153" s="6" t="inlineStr">
        <is>
          <t>2022-08-01</t>
        </is>
      </c>
      <c r="B153" s="10" t="n">
        <v>2022</v>
      </c>
      <c r="C153" s="8" t="n">
        <v>8</v>
      </c>
      <c r="D153" s="8" t="n">
        <v>2.33</v>
      </c>
    </row>
    <row r="154" ht="19" customHeight="1">
      <c r="A154" s="6" t="inlineStr">
        <is>
          <t>2022-09-01</t>
        </is>
      </c>
      <c r="B154" s="10" t="n">
        <v>2022</v>
      </c>
      <c r="C154" s="8" t="n">
        <v>9</v>
      </c>
      <c r="D154" s="8" t="n">
        <v>2.56</v>
      </c>
    </row>
    <row r="155" ht="19" customHeight="1">
      <c r="A155" s="6" t="inlineStr">
        <is>
          <t>2022-10-01</t>
        </is>
      </c>
      <c r="B155" s="10" t="n">
        <v>2022</v>
      </c>
      <c r="C155" s="8" t="n">
        <v>10</v>
      </c>
      <c r="D155" s="8" t="n">
        <v>3.08</v>
      </c>
    </row>
    <row r="156" ht="19" customHeight="1">
      <c r="A156" s="6" t="inlineStr">
        <is>
          <t>2022-11-01</t>
        </is>
      </c>
      <c r="B156" s="10" t="n">
        <v>2022</v>
      </c>
      <c r="C156" s="8" t="n">
        <v>11</v>
      </c>
      <c r="D156" s="8" t="n">
        <v>3.78</v>
      </c>
    </row>
    <row r="157" ht="19" customHeight="1">
      <c r="A157" s="6" t="inlineStr">
        <is>
          <t>2022-12-01</t>
        </is>
      </c>
      <c r="B157" s="10" t="n">
        <v>2022</v>
      </c>
      <c r="C157" s="8" t="n">
        <v>12</v>
      </c>
      <c r="D157" s="8" t="n">
        <v>4.1</v>
      </c>
    </row>
    <row r="158" ht="19" customHeight="1">
      <c r="A158" s="6" t="inlineStr">
        <is>
          <t>2023-01-01</t>
        </is>
      </c>
      <c r="B158" s="10" t="n">
        <v>2023</v>
      </c>
      <c r="C158" s="8" t="n">
        <v>1</v>
      </c>
      <c r="D158" s="8" t="n">
        <v>4.33</v>
      </c>
    </row>
    <row r="159" ht="19" customHeight="1">
      <c r="A159" s="6" t="inlineStr">
        <is>
          <t>2023-02-01</t>
        </is>
      </c>
      <c r="B159" s="10" t="n">
        <v>2023</v>
      </c>
      <c r="C159" s="8" t="n">
        <v>2</v>
      </c>
      <c r="D159" s="8" t="n">
        <v>4.57</v>
      </c>
    </row>
    <row r="160" ht="19" customHeight="1">
      <c r="A160" s="6" t="inlineStr">
        <is>
          <t>2023-03-01</t>
        </is>
      </c>
      <c r="B160" s="10" t="n">
        <v>2023</v>
      </c>
      <c r="C160" s="8" t="n">
        <v>3</v>
      </c>
      <c r="D160" s="8" t="n">
        <v>4.65</v>
      </c>
    </row>
    <row r="161" ht="19" customHeight="1">
      <c r="A161" s="6" t="inlineStr">
        <is>
          <t>2023-04-01</t>
        </is>
      </c>
      <c r="B161" s="10" t="n">
        <v>2023</v>
      </c>
      <c r="C161" s="8" t="n">
        <v>4</v>
      </c>
      <c r="D161" s="8" t="n">
        <v>4.83</v>
      </c>
    </row>
    <row r="162" ht="19" customHeight="1">
      <c r="A162" s="6" t="inlineStr">
        <is>
          <t>2023-05-01</t>
        </is>
      </c>
      <c r="B162" s="10" t="n">
        <v>2023</v>
      </c>
      <c r="C162" s="8" t="n">
        <v>5</v>
      </c>
      <c r="D162" s="8" t="n">
        <v>5.06</v>
      </c>
    </row>
    <row r="163" ht="19" customHeight="1">
      <c r="A163" s="6" t="inlineStr">
        <is>
          <t>2023-06-01</t>
        </is>
      </c>
      <c r="B163" s="10" t="n">
        <v>2023</v>
      </c>
      <c r="C163" s="8" t="n">
        <v>6</v>
      </c>
      <c r="D163" s="8" t="n">
        <v>5.08</v>
      </c>
    </row>
    <row r="164" ht="19" customHeight="1">
      <c r="A164" s="6" t="inlineStr">
        <is>
          <t>2023-07-01</t>
        </is>
      </c>
      <c r="B164" s="10" t="n">
        <v>2023</v>
      </c>
      <c r="C164" s="8" t="n">
        <v>7</v>
      </c>
      <c r="D164" s="8" t="n">
        <v>5.12</v>
      </c>
    </row>
    <row r="165" ht="19" customHeight="1">
      <c r="A165" s="6" t="inlineStr">
        <is>
          <t>2023-08-01</t>
        </is>
      </c>
      <c r="B165" s="10" t="n">
        <v>2023</v>
      </c>
      <c r="C165" s="8" t="n">
        <v>8</v>
      </c>
      <c r="D165" s="8" t="n">
        <v>5.33</v>
      </c>
    </row>
    <row r="166" ht="19" customHeight="1">
      <c r="A166" s="6" t="inlineStr">
        <is>
          <t>2023-09-01</t>
        </is>
      </c>
      <c r="B166" s="10" t="n">
        <v>2023</v>
      </c>
      <c r="C166" s="8" t="n">
        <v>9</v>
      </c>
      <c r="D166" s="8" t="n">
        <v>5.33</v>
      </c>
    </row>
    <row r="167" ht="19" customHeight="1">
      <c r="A167" s="6" t="inlineStr">
        <is>
          <t>2023-10-01</t>
        </is>
      </c>
      <c r="B167" s="10" t="n">
        <v>2023</v>
      </c>
      <c r="C167" s="8" t="n">
        <v>10</v>
      </c>
      <c r="D167" s="8" t="n">
        <v>5.33</v>
      </c>
    </row>
    <row r="168" ht="19" customHeight="1">
      <c r="A168" s="6" t="inlineStr">
        <is>
          <t>2023-11-01</t>
        </is>
      </c>
      <c r="B168" s="10" t="n">
        <v>2023</v>
      </c>
      <c r="C168" s="8" t="n">
        <v>11</v>
      </c>
      <c r="D168" s="8" t="n">
        <v>5.33</v>
      </c>
    </row>
    <row r="169" ht="19" customHeight="1">
      <c r="A169" s="6" t="inlineStr">
        <is>
          <t>2023-12-01</t>
        </is>
      </c>
      <c r="B169" s="10" t="n">
        <v>2023</v>
      </c>
      <c r="C169" s="8" t="n">
        <v>12</v>
      </c>
      <c r="D169" s="8" t="n">
        <v>5.33</v>
      </c>
    </row>
    <row r="170" ht="19" customHeight="1">
      <c r="A170" s="6" t="inlineStr">
        <is>
          <t>2024-01-01</t>
        </is>
      </c>
      <c r="B170" s="10" t="n">
        <v>2024</v>
      </c>
      <c r="C170" s="8" t="n">
        <v>1</v>
      </c>
      <c r="D170" s="8" t="n">
        <v>5.33</v>
      </c>
    </row>
    <row r="171" ht="19" customHeight="1">
      <c r="A171" s="6" t="inlineStr">
        <is>
          <t>2024-02-01</t>
        </is>
      </c>
      <c r="B171" s="10" t="n">
        <v>2024</v>
      </c>
      <c r="C171" s="8" t="n">
        <v>2</v>
      </c>
      <c r="D171" s="8" t="n">
        <v>5.33</v>
      </c>
    </row>
    <row r="172" ht="19" customHeight="1">
      <c r="A172" s="6" t="inlineStr">
        <is>
          <t>2024-03-01</t>
        </is>
      </c>
      <c r="B172" s="10" t="n">
        <v>2024</v>
      </c>
      <c r="C172" s="8" t="n">
        <v>3</v>
      </c>
      <c r="D172" s="8" t="n">
        <v>5.33</v>
      </c>
    </row>
    <row r="173" ht="19" customHeight="1">
      <c r="A173" s="6" t="inlineStr">
        <is>
          <t>2024-04-01</t>
        </is>
      </c>
      <c r="B173" s="10" t="n">
        <v>2024</v>
      </c>
      <c r="C173" s="8" t="n">
        <v>4</v>
      </c>
      <c r="D173" s="8" t="n">
        <v>5.33</v>
      </c>
    </row>
    <row r="174" ht="19" customHeight="1">
      <c r="A174" s="6" t="inlineStr">
        <is>
          <t>2024-05-01</t>
        </is>
      </c>
      <c r="B174" s="10" t="n">
        <v>2024</v>
      </c>
      <c r="C174" s="8" t="n">
        <v>5</v>
      </c>
      <c r="D174" s="8" t="n">
        <v>5.33</v>
      </c>
    </row>
    <row r="175" ht="19" customHeight="1">
      <c r="A175" s="6" t="inlineStr">
        <is>
          <t>2024-06-01</t>
        </is>
      </c>
      <c r="B175" s="10" t="n">
        <v>2024</v>
      </c>
      <c r="C175" s="8" t="n">
        <v>6</v>
      </c>
      <c r="D175" s="8" t="n">
        <v>5.33</v>
      </c>
    </row>
    <row r="176" ht="19" customHeight="1">
      <c r="A176" s="6" t="inlineStr">
        <is>
          <t>2024-07-01</t>
        </is>
      </c>
      <c r="B176" s="10" t="n">
        <v>2024</v>
      </c>
      <c r="C176" s="8" t="n">
        <v>7</v>
      </c>
      <c r="D176" s="8" t="n">
        <v>5.33</v>
      </c>
    </row>
    <row r="177" ht="19" customHeight="1">
      <c r="A177" s="6" t="inlineStr">
        <is>
          <t>2024-08-01</t>
        </is>
      </c>
      <c r="B177" s="10" t="n">
        <v>2024</v>
      </c>
      <c r="C177" s="8" t="n">
        <v>8</v>
      </c>
      <c r="D177" s="8" t="n">
        <v>5.33</v>
      </c>
    </row>
    <row r="178" ht="19" customHeight="1">
      <c r="A178" s="6" t="inlineStr">
        <is>
          <t>2024-09-01</t>
        </is>
      </c>
      <c r="B178" s="10" t="n">
        <v>2024</v>
      </c>
      <c r="C178" s="8" t="n">
        <v>9</v>
      </c>
      <c r="D178" s="8" t="n">
        <v>5.13</v>
      </c>
    </row>
    <row r="179" ht="19" customHeight="1">
      <c r="A179" s="6" t="inlineStr">
        <is>
          <t>2024-10-01</t>
        </is>
      </c>
      <c r="B179" s="10" t="n">
        <v>2024</v>
      </c>
      <c r="C179" s="8" t="n">
        <v>10</v>
      </c>
      <c r="D179" s="8" t="n">
        <v>4.83</v>
      </c>
    </row>
    <row r="180" ht="19" customHeight="1">
      <c r="A180" s="6" t="inlineStr">
        <is>
          <t>2024-11-01</t>
        </is>
      </c>
      <c r="B180" s="10" t="n">
        <v>2024</v>
      </c>
      <c r="C180" s="8" t="n">
        <v>11</v>
      </c>
      <c r="D180" s="8" t="n">
        <v>4.64</v>
      </c>
    </row>
    <row r="181" ht="19" customHeight="1">
      <c r="A181" s="6" t="inlineStr">
        <is>
          <t>2024-12-01</t>
        </is>
      </c>
      <c r="B181" s="10" t="n">
        <v>2024</v>
      </c>
      <c r="C181" s="8" t="n">
        <v>12</v>
      </c>
      <c r="D181" s="8" t="n">
        <v>4.48</v>
      </c>
    </row>
    <row r="182" ht="19" customHeight="1">
      <c r="A182" s="6" t="inlineStr">
        <is>
          <t>2025-01-01</t>
        </is>
      </c>
      <c r="B182" s="10" t="n">
        <v>2025</v>
      </c>
      <c r="C182" s="8" t="n">
        <v>1</v>
      </c>
      <c r="D182" s="8" t="n">
        <v>4.33</v>
      </c>
    </row>
    <row r="183" ht="19" customHeight="1">
      <c r="A183" s="6" t="inlineStr">
        <is>
          <t>2025-02-01</t>
        </is>
      </c>
      <c r="B183" s="10" t="n">
        <v>2025</v>
      </c>
      <c r="C183" s="8" t="n">
        <v>2</v>
      </c>
      <c r="D183" s="8" t="n">
        <v>4.33</v>
      </c>
    </row>
    <row r="184" ht="19" customHeight="1">
      <c r="A184" s="6" t="inlineStr">
        <is>
          <t>2025-03-01</t>
        </is>
      </c>
      <c r="B184" s="10" t="n">
        <v>2025</v>
      </c>
      <c r="C184" s="8" t="n">
        <v>3</v>
      </c>
      <c r="D184" s="8" t="n">
        <v>4.33</v>
      </c>
    </row>
    <row r="185" ht="19" customHeight="1">
      <c r="A185" s="6" t="inlineStr">
        <is>
          <t>2025-04-01</t>
        </is>
      </c>
      <c r="B185" s="10" t="n">
        <v>2025</v>
      </c>
      <c r="C185" s="8" t="n">
        <v>4</v>
      </c>
      <c r="D185" s="8" t="n">
        <v>4.33</v>
      </c>
    </row>
    <row r="186" ht="19" customHeight="1">
      <c r="A186" s="6" t="inlineStr">
        <is>
          <t>2025-05-01</t>
        </is>
      </c>
      <c r="B186" s="10" t="n">
        <v>2025</v>
      </c>
      <c r="C186" s="8" t="n">
        <v>5</v>
      </c>
      <c r="D186" s="8" t="n">
        <v>4.33</v>
      </c>
    </row>
    <row r="187" ht="19" customHeight="1">
      <c r="A187" s="6" t="inlineStr">
        <is>
          <t>2025-06-01</t>
        </is>
      </c>
      <c r="B187" s="10" t="n">
        <v>2025</v>
      </c>
      <c r="C187" s="8" t="n">
        <v>6</v>
      </c>
      <c r="D187" s="8" t="n">
        <v>4.33</v>
      </c>
    </row>
    <row r="188" ht="19" customHeight="1">
      <c r="A188" s="6" t="inlineStr">
        <is>
          <t>2025-07-01</t>
        </is>
      </c>
      <c r="B188" s="10" t="n">
        <v>2025</v>
      </c>
      <c r="C188" s="8" t="n">
        <v>7</v>
      </c>
      <c r="D188" s="8" t="n">
        <v>4.33</v>
      </c>
    </row>
    <row r="189" ht="19" customHeight="1">
      <c r="A189" s="6" t="inlineStr">
        <is>
          <t>2025-08-01</t>
        </is>
      </c>
      <c r="B189" s="10" t="n">
        <v>2025</v>
      </c>
      <c r="C189" s="8" t="n">
        <v>8</v>
      </c>
      <c r="D189" s="8" t="n">
        <v>4.33</v>
      </c>
    </row>
    <row r="190" ht="19" customHeight="1">
      <c r="A190" s="6" t="inlineStr">
        <is>
          <t>2025-09-01</t>
        </is>
      </c>
      <c r="B190" s="10" t="n">
        <v>2025</v>
      </c>
      <c r="C190" s="8" t="n">
        <v>9</v>
      </c>
      <c r="D190" s="8" t="n">
        <v>4.22</v>
      </c>
    </row>
    <row r="191" ht="19" customHeight="1">
      <c r="A191" s="6" t="inlineStr">
        <is>
          <t>2025-10-01</t>
        </is>
      </c>
      <c r="B191" s="10" t="n">
        <v>2025</v>
      </c>
      <c r="C191" s="8" t="n">
        <v>10</v>
      </c>
      <c r="D191" s="8" t="n">
        <v>4.09</v>
      </c>
    </row>
    <row r="192" ht="19" customHeight="1">
      <c r="A192" s="6" t="inlineStr">
        <is>
          <t>2025-11-01</t>
        </is>
      </c>
      <c r="B192" s="10" t="n">
        <v>2025</v>
      </c>
      <c r="C192" s="8" t="n">
        <v>11</v>
      </c>
      <c r="D192" s="8" t="n">
        <v>3.88</v>
      </c>
    </row>
    <row r="193" ht="19" customHeight="1">
      <c r="A193" s="6" t="inlineStr">
        <is>
          <t>2025-12-01</t>
        </is>
      </c>
      <c r="B193" s="10" t="n">
        <v>2025</v>
      </c>
      <c r="C193" s="8" t="n">
        <v>12</v>
      </c>
      <c r="D193" s="8" t="n">
        <v>3.72</v>
      </c>
    </row>
  </sheetData>
  <autoFilter ref="A1:D19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2" customWidth="1" min="4" max="4"/>
  </cols>
  <sheetData>
    <row r="1" ht="26" customHeight="1">
      <c r="A1" s="5" t="inlineStr">
        <is>
          <t>date</t>
        </is>
      </c>
      <c r="B1" s="5" t="inlineStr">
        <is>
          <t>year</t>
        </is>
      </c>
      <c r="C1" s="5" t="inlineStr">
        <is>
          <t>month</t>
        </is>
      </c>
      <c r="D1" s="5" t="inlineStr">
        <is>
          <t>oil_price</t>
        </is>
      </c>
    </row>
    <row r="2" ht="19" customHeight="1">
      <c r="A2" s="6" t="inlineStr">
        <is>
          <t>2010-01-01</t>
        </is>
      </c>
      <c r="B2" s="10" t="n">
        <v>2010</v>
      </c>
      <c r="C2" s="8" t="n">
        <v>1</v>
      </c>
      <c r="D2" s="8" t="n">
        <v>76.17</v>
      </c>
    </row>
    <row r="3" ht="19" customHeight="1">
      <c r="A3" s="6" t="inlineStr">
        <is>
          <t>2010-02-01</t>
        </is>
      </c>
      <c r="B3" s="10" t="n">
        <v>2010</v>
      </c>
      <c r="C3" s="8" t="n">
        <v>2</v>
      </c>
      <c r="D3" s="8" t="n">
        <v>73.75</v>
      </c>
    </row>
    <row r="4" ht="19" customHeight="1">
      <c r="A4" s="6" t="inlineStr">
        <is>
          <t>2010-03-01</t>
        </is>
      </c>
      <c r="B4" s="10" t="n">
        <v>2010</v>
      </c>
      <c r="C4" s="8" t="n">
        <v>3</v>
      </c>
      <c r="D4" s="8" t="n">
        <v>78.83</v>
      </c>
    </row>
    <row r="5" ht="19" customHeight="1">
      <c r="A5" s="6" t="inlineStr">
        <is>
          <t>2010-04-01</t>
        </is>
      </c>
      <c r="B5" s="10" t="n">
        <v>2010</v>
      </c>
      <c r="C5" s="8" t="n">
        <v>4</v>
      </c>
      <c r="D5" s="8" t="n">
        <v>84.81999999999999</v>
      </c>
    </row>
    <row r="6" ht="19" customHeight="1">
      <c r="A6" s="6" t="inlineStr">
        <is>
          <t>2010-05-01</t>
        </is>
      </c>
      <c r="B6" s="10" t="n">
        <v>2010</v>
      </c>
      <c r="C6" s="8" t="n">
        <v>5</v>
      </c>
      <c r="D6" s="8" t="n">
        <v>75.95</v>
      </c>
    </row>
    <row r="7" ht="19" customHeight="1">
      <c r="A7" s="6" t="inlineStr">
        <is>
          <t>2010-06-01</t>
        </is>
      </c>
      <c r="B7" s="10" t="n">
        <v>2010</v>
      </c>
      <c r="C7" s="8" t="n">
        <v>6</v>
      </c>
      <c r="D7" s="8" t="n">
        <v>74.76000000000001</v>
      </c>
    </row>
    <row r="8" ht="19" customHeight="1">
      <c r="A8" s="6" t="inlineStr">
        <is>
          <t>2010-07-01</t>
        </is>
      </c>
      <c r="B8" s="10" t="n">
        <v>2010</v>
      </c>
      <c r="C8" s="8" t="n">
        <v>7</v>
      </c>
      <c r="D8" s="8" t="n">
        <v>75.58</v>
      </c>
    </row>
    <row r="9" ht="19" customHeight="1">
      <c r="A9" s="6" t="inlineStr">
        <is>
          <t>2010-08-01</t>
        </is>
      </c>
      <c r="B9" s="10" t="n">
        <v>2010</v>
      </c>
      <c r="C9" s="8" t="n">
        <v>8</v>
      </c>
      <c r="D9" s="8" t="n">
        <v>77.04000000000001</v>
      </c>
    </row>
    <row r="10" ht="19" customHeight="1">
      <c r="A10" s="6" t="inlineStr">
        <is>
          <t>2010-09-01</t>
        </is>
      </c>
      <c r="B10" s="10" t="n">
        <v>2010</v>
      </c>
      <c r="C10" s="8" t="n">
        <v>9</v>
      </c>
      <c r="D10" s="8" t="n">
        <v>77.84</v>
      </c>
    </row>
    <row r="11" ht="19" customHeight="1">
      <c r="A11" s="6" t="inlineStr">
        <is>
          <t>2010-10-01</t>
        </is>
      </c>
      <c r="B11" s="10" t="n">
        <v>2010</v>
      </c>
      <c r="C11" s="8" t="n">
        <v>10</v>
      </c>
      <c r="D11" s="8" t="n">
        <v>82.67</v>
      </c>
    </row>
    <row r="12" ht="19" customHeight="1">
      <c r="A12" s="6" t="inlineStr">
        <is>
          <t>2010-11-01</t>
        </is>
      </c>
      <c r="B12" s="10" t="n">
        <v>2010</v>
      </c>
      <c r="C12" s="8" t="n">
        <v>11</v>
      </c>
      <c r="D12" s="8" t="n">
        <v>85.28</v>
      </c>
    </row>
    <row r="13" ht="19" customHeight="1">
      <c r="A13" s="6" t="inlineStr">
        <is>
          <t>2010-12-01</t>
        </is>
      </c>
      <c r="B13" s="10" t="n">
        <v>2010</v>
      </c>
      <c r="C13" s="8" t="n">
        <v>12</v>
      </c>
      <c r="D13" s="8" t="n">
        <v>91.45</v>
      </c>
    </row>
    <row r="14" ht="19" customHeight="1">
      <c r="A14" s="6" t="inlineStr">
        <is>
          <t>2011-01-01</t>
        </is>
      </c>
      <c r="B14" s="10" t="n">
        <v>2011</v>
      </c>
      <c r="C14" s="8" t="n">
        <v>1</v>
      </c>
      <c r="D14" s="8" t="n">
        <v>96.52</v>
      </c>
    </row>
    <row r="15" ht="19" customHeight="1">
      <c r="A15" s="6" t="inlineStr">
        <is>
          <t>2011-02-01</t>
        </is>
      </c>
      <c r="B15" s="10" t="n">
        <v>2011</v>
      </c>
      <c r="C15" s="8" t="n">
        <v>2</v>
      </c>
      <c r="D15" s="8" t="n">
        <v>103.72</v>
      </c>
    </row>
    <row r="16" ht="19" customHeight="1">
      <c r="A16" s="6" t="inlineStr">
        <is>
          <t>2011-03-01</t>
        </is>
      </c>
      <c r="B16" s="10" t="n">
        <v>2011</v>
      </c>
      <c r="C16" s="8" t="n">
        <v>3</v>
      </c>
      <c r="D16" s="8" t="n">
        <v>114.64</v>
      </c>
    </row>
    <row r="17" ht="19" customHeight="1">
      <c r="A17" s="6" t="inlineStr">
        <is>
          <t>2011-04-01</t>
        </is>
      </c>
      <c r="B17" s="10" t="n">
        <v>2011</v>
      </c>
      <c r="C17" s="8" t="n">
        <v>4</v>
      </c>
      <c r="D17" s="8" t="n">
        <v>123.26</v>
      </c>
    </row>
    <row r="18" ht="19" customHeight="1">
      <c r="A18" s="6" t="inlineStr">
        <is>
          <t>2011-05-01</t>
        </is>
      </c>
      <c r="B18" s="10" t="n">
        <v>2011</v>
      </c>
      <c r="C18" s="8" t="n">
        <v>5</v>
      </c>
      <c r="D18" s="8" t="n">
        <v>114.99</v>
      </c>
    </row>
    <row r="19" ht="19" customHeight="1">
      <c r="A19" s="6" t="inlineStr">
        <is>
          <t>2011-06-01</t>
        </is>
      </c>
      <c r="B19" s="10" t="n">
        <v>2011</v>
      </c>
      <c r="C19" s="8" t="n">
        <v>6</v>
      </c>
      <c r="D19" s="8" t="n">
        <v>113.83</v>
      </c>
    </row>
    <row r="20" ht="19" customHeight="1">
      <c r="A20" s="6" t="inlineStr">
        <is>
          <t>2011-07-01</t>
        </is>
      </c>
      <c r="B20" s="10" t="n">
        <v>2011</v>
      </c>
      <c r="C20" s="8" t="n">
        <v>7</v>
      </c>
      <c r="D20" s="8" t="n">
        <v>116.97</v>
      </c>
    </row>
    <row r="21" ht="19" customHeight="1">
      <c r="A21" s="6" t="inlineStr">
        <is>
          <t>2011-08-01</t>
        </is>
      </c>
      <c r="B21" s="10" t="n">
        <v>2011</v>
      </c>
      <c r="C21" s="8" t="n">
        <v>8</v>
      </c>
      <c r="D21" s="8" t="n">
        <v>110.22</v>
      </c>
    </row>
    <row r="22" ht="19" customHeight="1">
      <c r="A22" s="6" t="inlineStr">
        <is>
          <t>2011-09-01</t>
        </is>
      </c>
      <c r="B22" s="10" t="n">
        <v>2011</v>
      </c>
      <c r="C22" s="8" t="n">
        <v>9</v>
      </c>
      <c r="D22" s="8" t="n">
        <v>112.83</v>
      </c>
    </row>
    <row r="23" ht="19" customHeight="1">
      <c r="A23" s="6" t="inlineStr">
        <is>
          <t>2011-10-01</t>
        </is>
      </c>
      <c r="B23" s="10" t="n">
        <v>2011</v>
      </c>
      <c r="C23" s="8" t="n">
        <v>10</v>
      </c>
      <c r="D23" s="8" t="n">
        <v>109.55</v>
      </c>
    </row>
    <row r="24" ht="19" customHeight="1">
      <c r="A24" s="6" t="inlineStr">
        <is>
          <t>2011-11-01</t>
        </is>
      </c>
      <c r="B24" s="10" t="n">
        <v>2011</v>
      </c>
      <c r="C24" s="8" t="n">
        <v>11</v>
      </c>
      <c r="D24" s="8" t="n">
        <v>110.77</v>
      </c>
    </row>
    <row r="25" ht="19" customHeight="1">
      <c r="A25" s="6" t="inlineStr">
        <is>
          <t>2011-12-01</t>
        </is>
      </c>
      <c r="B25" s="10" t="n">
        <v>2011</v>
      </c>
      <c r="C25" s="8" t="n">
        <v>12</v>
      </c>
      <c r="D25" s="8" t="n">
        <v>107.87</v>
      </c>
    </row>
    <row r="26" ht="19" customHeight="1">
      <c r="A26" s="6" t="inlineStr">
        <is>
          <t>2012-01-01</t>
        </is>
      </c>
      <c r="B26" s="10" t="n">
        <v>2012</v>
      </c>
      <c r="C26" s="8" t="n">
        <v>1</v>
      </c>
      <c r="D26" s="8" t="n">
        <v>110.69</v>
      </c>
    </row>
    <row r="27" ht="19" customHeight="1">
      <c r="A27" s="6" t="inlineStr">
        <is>
          <t>2012-02-01</t>
        </is>
      </c>
      <c r="B27" s="10" t="n">
        <v>2012</v>
      </c>
      <c r="C27" s="8" t="n">
        <v>2</v>
      </c>
      <c r="D27" s="8" t="n">
        <v>119.33</v>
      </c>
    </row>
    <row r="28" ht="19" customHeight="1">
      <c r="A28" s="6" t="inlineStr">
        <is>
          <t>2012-03-01</t>
        </is>
      </c>
      <c r="B28" s="10" t="n">
        <v>2012</v>
      </c>
      <c r="C28" s="8" t="n">
        <v>3</v>
      </c>
      <c r="D28" s="8" t="n">
        <v>125.45</v>
      </c>
    </row>
    <row r="29" ht="19" customHeight="1">
      <c r="A29" s="6" t="inlineStr">
        <is>
          <t>2012-04-01</t>
        </is>
      </c>
      <c r="B29" s="10" t="n">
        <v>2012</v>
      </c>
      <c r="C29" s="8" t="n">
        <v>4</v>
      </c>
      <c r="D29" s="8" t="n">
        <v>119.75</v>
      </c>
    </row>
    <row r="30" ht="19" customHeight="1">
      <c r="A30" s="6" t="inlineStr">
        <is>
          <t>2012-05-01</t>
        </is>
      </c>
      <c r="B30" s="10" t="n">
        <v>2012</v>
      </c>
      <c r="C30" s="8" t="n">
        <v>5</v>
      </c>
      <c r="D30" s="8" t="n">
        <v>110.34</v>
      </c>
    </row>
    <row r="31" ht="19" customHeight="1">
      <c r="A31" s="6" t="inlineStr">
        <is>
          <t>2012-06-01</t>
        </is>
      </c>
      <c r="B31" s="10" t="n">
        <v>2012</v>
      </c>
      <c r="C31" s="8" t="n">
        <v>6</v>
      </c>
      <c r="D31" s="8" t="n">
        <v>95.16</v>
      </c>
    </row>
    <row r="32" ht="19" customHeight="1">
      <c r="A32" s="6" t="inlineStr">
        <is>
          <t>2012-07-01</t>
        </is>
      </c>
      <c r="B32" s="10" t="n">
        <v>2012</v>
      </c>
      <c r="C32" s="8" t="n">
        <v>7</v>
      </c>
      <c r="D32" s="8" t="n">
        <v>102.62</v>
      </c>
    </row>
    <row r="33" ht="19" customHeight="1">
      <c r="A33" s="6" t="inlineStr">
        <is>
          <t>2012-08-01</t>
        </is>
      </c>
      <c r="B33" s="10" t="n">
        <v>2012</v>
      </c>
      <c r="C33" s="8" t="n">
        <v>8</v>
      </c>
      <c r="D33" s="8" t="n">
        <v>113.36</v>
      </c>
    </row>
    <row r="34" ht="19" customHeight="1">
      <c r="A34" s="6" t="inlineStr">
        <is>
          <t>2012-09-01</t>
        </is>
      </c>
      <c r="B34" s="10" t="n">
        <v>2012</v>
      </c>
      <c r="C34" s="8" t="n">
        <v>9</v>
      </c>
      <c r="D34" s="8" t="n">
        <v>112.86</v>
      </c>
    </row>
    <row r="35" ht="19" customHeight="1">
      <c r="A35" s="6" t="inlineStr">
        <is>
          <t>2012-10-01</t>
        </is>
      </c>
      <c r="B35" s="10" t="n">
        <v>2012</v>
      </c>
      <c r="C35" s="8" t="n">
        <v>10</v>
      </c>
      <c r="D35" s="8" t="n">
        <v>111.71</v>
      </c>
    </row>
    <row r="36" ht="19" customHeight="1">
      <c r="A36" s="6" t="inlineStr">
        <is>
          <t>2012-11-01</t>
        </is>
      </c>
      <c r="B36" s="10" t="n">
        <v>2012</v>
      </c>
      <c r="C36" s="8" t="n">
        <v>11</v>
      </c>
      <c r="D36" s="8" t="n">
        <v>109.06</v>
      </c>
    </row>
    <row r="37" ht="19" customHeight="1">
      <c r="A37" s="6" t="inlineStr">
        <is>
          <t>2012-12-01</t>
        </is>
      </c>
      <c r="B37" s="10" t="n">
        <v>2012</v>
      </c>
      <c r="C37" s="8" t="n">
        <v>12</v>
      </c>
      <c r="D37" s="8" t="n">
        <v>109.49</v>
      </c>
    </row>
    <row r="38" ht="19" customHeight="1">
      <c r="A38" s="6" t="inlineStr">
        <is>
          <t>2013-01-01</t>
        </is>
      </c>
      <c r="B38" s="10" t="n">
        <v>2013</v>
      </c>
      <c r="C38" s="8" t="n">
        <v>1</v>
      </c>
      <c r="D38" s="8" t="n">
        <v>112.96</v>
      </c>
    </row>
    <row r="39" ht="19" customHeight="1">
      <c r="A39" s="6" t="inlineStr">
        <is>
          <t>2013-02-01</t>
        </is>
      </c>
      <c r="B39" s="10" t="n">
        <v>2013</v>
      </c>
      <c r="C39" s="8" t="n">
        <v>2</v>
      </c>
      <c r="D39" s="8" t="n">
        <v>116.05</v>
      </c>
    </row>
    <row r="40" ht="19" customHeight="1">
      <c r="A40" s="6" t="inlineStr">
        <is>
          <t>2013-03-01</t>
        </is>
      </c>
      <c r="B40" s="10" t="n">
        <v>2013</v>
      </c>
      <c r="C40" s="8" t="n">
        <v>3</v>
      </c>
      <c r="D40" s="8" t="n">
        <v>108.47</v>
      </c>
    </row>
    <row r="41" ht="19" customHeight="1">
      <c r="A41" s="6" t="inlineStr">
        <is>
          <t>2013-04-01</t>
        </is>
      </c>
      <c r="B41" s="10" t="n">
        <v>2013</v>
      </c>
      <c r="C41" s="8" t="n">
        <v>4</v>
      </c>
      <c r="D41" s="8" t="n">
        <v>102.25</v>
      </c>
    </row>
    <row r="42" ht="19" customHeight="1">
      <c r="A42" s="6" t="inlineStr">
        <is>
          <t>2013-05-01</t>
        </is>
      </c>
      <c r="B42" s="10" t="n">
        <v>2013</v>
      </c>
      <c r="C42" s="8" t="n">
        <v>5</v>
      </c>
      <c r="D42" s="8" t="n">
        <v>102.56</v>
      </c>
    </row>
    <row r="43" ht="19" customHeight="1">
      <c r="A43" s="6" t="inlineStr">
        <is>
          <t>2013-06-01</t>
        </is>
      </c>
      <c r="B43" s="10" t="n">
        <v>2013</v>
      </c>
      <c r="C43" s="8" t="n">
        <v>6</v>
      </c>
      <c r="D43" s="8" t="n">
        <v>102.92</v>
      </c>
    </row>
    <row r="44" ht="19" customHeight="1">
      <c r="A44" s="6" t="inlineStr">
        <is>
          <t>2013-07-01</t>
        </is>
      </c>
      <c r="B44" s="10" t="n">
        <v>2013</v>
      </c>
      <c r="C44" s="8" t="n">
        <v>7</v>
      </c>
      <c r="D44" s="8" t="n">
        <v>107.93</v>
      </c>
    </row>
    <row r="45" ht="19" customHeight="1">
      <c r="A45" s="6" t="inlineStr">
        <is>
          <t>2013-08-01</t>
        </is>
      </c>
      <c r="B45" s="10" t="n">
        <v>2013</v>
      </c>
      <c r="C45" s="8" t="n">
        <v>8</v>
      </c>
      <c r="D45" s="8" t="n">
        <v>111.28</v>
      </c>
    </row>
    <row r="46" ht="19" customHeight="1">
      <c r="A46" s="6" t="inlineStr">
        <is>
          <t>2013-09-01</t>
        </is>
      </c>
      <c r="B46" s="10" t="n">
        <v>2013</v>
      </c>
      <c r="C46" s="8" t="n">
        <v>9</v>
      </c>
      <c r="D46" s="8" t="n">
        <v>111.6</v>
      </c>
    </row>
    <row r="47" ht="19" customHeight="1">
      <c r="A47" s="6" t="inlineStr">
        <is>
          <t>2013-10-01</t>
        </is>
      </c>
      <c r="B47" s="10" t="n">
        <v>2013</v>
      </c>
      <c r="C47" s="8" t="n">
        <v>10</v>
      </c>
      <c r="D47" s="8" t="n">
        <v>109.08</v>
      </c>
    </row>
    <row r="48" ht="19" customHeight="1">
      <c r="A48" s="6" t="inlineStr">
        <is>
          <t>2013-11-01</t>
        </is>
      </c>
      <c r="B48" s="10" t="n">
        <v>2013</v>
      </c>
      <c r="C48" s="8" t="n">
        <v>11</v>
      </c>
      <c r="D48" s="8" t="n">
        <v>107.79</v>
      </c>
    </row>
    <row r="49" ht="19" customHeight="1">
      <c r="A49" s="6" t="inlineStr">
        <is>
          <t>2013-12-01</t>
        </is>
      </c>
      <c r="B49" s="10" t="n">
        <v>2013</v>
      </c>
      <c r="C49" s="8" t="n">
        <v>12</v>
      </c>
      <c r="D49" s="8" t="n">
        <v>110.76</v>
      </c>
    </row>
    <row r="50" ht="19" customHeight="1">
      <c r="A50" s="6" t="inlineStr">
        <is>
          <t>2014-01-01</t>
        </is>
      </c>
      <c r="B50" s="10" t="n">
        <v>2014</v>
      </c>
      <c r="C50" s="8" t="n">
        <v>1</v>
      </c>
      <c r="D50" s="8" t="n">
        <v>108.12</v>
      </c>
    </row>
    <row r="51" ht="19" customHeight="1">
      <c r="A51" s="6" t="inlineStr">
        <is>
          <t>2014-02-01</t>
        </is>
      </c>
      <c r="B51" s="10" t="n">
        <v>2014</v>
      </c>
      <c r="C51" s="8" t="n">
        <v>2</v>
      </c>
      <c r="D51" s="8" t="n">
        <v>108.9</v>
      </c>
    </row>
    <row r="52" ht="19" customHeight="1">
      <c r="A52" s="6" t="inlineStr">
        <is>
          <t>2014-03-01</t>
        </is>
      </c>
      <c r="B52" s="10" t="n">
        <v>2014</v>
      </c>
      <c r="C52" s="8" t="n">
        <v>3</v>
      </c>
      <c r="D52" s="8" t="n">
        <v>107.48</v>
      </c>
    </row>
    <row r="53" ht="19" customHeight="1">
      <c r="A53" s="6" t="inlineStr">
        <is>
          <t>2014-04-01</t>
        </is>
      </c>
      <c r="B53" s="10" t="n">
        <v>2014</v>
      </c>
      <c r="C53" s="8" t="n">
        <v>4</v>
      </c>
      <c r="D53" s="8" t="n">
        <v>107.76</v>
      </c>
    </row>
    <row r="54" ht="19" customHeight="1">
      <c r="A54" s="6" t="inlineStr">
        <is>
          <t>2014-05-01</t>
        </is>
      </c>
      <c r="B54" s="10" t="n">
        <v>2014</v>
      </c>
      <c r="C54" s="8" t="n">
        <v>5</v>
      </c>
      <c r="D54" s="8" t="n">
        <v>109.54</v>
      </c>
    </row>
    <row r="55" ht="19" customHeight="1">
      <c r="A55" s="6" t="inlineStr">
        <is>
          <t>2014-06-01</t>
        </is>
      </c>
      <c r="B55" s="10" t="n">
        <v>2014</v>
      </c>
      <c r="C55" s="8" t="n">
        <v>6</v>
      </c>
      <c r="D55" s="8" t="n">
        <v>111.8</v>
      </c>
    </row>
    <row r="56" ht="19" customHeight="1">
      <c r="A56" s="6" t="inlineStr">
        <is>
          <t>2014-07-01</t>
        </is>
      </c>
      <c r="B56" s="10" t="n">
        <v>2014</v>
      </c>
      <c r="C56" s="8" t="n">
        <v>7</v>
      </c>
      <c r="D56" s="8" t="n">
        <v>106.77</v>
      </c>
    </row>
    <row r="57" ht="19" customHeight="1">
      <c r="A57" s="6" t="inlineStr">
        <is>
          <t>2014-08-01</t>
        </is>
      </c>
      <c r="B57" s="10" t="n">
        <v>2014</v>
      </c>
      <c r="C57" s="8" t="n">
        <v>8</v>
      </c>
      <c r="D57" s="8" t="n">
        <v>101.61</v>
      </c>
    </row>
    <row r="58" ht="19" customHeight="1">
      <c r="A58" s="6" t="inlineStr">
        <is>
          <t>2014-09-01</t>
        </is>
      </c>
      <c r="B58" s="10" t="n">
        <v>2014</v>
      </c>
      <c r="C58" s="8" t="n">
        <v>9</v>
      </c>
      <c r="D58" s="8" t="n">
        <v>97.09</v>
      </c>
    </row>
    <row r="59" ht="19" customHeight="1">
      <c r="A59" s="6" t="inlineStr">
        <is>
          <t>2014-10-01</t>
        </is>
      </c>
      <c r="B59" s="10" t="n">
        <v>2014</v>
      </c>
      <c r="C59" s="8" t="n">
        <v>10</v>
      </c>
      <c r="D59" s="8" t="n">
        <v>87.43000000000001</v>
      </c>
    </row>
    <row r="60" ht="19" customHeight="1">
      <c r="A60" s="6" t="inlineStr">
        <is>
          <t>2014-11-01</t>
        </is>
      </c>
      <c r="B60" s="10" t="n">
        <v>2014</v>
      </c>
      <c r="C60" s="8" t="n">
        <v>11</v>
      </c>
      <c r="D60" s="8" t="n">
        <v>79.44</v>
      </c>
    </row>
    <row r="61" ht="19" customHeight="1">
      <c r="A61" s="6" t="inlineStr">
        <is>
          <t>2014-12-01</t>
        </is>
      </c>
      <c r="B61" s="10" t="n">
        <v>2014</v>
      </c>
      <c r="C61" s="8" t="n">
        <v>12</v>
      </c>
      <c r="D61" s="8" t="n">
        <v>62.34</v>
      </c>
    </row>
    <row r="62" ht="19" customHeight="1">
      <c r="A62" s="6" t="inlineStr">
        <is>
          <t>2015-01-01</t>
        </is>
      </c>
      <c r="B62" s="10" t="n">
        <v>2015</v>
      </c>
      <c r="C62" s="8" t="n">
        <v>1</v>
      </c>
      <c r="D62" s="8" t="n">
        <v>47.76</v>
      </c>
    </row>
    <row r="63" ht="19" customHeight="1">
      <c r="A63" s="6" t="inlineStr">
        <is>
          <t>2015-02-01</t>
        </is>
      </c>
      <c r="B63" s="10" t="n">
        <v>2015</v>
      </c>
      <c r="C63" s="8" t="n">
        <v>2</v>
      </c>
      <c r="D63" s="8" t="n">
        <v>58.1</v>
      </c>
    </row>
    <row r="64" ht="19" customHeight="1">
      <c r="A64" s="6" t="inlineStr">
        <is>
          <t>2015-03-01</t>
        </is>
      </c>
      <c r="B64" s="10" t="n">
        <v>2015</v>
      </c>
      <c r="C64" s="8" t="n">
        <v>3</v>
      </c>
      <c r="D64" s="8" t="n">
        <v>55.89</v>
      </c>
    </row>
    <row r="65" ht="19" customHeight="1">
      <c r="A65" s="6" t="inlineStr">
        <is>
          <t>2015-04-01</t>
        </is>
      </c>
      <c r="B65" s="10" t="n">
        <v>2015</v>
      </c>
      <c r="C65" s="8" t="n">
        <v>4</v>
      </c>
      <c r="D65" s="8" t="n">
        <v>59.52</v>
      </c>
    </row>
    <row r="66" ht="19" customHeight="1">
      <c r="A66" s="6" t="inlineStr">
        <is>
          <t>2015-05-01</t>
        </is>
      </c>
      <c r="B66" s="10" t="n">
        <v>2015</v>
      </c>
      <c r="C66" s="8" t="n">
        <v>5</v>
      </c>
      <c r="D66" s="8" t="n">
        <v>64.08</v>
      </c>
    </row>
    <row r="67" ht="19" customHeight="1">
      <c r="A67" s="6" t="inlineStr">
        <is>
          <t>2015-06-01</t>
        </is>
      </c>
      <c r="B67" s="10" t="n">
        <v>2015</v>
      </c>
      <c r="C67" s="8" t="n">
        <v>6</v>
      </c>
      <c r="D67" s="8" t="n">
        <v>61.48</v>
      </c>
    </row>
    <row r="68" ht="19" customHeight="1">
      <c r="A68" s="6" t="inlineStr">
        <is>
          <t>2015-07-01</t>
        </is>
      </c>
      <c r="B68" s="10" t="n">
        <v>2015</v>
      </c>
      <c r="C68" s="8" t="n">
        <v>7</v>
      </c>
      <c r="D68" s="8" t="n">
        <v>56.56</v>
      </c>
    </row>
    <row r="69" ht="19" customHeight="1">
      <c r="A69" s="6" t="inlineStr">
        <is>
          <t>2015-08-01</t>
        </is>
      </c>
      <c r="B69" s="10" t="n">
        <v>2015</v>
      </c>
      <c r="C69" s="8" t="n">
        <v>8</v>
      </c>
      <c r="D69" s="8" t="n">
        <v>46.52</v>
      </c>
    </row>
    <row r="70" ht="19" customHeight="1">
      <c r="A70" s="6" t="inlineStr">
        <is>
          <t>2015-09-01</t>
        </is>
      </c>
      <c r="B70" s="10" t="n">
        <v>2015</v>
      </c>
      <c r="C70" s="8" t="n">
        <v>9</v>
      </c>
      <c r="D70" s="8" t="n">
        <v>47.62</v>
      </c>
    </row>
    <row r="71" ht="19" customHeight="1">
      <c r="A71" s="6" t="inlineStr">
        <is>
          <t>2015-10-01</t>
        </is>
      </c>
      <c r="B71" s="10" t="n">
        <v>2015</v>
      </c>
      <c r="C71" s="8" t="n">
        <v>10</v>
      </c>
      <c r="D71" s="8" t="n">
        <v>48.43</v>
      </c>
    </row>
    <row r="72" ht="19" customHeight="1">
      <c r="A72" s="6" t="inlineStr">
        <is>
          <t>2015-11-01</t>
        </is>
      </c>
      <c r="B72" s="10" t="n">
        <v>2015</v>
      </c>
      <c r="C72" s="8" t="n">
        <v>11</v>
      </c>
      <c r="D72" s="8" t="n">
        <v>44.27</v>
      </c>
    </row>
    <row r="73" ht="19" customHeight="1">
      <c r="A73" s="6" t="inlineStr">
        <is>
          <t>2015-12-01</t>
        </is>
      </c>
      <c r="B73" s="10" t="n">
        <v>2015</v>
      </c>
      <c r="C73" s="8" t="n">
        <v>12</v>
      </c>
      <c r="D73" s="8" t="n">
        <v>38.01</v>
      </c>
    </row>
    <row r="74" ht="19" customHeight="1">
      <c r="A74" s="6" t="inlineStr">
        <is>
          <t>2016-01-01</t>
        </is>
      </c>
      <c r="B74" s="10" t="n">
        <v>2016</v>
      </c>
      <c r="C74" s="8" t="n">
        <v>1</v>
      </c>
      <c r="D74" s="8" t="n">
        <v>30.7</v>
      </c>
    </row>
    <row r="75" ht="19" customHeight="1">
      <c r="A75" s="6" t="inlineStr">
        <is>
          <t>2016-02-01</t>
        </is>
      </c>
      <c r="B75" s="10" t="n">
        <v>2016</v>
      </c>
      <c r="C75" s="8" t="n">
        <v>2</v>
      </c>
      <c r="D75" s="8" t="n">
        <v>32.18</v>
      </c>
    </row>
    <row r="76" ht="19" customHeight="1">
      <c r="A76" s="6" t="inlineStr">
        <is>
          <t>2016-03-01</t>
        </is>
      </c>
      <c r="B76" s="10" t="n">
        <v>2016</v>
      </c>
      <c r="C76" s="8" t="n">
        <v>3</v>
      </c>
      <c r="D76" s="8" t="n">
        <v>38.21</v>
      </c>
    </row>
    <row r="77" ht="19" customHeight="1">
      <c r="A77" s="6" t="inlineStr">
        <is>
          <t>2016-04-01</t>
        </is>
      </c>
      <c r="B77" s="10" t="n">
        <v>2016</v>
      </c>
      <c r="C77" s="8" t="n">
        <v>4</v>
      </c>
      <c r="D77" s="8" t="n">
        <v>41.58</v>
      </c>
    </row>
    <row r="78" ht="19" customHeight="1">
      <c r="A78" s="6" t="inlineStr">
        <is>
          <t>2016-05-01</t>
        </is>
      </c>
      <c r="B78" s="10" t="n">
        <v>2016</v>
      </c>
      <c r="C78" s="8" t="n">
        <v>5</v>
      </c>
      <c r="D78" s="8" t="n">
        <v>46.74</v>
      </c>
    </row>
    <row r="79" ht="19" customHeight="1">
      <c r="A79" s="6" t="inlineStr">
        <is>
          <t>2016-06-01</t>
        </is>
      </c>
      <c r="B79" s="10" t="n">
        <v>2016</v>
      </c>
      <c r="C79" s="8" t="n">
        <v>6</v>
      </c>
      <c r="D79" s="8" t="n">
        <v>48.25</v>
      </c>
    </row>
    <row r="80" ht="19" customHeight="1">
      <c r="A80" s="6" t="inlineStr">
        <is>
          <t>2016-07-01</t>
        </is>
      </c>
      <c r="B80" s="10" t="n">
        <v>2016</v>
      </c>
      <c r="C80" s="8" t="n">
        <v>7</v>
      </c>
      <c r="D80" s="8" t="n">
        <v>44.95</v>
      </c>
    </row>
    <row r="81" ht="19" customHeight="1">
      <c r="A81" s="6" t="inlineStr">
        <is>
          <t>2016-08-01</t>
        </is>
      </c>
      <c r="B81" s="10" t="n">
        <v>2016</v>
      </c>
      <c r="C81" s="8" t="n">
        <v>8</v>
      </c>
      <c r="D81" s="8" t="n">
        <v>45.84</v>
      </c>
    </row>
    <row r="82" ht="19" customHeight="1">
      <c r="A82" s="6" t="inlineStr">
        <is>
          <t>2016-09-01</t>
        </is>
      </c>
      <c r="B82" s="10" t="n">
        <v>2016</v>
      </c>
      <c r="C82" s="8" t="n">
        <v>9</v>
      </c>
      <c r="D82" s="8" t="n">
        <v>46.57</v>
      </c>
    </row>
    <row r="83" ht="19" customHeight="1">
      <c r="A83" s="6" t="inlineStr">
        <is>
          <t>2016-10-01</t>
        </is>
      </c>
      <c r="B83" s="10" t="n">
        <v>2016</v>
      </c>
      <c r="C83" s="8" t="n">
        <v>10</v>
      </c>
      <c r="D83" s="8" t="n">
        <v>49.52</v>
      </c>
    </row>
    <row r="84" ht="19" customHeight="1">
      <c r="A84" s="6" t="inlineStr">
        <is>
          <t>2016-11-01</t>
        </is>
      </c>
      <c r="B84" s="10" t="n">
        <v>2016</v>
      </c>
      <c r="C84" s="8" t="n">
        <v>11</v>
      </c>
      <c r="D84" s="8" t="n">
        <v>44.73</v>
      </c>
    </row>
    <row r="85" ht="19" customHeight="1">
      <c r="A85" s="6" t="inlineStr">
        <is>
          <t>2016-12-01</t>
        </is>
      </c>
      <c r="B85" s="10" t="n">
        <v>2016</v>
      </c>
      <c r="C85" s="8" t="n">
        <v>12</v>
      </c>
      <c r="D85" s="8" t="n">
        <v>53.31</v>
      </c>
    </row>
    <row r="86" ht="19" customHeight="1">
      <c r="A86" s="6" t="inlineStr">
        <is>
          <t>2017-01-01</t>
        </is>
      </c>
      <c r="B86" s="10" t="n">
        <v>2017</v>
      </c>
      <c r="C86" s="8" t="n">
        <v>1</v>
      </c>
      <c r="D86" s="8" t="n">
        <v>54.58</v>
      </c>
    </row>
    <row r="87" ht="19" customHeight="1">
      <c r="A87" s="6" t="inlineStr">
        <is>
          <t>2017-02-01</t>
        </is>
      </c>
      <c r="B87" s="10" t="n">
        <v>2017</v>
      </c>
      <c r="C87" s="8" t="n">
        <v>2</v>
      </c>
      <c r="D87" s="8" t="n">
        <v>54.87</v>
      </c>
    </row>
    <row r="88" ht="19" customHeight="1">
      <c r="A88" s="6" t="inlineStr">
        <is>
          <t>2017-03-01</t>
        </is>
      </c>
      <c r="B88" s="10" t="n">
        <v>2017</v>
      </c>
      <c r="C88" s="8" t="n">
        <v>3</v>
      </c>
      <c r="D88" s="8" t="n">
        <v>51.59</v>
      </c>
    </row>
    <row r="89" ht="19" customHeight="1">
      <c r="A89" s="6" t="inlineStr">
        <is>
          <t>2017-04-01</t>
        </is>
      </c>
      <c r="B89" s="10" t="n">
        <v>2017</v>
      </c>
      <c r="C89" s="8" t="n">
        <v>4</v>
      </c>
      <c r="D89" s="8" t="n">
        <v>52.31</v>
      </c>
    </row>
    <row r="90" ht="19" customHeight="1">
      <c r="A90" s="6" t="inlineStr">
        <is>
          <t>2017-05-01</t>
        </is>
      </c>
      <c r="B90" s="10" t="n">
        <v>2017</v>
      </c>
      <c r="C90" s="8" t="n">
        <v>5</v>
      </c>
      <c r="D90" s="8" t="n">
        <v>50.33</v>
      </c>
    </row>
    <row r="91" ht="19" customHeight="1">
      <c r="A91" s="6" t="inlineStr">
        <is>
          <t>2017-06-01</t>
        </is>
      </c>
      <c r="B91" s="10" t="n">
        <v>2017</v>
      </c>
      <c r="C91" s="8" t="n">
        <v>6</v>
      </c>
      <c r="D91" s="8" t="n">
        <v>46.37</v>
      </c>
    </row>
    <row r="92" ht="19" customHeight="1">
      <c r="A92" s="6" t="inlineStr">
        <is>
          <t>2017-07-01</t>
        </is>
      </c>
      <c r="B92" s="10" t="n">
        <v>2017</v>
      </c>
      <c r="C92" s="8" t="n">
        <v>7</v>
      </c>
      <c r="D92" s="8" t="n">
        <v>48.48</v>
      </c>
    </row>
    <row r="93" ht="19" customHeight="1">
      <c r="A93" s="6" t="inlineStr">
        <is>
          <t>2017-08-01</t>
        </is>
      </c>
      <c r="B93" s="10" t="n">
        <v>2017</v>
      </c>
      <c r="C93" s="8" t="n">
        <v>8</v>
      </c>
      <c r="D93" s="8" t="n">
        <v>51.7</v>
      </c>
    </row>
    <row r="94" ht="19" customHeight="1">
      <c r="A94" s="6" t="inlineStr">
        <is>
          <t>2017-09-01</t>
        </is>
      </c>
      <c r="B94" s="10" t="n">
        <v>2017</v>
      </c>
      <c r="C94" s="8" t="n">
        <v>9</v>
      </c>
      <c r="D94" s="8" t="n">
        <v>56.15</v>
      </c>
    </row>
    <row r="95" ht="19" customHeight="1">
      <c r="A95" s="6" t="inlineStr">
        <is>
          <t>2017-10-01</t>
        </is>
      </c>
      <c r="B95" s="10" t="n">
        <v>2017</v>
      </c>
      <c r="C95" s="8" t="n">
        <v>10</v>
      </c>
      <c r="D95" s="8" t="n">
        <v>57.51</v>
      </c>
    </row>
    <row r="96" ht="19" customHeight="1">
      <c r="A96" s="6" t="inlineStr">
        <is>
          <t>2017-11-01</t>
        </is>
      </c>
      <c r="B96" s="10" t="n">
        <v>2017</v>
      </c>
      <c r="C96" s="8" t="n">
        <v>11</v>
      </c>
      <c r="D96" s="8" t="n">
        <v>62.71</v>
      </c>
    </row>
    <row r="97" ht="19" customHeight="1">
      <c r="A97" s="6" t="inlineStr">
        <is>
          <t>2017-12-01</t>
        </is>
      </c>
      <c r="B97" s="10" t="n">
        <v>2017</v>
      </c>
      <c r="C97" s="8" t="n">
        <v>12</v>
      </c>
      <c r="D97" s="8" t="n">
        <v>64.37</v>
      </c>
    </row>
    <row r="98" ht="19" customHeight="1">
      <c r="A98" s="6" t="inlineStr">
        <is>
          <t>2018-01-01</t>
        </is>
      </c>
      <c r="B98" s="10" t="n">
        <v>2018</v>
      </c>
      <c r="C98" s="8" t="n">
        <v>1</v>
      </c>
      <c r="D98" s="8" t="n">
        <v>69.08</v>
      </c>
    </row>
    <row r="99" ht="19" customHeight="1">
      <c r="A99" s="6" t="inlineStr">
        <is>
          <t>2018-02-01</t>
        </is>
      </c>
      <c r="B99" s="10" t="n">
        <v>2018</v>
      </c>
      <c r="C99" s="8" t="n">
        <v>2</v>
      </c>
      <c r="D99" s="8" t="n">
        <v>65.31999999999999</v>
      </c>
    </row>
    <row r="100" ht="19" customHeight="1">
      <c r="A100" s="6" t="inlineStr">
        <is>
          <t>2018-03-01</t>
        </is>
      </c>
      <c r="B100" s="10" t="n">
        <v>2018</v>
      </c>
      <c r="C100" s="8" t="n">
        <v>3</v>
      </c>
      <c r="D100" s="8" t="n">
        <v>66.02</v>
      </c>
    </row>
    <row r="101" ht="19" customHeight="1">
      <c r="A101" s="6" t="inlineStr">
        <is>
          <t>2018-04-01</t>
        </is>
      </c>
      <c r="B101" s="10" t="n">
        <v>2018</v>
      </c>
      <c r="C101" s="8" t="n">
        <v>4</v>
      </c>
      <c r="D101" s="8" t="n">
        <v>72.11</v>
      </c>
    </row>
    <row r="102" ht="19" customHeight="1">
      <c r="A102" s="6" t="inlineStr">
        <is>
          <t>2018-05-01</t>
        </is>
      </c>
      <c r="B102" s="10" t="n">
        <v>2018</v>
      </c>
      <c r="C102" s="8" t="n">
        <v>5</v>
      </c>
      <c r="D102" s="8" t="n">
        <v>76.98</v>
      </c>
    </row>
    <row r="103" ht="19" customHeight="1">
      <c r="A103" s="6" t="inlineStr">
        <is>
          <t>2018-06-01</t>
        </is>
      </c>
      <c r="B103" s="10" t="n">
        <v>2018</v>
      </c>
      <c r="C103" s="8" t="n">
        <v>6</v>
      </c>
      <c r="D103" s="8" t="n">
        <v>74.41</v>
      </c>
    </row>
    <row r="104" ht="19" customHeight="1">
      <c r="A104" s="6" t="inlineStr">
        <is>
          <t>2018-07-01</t>
        </is>
      </c>
      <c r="B104" s="10" t="n">
        <v>2018</v>
      </c>
      <c r="C104" s="8" t="n">
        <v>7</v>
      </c>
      <c r="D104" s="8" t="n">
        <v>74.25</v>
      </c>
    </row>
    <row r="105" ht="19" customHeight="1">
      <c r="A105" s="6" t="inlineStr">
        <is>
          <t>2018-08-01</t>
        </is>
      </c>
      <c r="B105" s="10" t="n">
        <v>2018</v>
      </c>
      <c r="C105" s="8" t="n">
        <v>8</v>
      </c>
      <c r="D105" s="8" t="n">
        <v>72.53</v>
      </c>
    </row>
    <row r="106" ht="19" customHeight="1">
      <c r="A106" s="6" t="inlineStr">
        <is>
          <t>2018-09-01</t>
        </is>
      </c>
      <c r="B106" s="10" t="n">
        <v>2018</v>
      </c>
      <c r="C106" s="8" t="n">
        <v>9</v>
      </c>
      <c r="D106" s="8" t="n">
        <v>78.89</v>
      </c>
    </row>
    <row r="107" ht="19" customHeight="1">
      <c r="A107" s="6" t="inlineStr">
        <is>
          <t>2018-10-01</t>
        </is>
      </c>
      <c r="B107" s="10" t="n">
        <v>2018</v>
      </c>
      <c r="C107" s="8" t="n">
        <v>10</v>
      </c>
      <c r="D107" s="8" t="n">
        <v>81.03</v>
      </c>
    </row>
    <row r="108" ht="19" customHeight="1">
      <c r="A108" s="6" t="inlineStr">
        <is>
          <t>2018-11-01</t>
        </is>
      </c>
      <c r="B108" s="10" t="n">
        <v>2018</v>
      </c>
      <c r="C108" s="8" t="n">
        <v>11</v>
      </c>
      <c r="D108" s="8" t="n">
        <v>64.75</v>
      </c>
    </row>
    <row r="109" ht="19" customHeight="1">
      <c r="A109" s="6" t="inlineStr">
        <is>
          <t>2018-12-01</t>
        </is>
      </c>
      <c r="B109" s="10" t="n">
        <v>2018</v>
      </c>
      <c r="C109" s="8" t="n">
        <v>12</v>
      </c>
      <c r="D109" s="8" t="n">
        <v>57.36</v>
      </c>
    </row>
    <row r="110" ht="19" customHeight="1">
      <c r="A110" s="6" t="inlineStr">
        <is>
          <t>2019-01-01</t>
        </is>
      </c>
      <c r="B110" s="10" t="n">
        <v>2019</v>
      </c>
      <c r="C110" s="8" t="n">
        <v>1</v>
      </c>
      <c r="D110" s="8" t="n">
        <v>59.41</v>
      </c>
    </row>
    <row r="111" ht="19" customHeight="1">
      <c r="A111" s="6" t="inlineStr">
        <is>
          <t>2019-02-01</t>
        </is>
      </c>
      <c r="B111" s="10" t="n">
        <v>2019</v>
      </c>
      <c r="C111" s="8" t="n">
        <v>2</v>
      </c>
      <c r="D111" s="8" t="n">
        <v>63.96</v>
      </c>
    </row>
    <row r="112" ht="19" customHeight="1">
      <c r="A112" s="6" t="inlineStr">
        <is>
          <t>2019-03-01</t>
        </is>
      </c>
      <c r="B112" s="10" t="n">
        <v>2019</v>
      </c>
      <c r="C112" s="8" t="n">
        <v>3</v>
      </c>
      <c r="D112" s="8" t="n">
        <v>66.14</v>
      </c>
    </row>
    <row r="113" ht="19" customHeight="1">
      <c r="A113" s="6" t="inlineStr">
        <is>
          <t>2019-04-01</t>
        </is>
      </c>
      <c r="B113" s="10" t="n">
        <v>2019</v>
      </c>
      <c r="C113" s="8" t="n">
        <v>4</v>
      </c>
      <c r="D113" s="8" t="n">
        <v>71.23</v>
      </c>
    </row>
    <row r="114" ht="19" customHeight="1">
      <c r="A114" s="6" t="inlineStr">
        <is>
          <t>2019-05-01</t>
        </is>
      </c>
      <c r="B114" s="10" t="n">
        <v>2019</v>
      </c>
      <c r="C114" s="8" t="n">
        <v>5</v>
      </c>
      <c r="D114" s="8" t="n">
        <v>71.31999999999999</v>
      </c>
    </row>
    <row r="115" ht="19" customHeight="1">
      <c r="A115" s="6" t="inlineStr">
        <is>
          <t>2019-06-01</t>
        </is>
      </c>
      <c r="B115" s="10" t="n">
        <v>2019</v>
      </c>
      <c r="C115" s="8" t="n">
        <v>6</v>
      </c>
      <c r="D115" s="8" t="n">
        <v>64.22</v>
      </c>
    </row>
    <row r="116" ht="19" customHeight="1">
      <c r="A116" s="6" t="inlineStr">
        <is>
          <t>2019-07-01</t>
        </is>
      </c>
      <c r="B116" s="10" t="n">
        <v>2019</v>
      </c>
      <c r="C116" s="8" t="n">
        <v>7</v>
      </c>
      <c r="D116" s="8" t="n">
        <v>63.92</v>
      </c>
    </row>
    <row r="117" ht="19" customHeight="1">
      <c r="A117" s="6" t="inlineStr">
        <is>
          <t>2019-08-01</t>
        </is>
      </c>
      <c r="B117" s="10" t="n">
        <v>2019</v>
      </c>
      <c r="C117" s="8" t="n">
        <v>8</v>
      </c>
      <c r="D117" s="8" t="n">
        <v>59.04</v>
      </c>
    </row>
    <row r="118" ht="19" customHeight="1">
      <c r="A118" s="6" t="inlineStr">
        <is>
          <t>2019-09-01</t>
        </is>
      </c>
      <c r="B118" s="10" t="n">
        <v>2019</v>
      </c>
      <c r="C118" s="8" t="n">
        <v>9</v>
      </c>
      <c r="D118" s="8" t="n">
        <v>62.83</v>
      </c>
    </row>
    <row r="119" ht="19" customHeight="1">
      <c r="A119" s="6" t="inlineStr">
        <is>
          <t>2019-10-01</t>
        </is>
      </c>
      <c r="B119" s="10" t="n">
        <v>2019</v>
      </c>
      <c r="C119" s="8" t="n">
        <v>10</v>
      </c>
      <c r="D119" s="8" t="n">
        <v>59.71</v>
      </c>
    </row>
    <row r="120" ht="19" customHeight="1">
      <c r="A120" s="6" t="inlineStr">
        <is>
          <t>2019-11-01</t>
        </is>
      </c>
      <c r="B120" s="10" t="n">
        <v>2019</v>
      </c>
      <c r="C120" s="8" t="n">
        <v>11</v>
      </c>
      <c r="D120" s="8" t="n">
        <v>63.21</v>
      </c>
    </row>
    <row r="121" ht="19" customHeight="1">
      <c r="A121" s="6" t="inlineStr">
        <is>
          <t>2019-12-01</t>
        </is>
      </c>
      <c r="B121" s="10" t="n">
        <v>2019</v>
      </c>
      <c r="C121" s="8" t="n">
        <v>12</v>
      </c>
      <c r="D121" s="8" t="n">
        <v>67.31</v>
      </c>
    </row>
    <row r="122" ht="19" customHeight="1">
      <c r="A122" s="6" t="inlineStr">
        <is>
          <t>2020-01-01</t>
        </is>
      </c>
      <c r="B122" s="10" t="n">
        <v>2020</v>
      </c>
      <c r="C122" s="8" t="n">
        <v>1</v>
      </c>
      <c r="D122" s="8" t="n">
        <v>63.65</v>
      </c>
    </row>
    <row r="123" ht="19" customHeight="1">
      <c r="A123" s="6" t="inlineStr">
        <is>
          <t>2020-02-01</t>
        </is>
      </c>
      <c r="B123" s="10" t="n">
        <v>2020</v>
      </c>
      <c r="C123" s="8" t="n">
        <v>2</v>
      </c>
      <c r="D123" s="8" t="n">
        <v>55.66</v>
      </c>
    </row>
    <row r="124" ht="19" customHeight="1">
      <c r="A124" s="6" t="inlineStr">
        <is>
          <t>2020-03-01</t>
        </is>
      </c>
      <c r="B124" s="10" t="n">
        <v>2020</v>
      </c>
      <c r="C124" s="8" t="n">
        <v>3</v>
      </c>
      <c r="D124" s="8" t="n">
        <v>32.01</v>
      </c>
    </row>
    <row r="125" ht="19" customHeight="1">
      <c r="A125" s="6" t="inlineStr">
        <is>
          <t>2020-04-01</t>
        </is>
      </c>
      <c r="B125" s="10" t="n">
        <v>2020</v>
      </c>
      <c r="C125" s="8" t="n">
        <v>4</v>
      </c>
      <c r="D125" s="8" t="n">
        <v>18.38</v>
      </c>
    </row>
    <row r="126" ht="19" customHeight="1">
      <c r="A126" s="6" t="inlineStr">
        <is>
          <t>2020-05-01</t>
        </is>
      </c>
      <c r="B126" s="10" t="n">
        <v>2020</v>
      </c>
      <c r="C126" s="8" t="n">
        <v>5</v>
      </c>
      <c r="D126" s="8" t="n">
        <v>29.38</v>
      </c>
    </row>
    <row r="127" ht="19" customHeight="1">
      <c r="A127" s="6" t="inlineStr">
        <is>
          <t>2020-06-01</t>
        </is>
      </c>
      <c r="B127" s="10" t="n">
        <v>2020</v>
      </c>
      <c r="C127" s="8" t="n">
        <v>6</v>
      </c>
      <c r="D127" s="8" t="n">
        <v>40.27</v>
      </c>
    </row>
    <row r="128" ht="19" customHeight="1">
      <c r="A128" s="6" t="inlineStr">
        <is>
          <t>2020-07-01</t>
        </is>
      </c>
      <c r="B128" s="10" t="n">
        <v>2020</v>
      </c>
      <c r="C128" s="8" t="n">
        <v>7</v>
      </c>
      <c r="D128" s="8" t="n">
        <v>43.24</v>
      </c>
    </row>
    <row r="129" ht="19" customHeight="1">
      <c r="A129" s="6" t="inlineStr">
        <is>
          <t>2020-08-01</t>
        </is>
      </c>
      <c r="B129" s="10" t="n">
        <v>2020</v>
      </c>
      <c r="C129" s="8" t="n">
        <v>8</v>
      </c>
      <c r="D129" s="8" t="n">
        <v>44.74</v>
      </c>
    </row>
    <row r="130" ht="19" customHeight="1">
      <c r="A130" s="6" t="inlineStr">
        <is>
          <t>2020-09-01</t>
        </is>
      </c>
      <c r="B130" s="10" t="n">
        <v>2020</v>
      </c>
      <c r="C130" s="8" t="n">
        <v>9</v>
      </c>
      <c r="D130" s="8" t="n">
        <v>40.91</v>
      </c>
    </row>
    <row r="131" ht="19" customHeight="1">
      <c r="A131" s="6" t="inlineStr">
        <is>
          <t>2020-10-01</t>
        </is>
      </c>
      <c r="B131" s="10" t="n">
        <v>2020</v>
      </c>
      <c r="C131" s="8" t="n">
        <v>10</v>
      </c>
      <c r="D131" s="8" t="n">
        <v>40.19</v>
      </c>
    </row>
    <row r="132" ht="19" customHeight="1">
      <c r="A132" s="6" t="inlineStr">
        <is>
          <t>2020-11-01</t>
        </is>
      </c>
      <c r="B132" s="10" t="n">
        <v>2020</v>
      </c>
      <c r="C132" s="8" t="n">
        <v>11</v>
      </c>
      <c r="D132" s="8" t="n">
        <v>42.69</v>
      </c>
    </row>
    <row r="133" ht="19" customHeight="1">
      <c r="A133" s="6" t="inlineStr">
        <is>
          <t>2020-12-01</t>
        </is>
      </c>
      <c r="B133" s="10" t="n">
        <v>2020</v>
      </c>
      <c r="C133" s="8" t="n">
        <v>12</v>
      </c>
      <c r="D133" s="8" t="n">
        <v>49.99</v>
      </c>
    </row>
    <row r="134" ht="19" customHeight="1">
      <c r="A134" s="6" t="inlineStr">
        <is>
          <t>2021-01-01</t>
        </is>
      </c>
      <c r="B134" s="10" t="n">
        <v>2021</v>
      </c>
      <c r="C134" s="8" t="n">
        <v>1</v>
      </c>
      <c r="D134" s="8" t="n">
        <v>54.77</v>
      </c>
    </row>
    <row r="135" ht="19" customHeight="1">
      <c r="A135" s="6" t="inlineStr">
        <is>
          <t>2021-02-01</t>
        </is>
      </c>
      <c r="B135" s="10" t="n">
        <v>2021</v>
      </c>
      <c r="C135" s="8" t="n">
        <v>2</v>
      </c>
      <c r="D135" s="8" t="n">
        <v>62.28</v>
      </c>
    </row>
    <row r="136" ht="19" customHeight="1">
      <c r="A136" s="6" t="inlineStr">
        <is>
          <t>2021-03-01</t>
        </is>
      </c>
      <c r="B136" s="10" t="n">
        <v>2021</v>
      </c>
      <c r="C136" s="8" t="n">
        <v>3</v>
      </c>
      <c r="D136" s="8" t="n">
        <v>65.41</v>
      </c>
    </row>
    <row r="137" ht="19" customHeight="1">
      <c r="A137" s="6" t="inlineStr">
        <is>
          <t>2021-04-01</t>
        </is>
      </c>
      <c r="B137" s="10" t="n">
        <v>2021</v>
      </c>
      <c r="C137" s="8" t="n">
        <v>4</v>
      </c>
      <c r="D137" s="8" t="n">
        <v>64.81</v>
      </c>
    </row>
    <row r="138" ht="19" customHeight="1">
      <c r="A138" s="6" t="inlineStr">
        <is>
          <t>2021-05-01</t>
        </is>
      </c>
      <c r="B138" s="10" t="n">
        <v>2021</v>
      </c>
      <c r="C138" s="8" t="n">
        <v>5</v>
      </c>
      <c r="D138" s="8" t="n">
        <v>68.53</v>
      </c>
    </row>
    <row r="139" ht="19" customHeight="1">
      <c r="A139" s="6" t="inlineStr">
        <is>
          <t>2021-06-01</t>
        </is>
      </c>
      <c r="B139" s="10" t="n">
        <v>2021</v>
      </c>
      <c r="C139" s="8" t="n">
        <v>6</v>
      </c>
      <c r="D139" s="8" t="n">
        <v>73.16</v>
      </c>
    </row>
    <row r="140" ht="19" customHeight="1">
      <c r="A140" s="6" t="inlineStr">
        <is>
          <t>2021-07-01</t>
        </is>
      </c>
      <c r="B140" s="10" t="n">
        <v>2021</v>
      </c>
      <c r="C140" s="8" t="n">
        <v>7</v>
      </c>
      <c r="D140" s="8" t="n">
        <v>75.17</v>
      </c>
    </row>
    <row r="141" ht="19" customHeight="1">
      <c r="A141" s="6" t="inlineStr">
        <is>
          <t>2021-08-01</t>
        </is>
      </c>
      <c r="B141" s="10" t="n">
        <v>2021</v>
      </c>
      <c r="C141" s="8" t="n">
        <v>8</v>
      </c>
      <c r="D141" s="8" t="n">
        <v>70.75</v>
      </c>
    </row>
    <row r="142" ht="19" customHeight="1">
      <c r="A142" s="6" t="inlineStr">
        <is>
          <t>2021-09-01</t>
        </is>
      </c>
      <c r="B142" s="10" t="n">
        <v>2021</v>
      </c>
      <c r="C142" s="8" t="n">
        <v>9</v>
      </c>
      <c r="D142" s="8" t="n">
        <v>74.48999999999999</v>
      </c>
    </row>
    <row r="143" ht="19" customHeight="1">
      <c r="A143" s="6" t="inlineStr">
        <is>
          <t>2021-10-01</t>
        </is>
      </c>
      <c r="B143" s="10" t="n">
        <v>2021</v>
      </c>
      <c r="C143" s="8" t="n">
        <v>10</v>
      </c>
      <c r="D143" s="8" t="n">
        <v>83.54000000000001</v>
      </c>
    </row>
    <row r="144" ht="19" customHeight="1">
      <c r="A144" s="6" t="inlineStr">
        <is>
          <t>2021-11-01</t>
        </is>
      </c>
      <c r="B144" s="10" t="n">
        <v>2021</v>
      </c>
      <c r="C144" s="8" t="n">
        <v>11</v>
      </c>
      <c r="D144" s="8" t="n">
        <v>81.05</v>
      </c>
    </row>
    <row r="145" ht="19" customHeight="1">
      <c r="A145" s="6" t="inlineStr">
        <is>
          <t>2021-12-01</t>
        </is>
      </c>
      <c r="B145" s="10" t="n">
        <v>2021</v>
      </c>
      <c r="C145" s="8" t="n">
        <v>12</v>
      </c>
      <c r="D145" s="8" t="n">
        <v>74.17</v>
      </c>
    </row>
    <row r="146" ht="19" customHeight="1">
      <c r="A146" s="6" t="inlineStr">
        <is>
          <t>2022-01-01</t>
        </is>
      </c>
      <c r="B146" s="10" t="n">
        <v>2022</v>
      </c>
      <c r="C146" s="8" t="n">
        <v>1</v>
      </c>
      <c r="D146" s="8" t="n">
        <v>86.51000000000001</v>
      </c>
    </row>
    <row r="147" ht="19" customHeight="1">
      <c r="A147" s="6" t="inlineStr">
        <is>
          <t>2022-02-01</t>
        </is>
      </c>
      <c r="B147" s="10" t="n">
        <v>2022</v>
      </c>
      <c r="C147" s="8" t="n">
        <v>2</v>
      </c>
      <c r="D147" s="8" t="n">
        <v>97.13</v>
      </c>
    </row>
    <row r="148" ht="19" customHeight="1">
      <c r="A148" s="6" t="inlineStr">
        <is>
          <t>2022-03-01</t>
        </is>
      </c>
      <c r="B148" s="10" t="n">
        <v>2022</v>
      </c>
      <c r="C148" s="8" t="n">
        <v>3</v>
      </c>
      <c r="D148" s="8" t="n">
        <v>117.25</v>
      </c>
    </row>
    <row r="149" ht="19" customHeight="1">
      <c r="A149" s="6" t="inlineStr">
        <is>
          <t>2022-04-01</t>
        </is>
      </c>
      <c r="B149" s="10" t="n">
        <v>2022</v>
      </c>
      <c r="C149" s="8" t="n">
        <v>4</v>
      </c>
      <c r="D149" s="8" t="n">
        <v>104.58</v>
      </c>
    </row>
    <row r="150" ht="19" customHeight="1">
      <c r="A150" s="6" t="inlineStr">
        <is>
          <t>2022-05-01</t>
        </is>
      </c>
      <c r="B150" s="10" t="n">
        <v>2022</v>
      </c>
      <c r="C150" s="8" t="n">
        <v>5</v>
      </c>
      <c r="D150" s="8" t="n">
        <v>113.34</v>
      </c>
    </row>
    <row r="151" ht="19" customHeight="1">
      <c r="A151" s="6" t="inlineStr">
        <is>
          <t>2022-06-01</t>
        </is>
      </c>
      <c r="B151" s="10" t="n">
        <v>2022</v>
      </c>
      <c r="C151" s="8" t="n">
        <v>6</v>
      </c>
      <c r="D151" s="8" t="n">
        <v>122.71</v>
      </c>
    </row>
    <row r="152" ht="19" customHeight="1">
      <c r="A152" s="6" t="inlineStr">
        <is>
          <t>2022-07-01</t>
        </is>
      </c>
      <c r="B152" s="10" t="n">
        <v>2022</v>
      </c>
      <c r="C152" s="8" t="n">
        <v>7</v>
      </c>
      <c r="D152" s="8" t="n">
        <v>111.93</v>
      </c>
    </row>
    <row r="153" ht="19" customHeight="1">
      <c r="A153" s="6" t="inlineStr">
        <is>
          <t>2022-08-01</t>
        </is>
      </c>
      <c r="B153" s="10" t="n">
        <v>2022</v>
      </c>
      <c r="C153" s="8" t="n">
        <v>8</v>
      </c>
      <c r="D153" s="8" t="n">
        <v>100.45</v>
      </c>
    </row>
    <row r="154" ht="19" customHeight="1">
      <c r="A154" s="6" t="inlineStr">
        <is>
          <t>2022-09-01</t>
        </is>
      </c>
      <c r="B154" s="10" t="n">
        <v>2022</v>
      </c>
      <c r="C154" s="8" t="n">
        <v>9</v>
      </c>
      <c r="D154" s="8" t="n">
        <v>89.76000000000001</v>
      </c>
    </row>
    <row r="155" ht="19" customHeight="1">
      <c r="A155" s="6" t="inlineStr">
        <is>
          <t>2022-10-01</t>
        </is>
      </c>
      <c r="B155" s="10" t="n">
        <v>2022</v>
      </c>
      <c r="C155" s="8" t="n">
        <v>10</v>
      </c>
      <c r="D155" s="8" t="n">
        <v>93.33</v>
      </c>
    </row>
    <row r="156" ht="19" customHeight="1">
      <c r="A156" s="6" t="inlineStr">
        <is>
          <t>2022-11-01</t>
        </is>
      </c>
      <c r="B156" s="10" t="n">
        <v>2022</v>
      </c>
      <c r="C156" s="8" t="n">
        <v>11</v>
      </c>
      <c r="D156" s="8" t="n">
        <v>91.42</v>
      </c>
    </row>
    <row r="157" ht="19" customHeight="1">
      <c r="A157" s="6" t="inlineStr">
        <is>
          <t>2022-12-01</t>
        </is>
      </c>
      <c r="B157" s="10" t="n">
        <v>2022</v>
      </c>
      <c r="C157" s="8" t="n">
        <v>12</v>
      </c>
      <c r="D157" s="8" t="n">
        <v>80.92</v>
      </c>
    </row>
    <row r="158" ht="19" customHeight="1">
      <c r="A158" s="6" t="inlineStr">
        <is>
          <t>2023-01-01</t>
        </is>
      </c>
      <c r="B158" s="10" t="n">
        <v>2023</v>
      </c>
      <c r="C158" s="8" t="n">
        <v>1</v>
      </c>
      <c r="D158" s="8" t="n">
        <v>82.5</v>
      </c>
    </row>
    <row r="159" ht="19" customHeight="1">
      <c r="A159" s="6" t="inlineStr">
        <is>
          <t>2023-02-01</t>
        </is>
      </c>
      <c r="B159" s="10" t="n">
        <v>2023</v>
      </c>
      <c r="C159" s="8" t="n">
        <v>2</v>
      </c>
      <c r="D159" s="8" t="n">
        <v>82.59</v>
      </c>
    </row>
    <row r="160" ht="19" customHeight="1">
      <c r="A160" s="6" t="inlineStr">
        <is>
          <t>2023-03-01</t>
        </is>
      </c>
      <c r="B160" s="10" t="n">
        <v>2023</v>
      </c>
      <c r="C160" s="8" t="n">
        <v>3</v>
      </c>
      <c r="D160" s="8" t="n">
        <v>78.43000000000001</v>
      </c>
    </row>
    <row r="161" ht="19" customHeight="1">
      <c r="A161" s="6" t="inlineStr">
        <is>
          <t>2023-04-01</t>
        </is>
      </c>
      <c r="B161" s="10" t="n">
        <v>2023</v>
      </c>
      <c r="C161" s="8" t="n">
        <v>4</v>
      </c>
      <c r="D161" s="8" t="n">
        <v>84.64</v>
      </c>
    </row>
    <row r="162" ht="19" customHeight="1">
      <c r="A162" s="6" t="inlineStr">
        <is>
          <t>2023-05-01</t>
        </is>
      </c>
      <c r="B162" s="10" t="n">
        <v>2023</v>
      </c>
      <c r="C162" s="8" t="n">
        <v>5</v>
      </c>
      <c r="D162" s="8" t="n">
        <v>75.47</v>
      </c>
    </row>
    <row r="163" ht="19" customHeight="1">
      <c r="A163" s="6" t="inlineStr">
        <is>
          <t>2023-06-01</t>
        </is>
      </c>
      <c r="B163" s="10" t="n">
        <v>2023</v>
      </c>
      <c r="C163" s="8" t="n">
        <v>6</v>
      </c>
      <c r="D163" s="8" t="n">
        <v>74.84</v>
      </c>
    </row>
    <row r="164" ht="19" customHeight="1">
      <c r="A164" s="6" t="inlineStr">
        <is>
          <t>2023-07-01</t>
        </is>
      </c>
      <c r="B164" s="10" t="n">
        <v>2023</v>
      </c>
      <c r="C164" s="8" t="n">
        <v>7</v>
      </c>
      <c r="D164" s="8" t="n">
        <v>80.11</v>
      </c>
    </row>
    <row r="165" ht="19" customHeight="1">
      <c r="A165" s="6" t="inlineStr">
        <is>
          <t>2023-08-01</t>
        </is>
      </c>
      <c r="B165" s="10" t="n">
        <v>2023</v>
      </c>
      <c r="C165" s="8" t="n">
        <v>8</v>
      </c>
      <c r="D165" s="8" t="n">
        <v>86.15000000000001</v>
      </c>
    </row>
    <row r="166" ht="19" customHeight="1">
      <c r="A166" s="6" t="inlineStr">
        <is>
          <t>2023-09-01</t>
        </is>
      </c>
      <c r="B166" s="10" t="n">
        <v>2023</v>
      </c>
      <c r="C166" s="8" t="n">
        <v>9</v>
      </c>
      <c r="D166" s="8" t="n">
        <v>93.72</v>
      </c>
    </row>
    <row r="167" ht="19" customHeight="1">
      <c r="A167" s="6" t="inlineStr">
        <is>
          <t>2023-10-01</t>
        </is>
      </c>
      <c r="B167" s="10" t="n">
        <v>2023</v>
      </c>
      <c r="C167" s="8" t="n">
        <v>10</v>
      </c>
      <c r="D167" s="8" t="n">
        <v>90.59999999999999</v>
      </c>
    </row>
    <row r="168" ht="19" customHeight="1">
      <c r="A168" s="6" t="inlineStr">
        <is>
          <t>2023-11-01</t>
        </is>
      </c>
      <c r="B168" s="10" t="n">
        <v>2023</v>
      </c>
      <c r="C168" s="8" t="n">
        <v>11</v>
      </c>
      <c r="D168" s="8" t="n">
        <v>82.94</v>
      </c>
    </row>
    <row r="169" ht="19" customHeight="1">
      <c r="A169" s="6" t="inlineStr">
        <is>
          <t>2023-12-01</t>
        </is>
      </c>
      <c r="B169" s="10" t="n">
        <v>2023</v>
      </c>
      <c r="C169" s="8" t="n">
        <v>12</v>
      </c>
      <c r="D169" s="8" t="n">
        <v>77.63</v>
      </c>
    </row>
    <row r="170" ht="19" customHeight="1">
      <c r="A170" s="6" t="inlineStr">
        <is>
          <t>2024-01-01</t>
        </is>
      </c>
      <c r="B170" s="10" t="n">
        <v>2024</v>
      </c>
      <c r="C170" s="8" t="n">
        <v>1</v>
      </c>
      <c r="D170" s="8" t="n">
        <v>80.12</v>
      </c>
    </row>
    <row r="171" ht="19" customHeight="1">
      <c r="A171" s="6" t="inlineStr">
        <is>
          <t>2024-02-01</t>
        </is>
      </c>
      <c r="B171" s="10" t="n">
        <v>2024</v>
      </c>
      <c r="C171" s="8" t="n">
        <v>2</v>
      </c>
      <c r="D171" s="8" t="n">
        <v>83.48</v>
      </c>
    </row>
    <row r="172" ht="19" customHeight="1">
      <c r="A172" s="6" t="inlineStr">
        <is>
          <t>2024-03-01</t>
        </is>
      </c>
      <c r="B172" s="10" t="n">
        <v>2024</v>
      </c>
      <c r="C172" s="8" t="n">
        <v>3</v>
      </c>
      <c r="D172" s="8" t="n">
        <v>85.41</v>
      </c>
    </row>
    <row r="173" ht="19" customHeight="1">
      <c r="A173" s="6" t="inlineStr">
        <is>
          <t>2024-04-01</t>
        </is>
      </c>
      <c r="B173" s="10" t="n">
        <v>2024</v>
      </c>
      <c r="C173" s="8" t="n">
        <v>4</v>
      </c>
      <c r="D173" s="8" t="n">
        <v>89.94</v>
      </c>
    </row>
    <row r="174" ht="19" customHeight="1">
      <c r="A174" s="6" t="inlineStr">
        <is>
          <t>2024-05-01</t>
        </is>
      </c>
      <c r="B174" s="10" t="n">
        <v>2024</v>
      </c>
      <c r="C174" s="8" t="n">
        <v>5</v>
      </c>
      <c r="D174" s="8" t="n">
        <v>81.75</v>
      </c>
    </row>
    <row r="175" ht="19" customHeight="1">
      <c r="A175" s="6" t="inlineStr">
        <is>
          <t>2024-06-01</t>
        </is>
      </c>
      <c r="B175" s="10" t="n">
        <v>2024</v>
      </c>
      <c r="C175" s="8" t="n">
        <v>6</v>
      </c>
      <c r="D175" s="8" t="n">
        <v>82.25</v>
      </c>
    </row>
    <row r="176" ht="19" customHeight="1">
      <c r="A176" s="6" t="inlineStr">
        <is>
          <t>2024-07-01</t>
        </is>
      </c>
      <c r="B176" s="10" t="n">
        <v>2024</v>
      </c>
      <c r="C176" s="8" t="n">
        <v>7</v>
      </c>
      <c r="D176" s="8" t="n">
        <v>85.15000000000001</v>
      </c>
    </row>
    <row r="177" ht="19" customHeight="1">
      <c r="A177" s="6" t="inlineStr">
        <is>
          <t>2024-08-01</t>
        </is>
      </c>
      <c r="B177" s="10" t="n">
        <v>2024</v>
      </c>
      <c r="C177" s="8" t="n">
        <v>8</v>
      </c>
      <c r="D177" s="8" t="n">
        <v>80.36</v>
      </c>
    </row>
    <row r="178" ht="19" customHeight="1">
      <c r="A178" s="6" t="inlineStr">
        <is>
          <t>2024-09-01</t>
        </is>
      </c>
      <c r="B178" s="10" t="n">
        <v>2024</v>
      </c>
      <c r="C178" s="8" t="n">
        <v>9</v>
      </c>
      <c r="D178" s="8" t="n">
        <v>74.02</v>
      </c>
    </row>
    <row r="179" ht="19" customHeight="1">
      <c r="A179" s="6" t="inlineStr">
        <is>
          <t>2024-10-01</t>
        </is>
      </c>
      <c r="B179" s="10" t="n">
        <v>2024</v>
      </c>
      <c r="C179" s="8" t="n">
        <v>10</v>
      </c>
      <c r="D179" s="8" t="n">
        <v>75.63</v>
      </c>
    </row>
    <row r="180" ht="19" customHeight="1">
      <c r="A180" s="6" t="inlineStr">
        <is>
          <t>2024-11-01</t>
        </is>
      </c>
      <c r="B180" s="10" t="n">
        <v>2024</v>
      </c>
      <c r="C180" s="8" t="n">
        <v>11</v>
      </c>
      <c r="D180" s="8" t="n">
        <v>74.34999999999999</v>
      </c>
    </row>
    <row r="181" ht="19" customHeight="1">
      <c r="A181" s="6" t="inlineStr">
        <is>
          <t>2024-12-01</t>
        </is>
      </c>
      <c r="B181" s="10" t="n">
        <v>2024</v>
      </c>
      <c r="C181" s="8" t="n">
        <v>12</v>
      </c>
      <c r="D181" s="8" t="n">
        <v>73.86</v>
      </c>
    </row>
    <row r="182" ht="19" customHeight="1">
      <c r="A182" s="6" t="inlineStr">
        <is>
          <t>2025-01-01</t>
        </is>
      </c>
      <c r="B182" s="10" t="n">
        <v>2025</v>
      </c>
      <c r="C182" s="8" t="n">
        <v>1</v>
      </c>
      <c r="D182" s="8" t="n">
        <v>79.27</v>
      </c>
    </row>
    <row r="183" ht="19" customHeight="1">
      <c r="A183" s="6" t="inlineStr">
        <is>
          <t>2025-02-01</t>
        </is>
      </c>
      <c r="B183" s="10" t="n">
        <v>2025</v>
      </c>
      <c r="C183" s="8" t="n">
        <v>2</v>
      </c>
      <c r="D183" s="8" t="n">
        <v>75.44</v>
      </c>
    </row>
    <row r="184" ht="19" customHeight="1">
      <c r="A184" s="6" t="inlineStr">
        <is>
          <t>2025-03-01</t>
        </is>
      </c>
      <c r="B184" s="10" t="n">
        <v>2025</v>
      </c>
      <c r="C184" s="8" t="n">
        <v>3</v>
      </c>
      <c r="D184" s="8" t="n">
        <v>72.73</v>
      </c>
    </row>
    <row r="185" ht="19" customHeight="1">
      <c r="A185" s="6" t="inlineStr">
        <is>
          <t>2025-04-01</t>
        </is>
      </c>
      <c r="B185" s="10" t="n">
        <v>2025</v>
      </c>
      <c r="C185" s="8" t="n">
        <v>4</v>
      </c>
      <c r="D185" s="8" t="n">
        <v>68.13</v>
      </c>
    </row>
    <row r="186" ht="19" customHeight="1">
      <c r="A186" s="6" t="inlineStr">
        <is>
          <t>2025-05-01</t>
        </is>
      </c>
      <c r="B186" s="10" t="n">
        <v>2025</v>
      </c>
      <c r="C186" s="8" t="n">
        <v>5</v>
      </c>
      <c r="D186" s="8" t="n">
        <v>64.45</v>
      </c>
    </row>
    <row r="187" ht="19" customHeight="1">
      <c r="A187" s="6" t="inlineStr">
        <is>
          <t>2025-06-01</t>
        </is>
      </c>
      <c r="B187" s="10" t="n">
        <v>2025</v>
      </c>
      <c r="C187" s="8" t="n">
        <v>6</v>
      </c>
      <c r="D187" s="8" t="n">
        <v>71.44</v>
      </c>
    </row>
    <row r="188" ht="19" customHeight="1">
      <c r="A188" s="6" t="inlineStr">
        <is>
          <t>2025-07-01</t>
        </is>
      </c>
      <c r="B188" s="10" t="n">
        <v>2025</v>
      </c>
      <c r="C188" s="8" t="n">
        <v>7</v>
      </c>
      <c r="D188" s="8" t="n">
        <v>71.04000000000001</v>
      </c>
    </row>
    <row r="189" ht="19" customHeight="1">
      <c r="A189" s="6" t="inlineStr">
        <is>
          <t>2025-08-01</t>
        </is>
      </c>
      <c r="B189" s="10" t="n">
        <v>2025</v>
      </c>
      <c r="C189" s="8" t="n">
        <v>8</v>
      </c>
      <c r="D189" s="8" t="n">
        <v>67.87</v>
      </c>
    </row>
    <row r="190" ht="19" customHeight="1">
      <c r="A190" s="6" t="inlineStr">
        <is>
          <t>2025-09-01</t>
        </is>
      </c>
      <c r="B190" s="10" t="n">
        <v>2025</v>
      </c>
      <c r="C190" s="8" t="n">
        <v>9</v>
      </c>
      <c r="D190" s="8" t="n">
        <v>67.98999999999999</v>
      </c>
    </row>
    <row r="191" ht="19" customHeight="1">
      <c r="A191" s="6" t="inlineStr">
        <is>
          <t>2025-10-01</t>
        </is>
      </c>
      <c r="B191" s="10" t="n">
        <v>2025</v>
      </c>
      <c r="C191" s="8" t="n">
        <v>10</v>
      </c>
      <c r="D191" s="8" t="n">
        <v>64.54000000000001</v>
      </c>
    </row>
    <row r="192" ht="19" customHeight="1">
      <c r="A192" s="6" t="inlineStr">
        <is>
          <t>2025-11-01</t>
        </is>
      </c>
      <c r="B192" s="10" t="n">
        <v>2025</v>
      </c>
      <c r="C192" s="8" t="n">
        <v>11</v>
      </c>
      <c r="D192" s="8" t="n">
        <v>63.8</v>
      </c>
    </row>
    <row r="193" ht="19" customHeight="1">
      <c r="A193" s="6" t="inlineStr">
        <is>
          <t>2025-12-01</t>
        </is>
      </c>
      <c r="B193" s="10" t="n">
        <v>2025</v>
      </c>
      <c r="C193" s="8" t="n">
        <v>12</v>
      </c>
      <c r="D193" s="8" t="n">
        <v>62.54</v>
      </c>
    </row>
  </sheetData>
  <autoFilter ref="A1:D19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J1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</cols>
  <sheetData>
    <row r="1" ht="26" customHeight="1">
      <c r="A1" s="5" t="inlineStr">
        <is>
          <t>country</t>
        </is>
      </c>
      <c r="B1" s="5" t="inlineStr">
        <is>
          <t>2010 Q1</t>
        </is>
      </c>
      <c r="C1" s="5" t="inlineStr">
        <is>
          <t>2010 Q2</t>
        </is>
      </c>
      <c r="D1" s="5" t="inlineStr">
        <is>
          <t>2010 Q3</t>
        </is>
      </c>
      <c r="E1" s="5" t="inlineStr">
        <is>
          <t>2010 Q4</t>
        </is>
      </c>
      <c r="F1" s="5" t="inlineStr">
        <is>
          <t>2011 Q1</t>
        </is>
      </c>
      <c r="G1" s="5" t="inlineStr">
        <is>
          <t>2011 Q2</t>
        </is>
      </c>
      <c r="H1" s="5" t="inlineStr">
        <is>
          <t>2011 Q3</t>
        </is>
      </c>
      <c r="I1" s="5" t="inlineStr">
        <is>
          <t>2011 Q4</t>
        </is>
      </c>
      <c r="J1" s="5" t="inlineStr">
        <is>
          <t>2012 Q1</t>
        </is>
      </c>
      <c r="K1" s="5" t="inlineStr">
        <is>
          <t>2012 Q2</t>
        </is>
      </c>
      <c r="L1" s="5" t="inlineStr">
        <is>
          <t>2012 Q3</t>
        </is>
      </c>
      <c r="M1" s="5" t="inlineStr">
        <is>
          <t>2012 Q4</t>
        </is>
      </c>
      <c r="N1" s="5" t="inlineStr">
        <is>
          <t>2013 Q1</t>
        </is>
      </c>
      <c r="O1" s="5" t="inlineStr">
        <is>
          <t>2013 Q2</t>
        </is>
      </c>
      <c r="P1" s="5" t="inlineStr">
        <is>
          <t>2013 Q3</t>
        </is>
      </c>
      <c r="Q1" s="5" t="inlineStr">
        <is>
          <t>2013 Q4</t>
        </is>
      </c>
      <c r="R1" s="5" t="inlineStr">
        <is>
          <t>2014 Q1</t>
        </is>
      </c>
      <c r="S1" s="5" t="inlineStr">
        <is>
          <t>2014 Q2</t>
        </is>
      </c>
      <c r="T1" s="5" t="inlineStr">
        <is>
          <t>2014 Q3</t>
        </is>
      </c>
      <c r="U1" s="5" t="inlineStr">
        <is>
          <t>2014 Q4</t>
        </is>
      </c>
      <c r="V1" s="5" t="inlineStr">
        <is>
          <t>2015 Q1</t>
        </is>
      </c>
      <c r="W1" s="5" t="inlineStr">
        <is>
          <t>2015 Q2</t>
        </is>
      </c>
      <c r="X1" s="5" t="inlineStr">
        <is>
          <t>2015 Q3</t>
        </is>
      </c>
      <c r="Y1" s="5" t="inlineStr">
        <is>
          <t>2015 Q4</t>
        </is>
      </c>
      <c r="Z1" s="5" t="inlineStr">
        <is>
          <t>2016 Q1</t>
        </is>
      </c>
      <c r="AA1" s="5" t="inlineStr">
        <is>
          <t>2016 Q2</t>
        </is>
      </c>
      <c r="AB1" s="5" t="inlineStr">
        <is>
          <t>2016 Q3</t>
        </is>
      </c>
      <c r="AC1" s="5" t="inlineStr">
        <is>
          <t>2016 Q4</t>
        </is>
      </c>
      <c r="AD1" s="5" t="inlineStr">
        <is>
          <t>2017 Q1</t>
        </is>
      </c>
      <c r="AE1" s="5" t="inlineStr">
        <is>
          <t>2017 Q2</t>
        </is>
      </c>
      <c r="AF1" s="5" t="inlineStr">
        <is>
          <t>2017 Q3</t>
        </is>
      </c>
      <c r="AG1" s="5" t="inlineStr">
        <is>
          <t>2017 Q4</t>
        </is>
      </c>
      <c r="AH1" s="5" t="inlineStr">
        <is>
          <t>2018 Q1</t>
        </is>
      </c>
      <c r="AI1" s="5" t="inlineStr">
        <is>
          <t>2018 Q2</t>
        </is>
      </c>
      <c r="AJ1" s="5" t="inlineStr">
        <is>
          <t>2018 Q3</t>
        </is>
      </c>
      <c r="AK1" s="5" t="inlineStr">
        <is>
          <t>2018 Q4</t>
        </is>
      </c>
      <c r="AL1" s="5" t="inlineStr">
        <is>
          <t>2019 Q1</t>
        </is>
      </c>
      <c r="AM1" s="5" t="inlineStr">
        <is>
          <t>2019 Q2</t>
        </is>
      </c>
      <c r="AN1" s="5" t="inlineStr">
        <is>
          <t>2019 Q3</t>
        </is>
      </c>
      <c r="AO1" s="5" t="inlineStr">
        <is>
          <t>2019 Q4</t>
        </is>
      </c>
      <c r="AP1" s="5" t="inlineStr">
        <is>
          <t>2020 Q1</t>
        </is>
      </c>
      <c r="AQ1" s="5" t="inlineStr">
        <is>
          <t>2020 Q2</t>
        </is>
      </c>
      <c r="AR1" s="5" t="inlineStr">
        <is>
          <t>2020 Q3</t>
        </is>
      </c>
      <c r="AS1" s="5" t="inlineStr">
        <is>
          <t>2020 Q4</t>
        </is>
      </c>
      <c r="AT1" s="5" t="inlineStr">
        <is>
          <t>2021 Q1</t>
        </is>
      </c>
      <c r="AU1" s="5" t="inlineStr">
        <is>
          <t>2021 Q2</t>
        </is>
      </c>
      <c r="AV1" s="5" t="inlineStr">
        <is>
          <t>2021 Q3</t>
        </is>
      </c>
      <c r="AW1" s="5" t="inlineStr">
        <is>
          <t>2021 Q4</t>
        </is>
      </c>
      <c r="AX1" s="5" t="inlineStr">
        <is>
          <t>2022 Q1</t>
        </is>
      </c>
      <c r="AY1" s="5" t="inlineStr">
        <is>
          <t>2022 Q2</t>
        </is>
      </c>
      <c r="AZ1" s="5" t="inlineStr">
        <is>
          <t>2022 Q3</t>
        </is>
      </c>
      <c r="BA1" s="5" t="inlineStr">
        <is>
          <t>2022 Q4</t>
        </is>
      </c>
      <c r="BB1" s="5" t="inlineStr">
        <is>
          <t>2023 Q1</t>
        </is>
      </c>
      <c r="BC1" s="5" t="inlineStr">
        <is>
          <t>2023 Q2</t>
        </is>
      </c>
      <c r="BD1" s="5" t="inlineStr">
        <is>
          <t>2023 Q3</t>
        </is>
      </c>
      <c r="BE1" s="5" t="inlineStr">
        <is>
          <t>2023 Q4</t>
        </is>
      </c>
      <c r="BF1" s="5" t="inlineStr">
        <is>
          <t>2024 Q1</t>
        </is>
      </c>
      <c r="BG1" s="5" t="inlineStr">
        <is>
          <t>2024 Q2</t>
        </is>
      </c>
      <c r="BH1" s="5" t="inlineStr">
        <is>
          <t>2024 Q3</t>
        </is>
      </c>
      <c r="BI1" s="5" t="inlineStr">
        <is>
          <t>2024 Q4</t>
        </is>
      </c>
      <c r="BJ1" s="5" t="inlineStr">
        <is>
          <t>2025 Q1</t>
        </is>
      </c>
    </row>
    <row r="2" ht="19" customHeight="1">
      <c r="A2" s="6" t="inlineStr">
        <is>
          <t>Brunei</t>
        </is>
      </c>
      <c r="B2" s="8" t="n">
        <v>99.966474294278</v>
      </c>
      <c r="C2" s="8" t="n">
        <v>99.94719000000001</v>
      </c>
      <c r="D2" s="8" t="n">
        <v>99.88317000000001</v>
      </c>
      <c r="E2" s="8" t="n">
        <v>100.020056666667</v>
      </c>
      <c r="F2" s="8" t="n">
        <v>100.10139</v>
      </c>
      <c r="G2" s="8" t="n">
        <v>100.106943333333</v>
      </c>
      <c r="H2" s="8" t="n">
        <v>99.98531333333329</v>
      </c>
      <c r="I2" s="8" t="n">
        <v>100.174636666667</v>
      </c>
      <c r="J2" s="8" t="n">
        <v>100.273496666667</v>
      </c>
      <c r="K2" s="8" t="n">
        <v>100.185816666667</v>
      </c>
      <c r="L2" s="8" t="n">
        <v>100.0935</v>
      </c>
      <c r="M2" s="8" t="n">
        <v>100.262946666667</v>
      </c>
      <c r="N2" s="8" t="n">
        <v>100.340556666667</v>
      </c>
      <c r="O2" s="8" t="n">
        <v>100.333106666667</v>
      </c>
      <c r="P2" s="8" t="n">
        <v>100.776963333333</v>
      </c>
      <c r="Q2" s="8" t="n">
        <v>100.925126666667</v>
      </c>
      <c r="R2" s="8" t="n">
        <v>100.03382</v>
      </c>
      <c r="S2" s="8" t="n">
        <v>100.414143333333</v>
      </c>
      <c r="T2" s="8" t="n">
        <v>100.44861</v>
      </c>
      <c r="U2" s="8" t="n">
        <v>100.645823333333</v>
      </c>
      <c r="V2" s="8" t="n">
        <v>99.80821</v>
      </c>
      <c r="W2" s="8" t="n">
        <v>99.9428266666667</v>
      </c>
      <c r="X2" s="8" t="n">
        <v>99.8995333333333</v>
      </c>
      <c r="Y2" s="8" t="n">
        <v>99.9309066666667</v>
      </c>
      <c r="Z2" s="8" t="n">
        <v>99.67609</v>
      </c>
      <c r="AA2" s="8" t="n">
        <v>99.55277333333331</v>
      </c>
      <c r="AB2" s="8" t="n">
        <v>99.5748066666667</v>
      </c>
      <c r="AC2" s="8" t="n">
        <v>99.66419999999999</v>
      </c>
      <c r="AD2" s="8" t="n">
        <v>98.2702033333333</v>
      </c>
      <c r="AE2" s="8" t="n">
        <v>98.2079333333333</v>
      </c>
      <c r="AF2" s="8" t="n">
        <v>98.3660366666667</v>
      </c>
      <c r="AG2" s="8" t="n">
        <v>98.6009866666667</v>
      </c>
      <c r="AH2" s="8" t="n">
        <v>99.3541433333333</v>
      </c>
      <c r="AI2" s="8" t="n">
        <v>99.3307466666667</v>
      </c>
      <c r="AJ2" s="8" t="n">
        <v>99.5219366666667</v>
      </c>
      <c r="AK2" s="8" t="n">
        <v>99.27135</v>
      </c>
      <c r="AL2" s="8" t="n">
        <v>99.07077333333331</v>
      </c>
      <c r="AM2" s="8" t="n">
        <v>98.6733066666667</v>
      </c>
      <c r="AN2" s="8" t="n">
        <v>98.9346533333333</v>
      </c>
      <c r="AO2" s="8" t="n">
        <v>99.2472033333333</v>
      </c>
      <c r="AP2" s="8" t="n">
        <v>100.450946666667</v>
      </c>
      <c r="AQ2" s="8" t="n">
        <v>100.99007</v>
      </c>
      <c r="AR2" s="8" t="n">
        <v>100.796276666667</v>
      </c>
      <c r="AS2" s="8" t="n">
        <v>101.370906666667</v>
      </c>
      <c r="AT2" s="8" t="n">
        <v>102.275133333333</v>
      </c>
      <c r="AU2" s="8" t="n">
        <v>102.279933333333</v>
      </c>
      <c r="AV2" s="8" t="n">
        <v>102.677966666667</v>
      </c>
      <c r="AW2" s="8" t="n">
        <v>103.371333333333</v>
      </c>
      <c r="AX2" s="8" t="n">
        <v>105.6068</v>
      </c>
      <c r="AY2" s="8" t="n">
        <v>106.254933333333</v>
      </c>
      <c r="AZ2" s="8" t="n">
        <v>107.083966666667</v>
      </c>
      <c r="BA2" s="8" t="n">
        <v>106.7781</v>
      </c>
      <c r="BB2" s="8" t="n">
        <v>106.647633333333</v>
      </c>
      <c r="BC2" s="8" t="n">
        <v>106.6591</v>
      </c>
      <c r="BD2" s="8" t="n">
        <v>106.823633333333</v>
      </c>
      <c r="BE2" s="8" t="n">
        <v>107.113566666667</v>
      </c>
      <c r="BF2" s="8" t="n">
        <v>106.3147</v>
      </c>
      <c r="BG2" s="8" t="n">
        <v>106.436233333333</v>
      </c>
      <c r="BH2" s="8" t="n">
        <v>106.3506</v>
      </c>
      <c r="BI2" s="8" t="n">
        <v>106.481866666667</v>
      </c>
      <c r="BJ2" s="8" t="n">
        <v>106.0973</v>
      </c>
    </row>
    <row r="3" ht="19" customHeight="1">
      <c r="A3" s="6" t="inlineStr">
        <is>
          <t>Cambodia</t>
        </is>
      </c>
      <c r="B3" s="8" t="n">
        <v>134.563666666667</v>
      </c>
      <c r="C3" s="8" t="n">
        <v>135.066333333333</v>
      </c>
      <c r="D3" s="8" t="n">
        <v>136.949666666667</v>
      </c>
      <c r="E3" s="8" t="n">
        <v>138.879</v>
      </c>
      <c r="F3" s="8" t="n">
        <v>139.457333333333</v>
      </c>
      <c r="G3" s="8" t="n">
        <v>143.528666666667</v>
      </c>
      <c r="H3" s="8" t="n">
        <v>146.148666666667</v>
      </c>
      <c r="I3" s="8" t="n">
        <v>146.206666666667</v>
      </c>
      <c r="J3" s="8" t="n">
        <v>147.147</v>
      </c>
      <c r="K3" s="8" t="n">
        <v>147.726333333333</v>
      </c>
      <c r="L3" s="8" t="n">
        <v>148.538333333333</v>
      </c>
      <c r="M3" s="8" t="n">
        <v>148.812</v>
      </c>
      <c r="N3" s="8" t="n">
        <v>149.376333333333</v>
      </c>
      <c r="O3" s="8" t="n">
        <v>151.050333333333</v>
      </c>
      <c r="P3" s="8" t="n">
        <v>153.985</v>
      </c>
      <c r="Q3" s="8" t="n">
        <v>155.233</v>
      </c>
      <c r="R3" s="8" t="n">
        <v>156.261</v>
      </c>
      <c r="S3" s="8" t="n">
        <v>158.271</v>
      </c>
      <c r="T3" s="8" t="n">
        <v>160.112666666667</v>
      </c>
      <c r="U3" s="8" t="n">
        <v>158.506</v>
      </c>
      <c r="V3" s="8" t="n">
        <v>157.876333333333</v>
      </c>
      <c r="W3" s="8" t="n">
        <v>159.845</v>
      </c>
      <c r="X3" s="8" t="n">
        <v>161.480666666667</v>
      </c>
      <c r="Y3" s="8" t="n">
        <v>161.698</v>
      </c>
      <c r="Z3" s="8" t="n">
        <v>161.761</v>
      </c>
      <c r="AA3" s="8" t="n">
        <v>164.718666666667</v>
      </c>
      <c r="AB3" s="8" t="n">
        <v>166.233333333333</v>
      </c>
      <c r="AC3" s="8" t="n">
        <v>167.536666666667</v>
      </c>
      <c r="AD3" s="8" t="n">
        <v>168.606333333333</v>
      </c>
      <c r="AE3" s="8" t="n">
        <v>169.221666666667</v>
      </c>
      <c r="AF3" s="8" t="n">
        <v>170.437333333333</v>
      </c>
      <c r="AG3" s="8" t="n">
        <v>171.215</v>
      </c>
      <c r="AH3" s="8" t="n">
        <v>172.328666666667</v>
      </c>
      <c r="AI3" s="8" t="n">
        <v>173.834333333333</v>
      </c>
      <c r="AJ3" s="8" t="n">
        <v>174.686666666667</v>
      </c>
      <c r="AK3" s="8" t="n">
        <v>175.339666666667</v>
      </c>
      <c r="AL3" s="8" t="n">
        <v>175.66</v>
      </c>
      <c r="AM3" s="8" t="n">
        <v>177.015</v>
      </c>
      <c r="AN3" s="8" t="n">
        <v>178.138666666667</v>
      </c>
      <c r="AO3" s="8" t="n">
        <v>178.899666666667</v>
      </c>
      <c r="AP3" s="8" t="n">
        <v>180.972333333333</v>
      </c>
      <c r="AQ3" s="8" t="n">
        <v>181.443</v>
      </c>
      <c r="AR3" s="8" t="n">
        <v>183.120333333333</v>
      </c>
      <c r="AS3" s="8" t="n">
        <v>185.045333333333</v>
      </c>
      <c r="AT3" s="8" t="n">
        <v>184.835666666667</v>
      </c>
      <c r="AU3" s="8" t="n">
        <v>186.568</v>
      </c>
      <c r="AV3" s="8" t="n">
        <v>189.031666666667</v>
      </c>
      <c r="AW3" s="8" t="n">
        <v>191.484</v>
      </c>
      <c r="AX3" s="8" t="n">
        <v>195.686666666667</v>
      </c>
      <c r="AY3" s="8" t="n">
        <v>200.393666666667</v>
      </c>
      <c r="AZ3" s="8" t="n">
        <v>198.339333333333</v>
      </c>
      <c r="BA3" s="8" t="n">
        <v>197.68</v>
      </c>
      <c r="BB3" s="8" t="n">
        <v>199.481333333333</v>
      </c>
      <c r="BC3" s="8" t="n">
        <v>201.47</v>
      </c>
      <c r="BD3" s="8" t="n">
        <v>204.196333333333</v>
      </c>
      <c r="BE3" s="8" t="n">
        <v>203.803666666667</v>
      </c>
      <c r="BF3" s="8" t="n">
        <v>198.989</v>
      </c>
      <c r="BG3" s="8" t="n">
        <v>203.012666666667</v>
      </c>
      <c r="BH3" s="9" t="inlineStr"/>
      <c r="BI3" s="9" t="inlineStr"/>
      <c r="BJ3" s="9" t="inlineStr"/>
    </row>
    <row r="4" ht="19" customHeight="1">
      <c r="A4" s="6" t="inlineStr">
        <is>
          <t>Indonesia</t>
        </is>
      </c>
      <c r="B4" s="8" t="n">
        <v>73.8507966666667</v>
      </c>
      <c r="C4" s="8" t="n">
        <v>74.3423333333333</v>
      </c>
      <c r="D4" s="8" t="n">
        <v>76.56673000000001</v>
      </c>
      <c r="E4" s="8" t="n">
        <v>77.58103666666671</v>
      </c>
      <c r="F4" s="8" t="n">
        <v>78.8952633333333</v>
      </c>
      <c r="G4" s="8" t="n">
        <v>78.72239</v>
      </c>
      <c r="H4" s="8" t="n">
        <v>80.14076</v>
      </c>
      <c r="I4" s="8" t="n">
        <v>80.7760066666667</v>
      </c>
      <c r="J4" s="8" t="n">
        <v>81.83404666666669</v>
      </c>
      <c r="K4" s="8" t="n">
        <v>82.26102</v>
      </c>
      <c r="L4" s="8" t="n">
        <v>83.7356166666667</v>
      </c>
      <c r="M4" s="8" t="n">
        <v>84.3354566666667</v>
      </c>
      <c r="N4" s="8" t="n">
        <v>85.70163333333331</v>
      </c>
      <c r="O4" s="8" t="n">
        <v>86.56249333333329</v>
      </c>
      <c r="P4" s="8" t="n">
        <v>90.3270466666667</v>
      </c>
      <c r="Q4" s="8" t="n">
        <v>90.8751166666667</v>
      </c>
      <c r="R4" s="8" t="n">
        <v>92.35326000000001</v>
      </c>
      <c r="S4" s="8" t="n">
        <v>92.6992666666667</v>
      </c>
      <c r="T4" s="8" t="n">
        <v>94.2576766666667</v>
      </c>
      <c r="U4" s="8" t="n">
        <v>96.75999666666669</v>
      </c>
      <c r="V4" s="8" t="n">
        <v>98.39591666666669</v>
      </c>
      <c r="W4" s="8" t="n">
        <v>99.24847333333329</v>
      </c>
      <c r="X4" s="8" t="n">
        <v>100.939766666667</v>
      </c>
      <c r="Y4" s="8" t="n">
        <v>101.415866666667</v>
      </c>
      <c r="Z4" s="8" t="n">
        <v>102.661466666667</v>
      </c>
      <c r="AA4" s="8" t="n">
        <v>102.683633333333</v>
      </c>
      <c r="AB4" s="8" t="n">
        <v>103.992933333333</v>
      </c>
      <c r="AC4" s="8" t="n">
        <v>104.7652</v>
      </c>
      <c r="AD4" s="8" t="n">
        <v>106.4039</v>
      </c>
      <c r="AE4" s="8" t="n">
        <v>107.090366666667</v>
      </c>
      <c r="AF4" s="8" t="n">
        <v>107.951233333333</v>
      </c>
      <c r="AG4" s="8" t="n">
        <v>108.430066666667</v>
      </c>
      <c r="AH4" s="8" t="n">
        <v>109.891666666667</v>
      </c>
      <c r="AI4" s="8" t="n">
        <v>110.575333333333</v>
      </c>
      <c r="AJ4" s="8" t="n">
        <v>111.286733333333</v>
      </c>
      <c r="AK4" s="8" t="n">
        <v>111.870766666667</v>
      </c>
      <c r="AL4" s="8" t="n">
        <v>112.775933333333</v>
      </c>
      <c r="AM4" s="8" t="n">
        <v>114.052033333333</v>
      </c>
      <c r="AN4" s="8" t="n">
        <v>115.070666666667</v>
      </c>
      <c r="AO4" s="8" t="n">
        <v>115.170333333333</v>
      </c>
      <c r="AP4" s="8" t="n">
        <v>116.069666666667</v>
      </c>
      <c r="AQ4" s="8" t="n">
        <v>116.4619</v>
      </c>
      <c r="AR4" s="8" t="n">
        <v>116.4508</v>
      </c>
      <c r="AS4" s="8" t="n">
        <v>116.861533333333</v>
      </c>
      <c r="AT4" s="8" t="n">
        <v>117.7311</v>
      </c>
      <c r="AU4" s="8" t="n">
        <v>118.1826</v>
      </c>
      <c r="AV4" s="8" t="n">
        <v>118.2788</v>
      </c>
      <c r="AW4" s="8" t="n">
        <v>118.918933333333</v>
      </c>
      <c r="AX4" s="8" t="n">
        <v>120.4287</v>
      </c>
      <c r="AY4" s="8" t="n">
        <v>122.663733333333</v>
      </c>
      <c r="AZ4" s="8" t="n">
        <v>124.4214</v>
      </c>
      <c r="BA4" s="8" t="n">
        <v>125.513033333333</v>
      </c>
      <c r="BB4" s="8" t="n">
        <v>126.737833333333</v>
      </c>
      <c r="BC4" s="8" t="n">
        <v>127.5075</v>
      </c>
      <c r="BD4" s="8" t="n">
        <v>127.996</v>
      </c>
      <c r="BE4" s="8" t="n">
        <v>128.876633333333</v>
      </c>
      <c r="BF4" s="8" t="n">
        <v>129.9958</v>
      </c>
      <c r="BG4" s="8" t="n">
        <v>130.877766666667</v>
      </c>
      <c r="BH4" s="8" t="n">
        <v>130.479866666667</v>
      </c>
      <c r="BI4" s="8" t="n">
        <v>130.914633333333</v>
      </c>
      <c r="BJ4" s="8" t="n">
        <v>130.730066666667</v>
      </c>
    </row>
    <row r="5" ht="19" customHeight="1">
      <c r="A5" s="6" t="inlineStr">
        <is>
          <t>Laos</t>
        </is>
      </c>
      <c r="B5" s="8" t="n">
        <v>76.7363249860672</v>
      </c>
      <c r="C5" s="8" t="n">
        <v>78.09207000000001</v>
      </c>
      <c r="D5" s="8" t="n">
        <v>81.23267</v>
      </c>
      <c r="E5" s="8" t="n">
        <v>80.9801033333333</v>
      </c>
      <c r="F5" s="8" t="n">
        <v>81.96196999999999</v>
      </c>
      <c r="G5" s="8" t="n">
        <v>85.50985</v>
      </c>
      <c r="H5" s="8" t="n">
        <v>86.57705666666671</v>
      </c>
      <c r="I5" s="8" t="n">
        <v>86.9890966666667</v>
      </c>
      <c r="J5" s="8" t="n">
        <v>86.90788000000001</v>
      </c>
      <c r="K5" s="8" t="n">
        <v>88.8430266666667</v>
      </c>
      <c r="L5" s="8" t="n">
        <v>89.4461366666667</v>
      </c>
      <c r="M5" s="8" t="n">
        <v>90.35253</v>
      </c>
      <c r="N5" s="8" t="n">
        <v>91.98716</v>
      </c>
      <c r="O5" s="8" t="n">
        <v>93.9995233333333</v>
      </c>
      <c r="P5" s="8" t="n">
        <v>95.7445366666667</v>
      </c>
      <c r="Q5" s="8" t="n">
        <v>96.4719333333333</v>
      </c>
      <c r="R5" s="8" t="n">
        <v>97.18880666666669</v>
      </c>
      <c r="S5" s="8" t="n">
        <v>98.4577666666667</v>
      </c>
      <c r="T5" s="8" t="n">
        <v>99.05127666666669</v>
      </c>
      <c r="U5" s="8" t="n">
        <v>99.12222666666671</v>
      </c>
      <c r="V5" s="8" t="n">
        <v>98.70072</v>
      </c>
      <c r="W5" s="8" t="n">
        <v>99.6098833333333</v>
      </c>
      <c r="X5" s="8" t="n">
        <v>100.268116666667</v>
      </c>
      <c r="Y5" s="8" t="n">
        <v>100.27184</v>
      </c>
      <c r="Z5" s="8" t="n">
        <v>99.77977</v>
      </c>
      <c r="AA5" s="8" t="n">
        <v>100.858703333333</v>
      </c>
      <c r="AB5" s="8" t="n">
        <v>102.15992</v>
      </c>
      <c r="AC5" s="8" t="n">
        <v>102.421456666667</v>
      </c>
      <c r="AD5" s="8" t="n">
        <v>101.671143333333</v>
      </c>
      <c r="AE5" s="8" t="n">
        <v>101.866443333333</v>
      </c>
      <c r="AF5" s="8" t="n">
        <v>102.309293333333</v>
      </c>
      <c r="AG5" s="8" t="n">
        <v>102.717976666667</v>
      </c>
      <c r="AH5" s="8" t="n">
        <v>103.230106666667</v>
      </c>
      <c r="AI5" s="8" t="n">
        <v>103.914083333333</v>
      </c>
      <c r="AJ5" s="8" t="n">
        <v>105.063146666667</v>
      </c>
      <c r="AK5" s="8" t="n">
        <v>104.693846666667</v>
      </c>
      <c r="AL5" s="8" t="n">
        <v>104.861023333333</v>
      </c>
      <c r="AM5" s="8" t="n">
        <v>106.419573333333</v>
      </c>
      <c r="AN5" s="8" t="n">
        <v>108.65835</v>
      </c>
      <c r="AO5" s="8" t="n">
        <v>110.814023333333</v>
      </c>
      <c r="AP5" s="8" t="n">
        <v>111.612376666667</v>
      </c>
      <c r="AQ5" s="8" t="n">
        <v>112.348476666667</v>
      </c>
      <c r="AR5" s="8" t="n">
        <v>114.350286666667</v>
      </c>
      <c r="AS5" s="8" t="n">
        <v>114.42779</v>
      </c>
      <c r="AT5" s="8" t="n">
        <v>114.023433333333</v>
      </c>
      <c r="AU5" s="8" t="n">
        <v>116.379966666667</v>
      </c>
      <c r="AV5" s="8" t="n">
        <v>119.1797</v>
      </c>
      <c r="AW5" s="8" t="n">
        <v>120.158966666667</v>
      </c>
      <c r="AX5" s="8" t="n">
        <v>122.423366666667</v>
      </c>
      <c r="AY5" s="8" t="n">
        <v>134.345866666667</v>
      </c>
      <c r="AZ5" s="8" t="n">
        <v>154.796733333333</v>
      </c>
      <c r="BA5" s="8" t="n">
        <v>166.011166666667</v>
      </c>
      <c r="BB5" s="8" t="n">
        <v>172.4292</v>
      </c>
      <c r="BC5" s="8" t="n">
        <v>182.066166666667</v>
      </c>
      <c r="BD5" s="8" t="n">
        <v>195.7106</v>
      </c>
      <c r="BE5" s="8" t="n">
        <v>207.749266666667</v>
      </c>
      <c r="BF5" s="8" t="n">
        <v>215.415733333333</v>
      </c>
      <c r="BG5" s="8" t="n">
        <v>228.721433333333</v>
      </c>
      <c r="BH5" s="8" t="n">
        <v>242.6712</v>
      </c>
      <c r="BI5" s="8" t="n">
        <v>246.466166666667</v>
      </c>
      <c r="BJ5" s="8" t="n">
        <v>243.6554</v>
      </c>
    </row>
    <row r="6" ht="19" customHeight="1">
      <c r="A6" s="6" t="inlineStr">
        <is>
          <t>Malaysia</t>
        </is>
      </c>
      <c r="B6" s="8" t="n">
        <v>99.40000000000001</v>
      </c>
      <c r="C6" s="8" t="n">
        <v>99.56666666666671</v>
      </c>
      <c r="D6" s="8" t="n">
        <v>100.233333333333</v>
      </c>
      <c r="E6" s="8" t="n">
        <v>100.866666666667</v>
      </c>
      <c r="F6" s="8" t="n">
        <v>102.166666666667</v>
      </c>
      <c r="G6" s="8" t="n">
        <v>102.9</v>
      </c>
      <c r="H6" s="8" t="n">
        <v>103.6</v>
      </c>
      <c r="I6" s="8" t="n">
        <v>104.1</v>
      </c>
      <c r="J6" s="8" t="n">
        <v>104.5</v>
      </c>
      <c r="K6" s="8" t="n">
        <v>104.666666666667</v>
      </c>
      <c r="L6" s="8" t="n">
        <v>105</v>
      </c>
      <c r="M6" s="8" t="n">
        <v>105.466666666667</v>
      </c>
      <c r="N6" s="8" t="n">
        <v>106.066666666667</v>
      </c>
      <c r="O6" s="8" t="n">
        <v>106.533333333333</v>
      </c>
      <c r="P6" s="8" t="n">
        <v>107.266666666667</v>
      </c>
      <c r="Q6" s="8" t="n">
        <v>108.6</v>
      </c>
      <c r="R6" s="8" t="n">
        <v>109.733333333333</v>
      </c>
      <c r="S6" s="8" t="n">
        <v>110.033333333333</v>
      </c>
      <c r="T6" s="8" t="n">
        <v>110.5</v>
      </c>
      <c r="U6" s="8" t="n">
        <v>111.666666666667</v>
      </c>
      <c r="V6" s="8" t="n">
        <v>110.466666666667</v>
      </c>
      <c r="W6" s="8" t="n">
        <v>112.4</v>
      </c>
      <c r="X6" s="8" t="n">
        <v>113.8</v>
      </c>
      <c r="Y6" s="8" t="n">
        <v>114.566666666667</v>
      </c>
      <c r="Z6" s="8" t="n">
        <v>114.266666666667</v>
      </c>
      <c r="AA6" s="8" t="n">
        <v>114.566666666667</v>
      </c>
      <c r="AB6" s="8" t="n">
        <v>115.333333333333</v>
      </c>
      <c r="AC6" s="8" t="n">
        <v>116.5</v>
      </c>
      <c r="AD6" s="8" t="n">
        <v>119.166666666667</v>
      </c>
      <c r="AE6" s="8" t="n">
        <v>119.1</v>
      </c>
      <c r="AF6" s="8" t="n">
        <v>119.666666666667</v>
      </c>
      <c r="AG6" s="8" t="n">
        <v>120.566666666667</v>
      </c>
      <c r="AH6" s="8" t="n">
        <v>121.166666666667</v>
      </c>
      <c r="AI6" s="8" t="n">
        <v>120.533333333333</v>
      </c>
      <c r="AJ6" s="8" t="n">
        <v>120.1</v>
      </c>
      <c r="AK6" s="8" t="n">
        <v>120.933333333333</v>
      </c>
      <c r="AL6" s="8" t="n">
        <v>120.8</v>
      </c>
      <c r="AM6" s="8" t="n">
        <v>121.3</v>
      </c>
      <c r="AN6" s="8" t="n">
        <v>121.7</v>
      </c>
      <c r="AO6" s="8" t="n">
        <v>122.133333333333</v>
      </c>
      <c r="AP6" s="8" t="n">
        <v>121.9</v>
      </c>
      <c r="AQ6" s="8" t="n">
        <v>118.2</v>
      </c>
      <c r="AR6" s="8" t="n">
        <v>120.033333333333</v>
      </c>
      <c r="AS6" s="8" t="n">
        <v>120.266666666667</v>
      </c>
      <c r="AT6" s="8" t="n">
        <v>122.5</v>
      </c>
      <c r="AU6" s="8" t="n">
        <v>123.133333333333</v>
      </c>
      <c r="AV6" s="8" t="n">
        <v>122.6</v>
      </c>
      <c r="AW6" s="8" t="n">
        <v>124.066666666667</v>
      </c>
      <c r="AX6" s="8" t="n">
        <v>125.233333333333</v>
      </c>
      <c r="AY6" s="8" t="n">
        <v>126.633333333333</v>
      </c>
      <c r="AZ6" s="8" t="n">
        <v>128.133333333333</v>
      </c>
      <c r="BA6" s="8" t="n">
        <v>128.933333333333</v>
      </c>
      <c r="BB6" s="8" t="n">
        <v>129.733333333333</v>
      </c>
      <c r="BC6" s="8" t="n">
        <v>130.2</v>
      </c>
      <c r="BD6" s="8" t="n">
        <v>130.666666666667</v>
      </c>
      <c r="BE6" s="8" t="n">
        <v>131</v>
      </c>
      <c r="BF6" s="8" t="n">
        <v>131.9</v>
      </c>
      <c r="BG6" s="8" t="n">
        <v>132.733333333333</v>
      </c>
      <c r="BH6" s="8" t="n">
        <v>133.166666666667</v>
      </c>
      <c r="BI6" s="8" t="n">
        <v>133.366666666667</v>
      </c>
      <c r="BJ6" s="8" t="n">
        <v>133.85</v>
      </c>
    </row>
    <row r="7" ht="19" customHeight="1">
      <c r="A7" s="6" t="inlineStr">
        <is>
          <t>Myanmar</t>
        </is>
      </c>
      <c r="B7" s="8" t="n">
        <v>89.0484082560648</v>
      </c>
      <c r="C7" s="8" t="n">
        <v>92.08993333333331</v>
      </c>
      <c r="D7" s="8" t="n">
        <v>93.59782</v>
      </c>
      <c r="E7" s="8" t="n">
        <v>95.5138833333333</v>
      </c>
      <c r="F7" s="8" t="n">
        <v>96.68492000000001</v>
      </c>
      <c r="G7" s="8" t="n">
        <v>98.6148533333333</v>
      </c>
      <c r="H7" s="8" t="n">
        <v>96.8929733333333</v>
      </c>
      <c r="I7" s="8" t="n">
        <v>96.64925333333331</v>
      </c>
      <c r="J7" s="8" t="n">
        <v>96.18163</v>
      </c>
      <c r="K7" s="8" t="n">
        <v>97.13471</v>
      </c>
      <c r="L7" s="8" t="n">
        <v>99.1379566666667</v>
      </c>
      <c r="M7" s="8" t="n">
        <v>102.094283333333</v>
      </c>
      <c r="N7" s="8" t="n">
        <v>101.372836666667</v>
      </c>
      <c r="O7" s="8" t="n">
        <v>103.019</v>
      </c>
      <c r="P7" s="8" t="n">
        <v>105.598503333333</v>
      </c>
      <c r="Q7" s="8" t="n">
        <v>106.822773333333</v>
      </c>
      <c r="R7" s="8" t="n">
        <v>107.003703333333</v>
      </c>
      <c r="S7" s="8" t="n">
        <v>108.970486666667</v>
      </c>
      <c r="T7" s="8" t="n">
        <v>110.186983333333</v>
      </c>
      <c r="U7" s="8" t="n">
        <v>111.297943333333</v>
      </c>
      <c r="V7" s="8" t="n">
        <v>113.514953333333</v>
      </c>
      <c r="W7" s="8" t="n">
        <v>116.528863333333</v>
      </c>
      <c r="X7" s="8" t="n">
        <v>122.939466666667</v>
      </c>
      <c r="Y7" s="8" t="n">
        <v>125.833963333333</v>
      </c>
      <c r="Z7" s="8" t="n">
        <v>123.039296666667</v>
      </c>
      <c r="AA7" s="8" t="n">
        <v>127.453103333333</v>
      </c>
      <c r="AB7" s="8" t="n">
        <v>130.00594</v>
      </c>
      <c r="AC7" s="8" t="n">
        <v>131.495316666667</v>
      </c>
      <c r="AD7" s="8" t="n">
        <v>132.36761</v>
      </c>
      <c r="AE7" s="8" t="n">
        <v>132.35738</v>
      </c>
      <c r="AF7" s="8" t="n">
        <v>133.517986666667</v>
      </c>
      <c r="AG7" s="8" t="n">
        <v>137.161773333333</v>
      </c>
      <c r="AH7" s="8" t="n">
        <v>139.31927</v>
      </c>
      <c r="AI7" s="8" t="n">
        <v>140.398933333333</v>
      </c>
      <c r="AJ7" s="8" t="n">
        <v>144.347003333333</v>
      </c>
      <c r="AK7" s="8" t="n">
        <v>148.13432</v>
      </c>
      <c r="AL7" s="8" t="n">
        <v>148.95596</v>
      </c>
      <c r="AM7" s="8" t="n">
        <v>153.41428</v>
      </c>
      <c r="AN7" s="8" t="n">
        <v>159.139686666667</v>
      </c>
      <c r="AO7" s="8" t="n">
        <v>161.186616666667</v>
      </c>
      <c r="AP7" s="8" t="n">
        <v>160.894913333333</v>
      </c>
      <c r="AQ7" s="8" t="n">
        <v>160.366936666667</v>
      </c>
      <c r="AR7" s="8" t="n">
        <v>162.10052</v>
      </c>
      <c r="AS7" s="8" t="n">
        <v>162.908385</v>
      </c>
      <c r="AT7" s="9" t="inlineStr"/>
      <c r="AU7" s="9" t="inlineStr"/>
      <c r="AV7" s="9" t="inlineStr"/>
      <c r="AW7" s="9" t="inlineStr"/>
      <c r="AX7" s="9" t="inlineStr"/>
      <c r="AY7" s="9" t="inlineStr"/>
      <c r="AZ7" s="9" t="inlineStr"/>
      <c r="BA7" s="9" t="inlineStr"/>
      <c r="BB7" s="9" t="inlineStr"/>
      <c r="BC7" s="9" t="inlineStr"/>
      <c r="BD7" s="9" t="inlineStr"/>
      <c r="BE7" s="9" t="inlineStr"/>
      <c r="BF7" s="9" t="inlineStr"/>
      <c r="BG7" s="9" t="inlineStr"/>
      <c r="BH7" s="9" t="inlineStr"/>
      <c r="BI7" s="9" t="inlineStr"/>
      <c r="BJ7" s="9" t="inlineStr"/>
    </row>
    <row r="8" ht="19" customHeight="1">
      <c r="A8" s="7" t="inlineStr">
        <is>
          <t>Philippines</t>
        </is>
      </c>
      <c r="B8" s="8" t="n">
        <v>78.00702215436149</v>
      </c>
      <c r="C8" s="8" t="n">
        <v>78.7064366666667</v>
      </c>
      <c r="D8" s="8" t="n">
        <v>79.2965766666667</v>
      </c>
      <c r="E8" s="8" t="n">
        <v>79.9085666666667</v>
      </c>
      <c r="F8" s="8" t="n">
        <v>81.5259733333333</v>
      </c>
      <c r="G8" s="8" t="n">
        <v>82.5969566666667</v>
      </c>
      <c r="H8" s="8" t="n">
        <v>83.05595333333331</v>
      </c>
      <c r="I8" s="8" t="n">
        <v>83.64608333333329</v>
      </c>
      <c r="J8" s="8" t="n">
        <v>84.10937666666671</v>
      </c>
      <c r="K8" s="8" t="n">
        <v>84.90447</v>
      </c>
      <c r="L8" s="8" t="n">
        <v>85.81314999999999</v>
      </c>
      <c r="M8" s="8" t="n">
        <v>86.0119233333333</v>
      </c>
      <c r="N8" s="8" t="n">
        <v>86.4946566666667</v>
      </c>
      <c r="O8" s="8" t="n">
        <v>86.89219666666671</v>
      </c>
      <c r="P8" s="8" t="n">
        <v>87.65889666666671</v>
      </c>
      <c r="Q8" s="8" t="n">
        <v>88.59596999999999</v>
      </c>
      <c r="R8" s="8" t="n">
        <v>89.64662666666671</v>
      </c>
      <c r="S8" s="8" t="n">
        <v>90.21454666666671</v>
      </c>
      <c r="T8" s="8" t="n">
        <v>91.23681000000001</v>
      </c>
      <c r="U8" s="8" t="n">
        <v>91.1232266666667</v>
      </c>
      <c r="V8" s="8" t="n">
        <v>91.00963666666669</v>
      </c>
      <c r="W8" s="8" t="n">
        <v>91.09482666666671</v>
      </c>
      <c r="X8" s="8" t="n">
        <v>91.1800166666667</v>
      </c>
      <c r="Y8" s="8" t="n">
        <v>91.37879</v>
      </c>
      <c r="Z8" s="8" t="n">
        <v>91.54917</v>
      </c>
      <c r="AA8" s="8" t="n">
        <v>91.97511</v>
      </c>
      <c r="AB8" s="8" t="n">
        <v>92.48624</v>
      </c>
      <c r="AC8" s="8" t="n">
        <v>93.22454</v>
      </c>
      <c r="AD8" s="8" t="n">
        <v>94.1900066666667</v>
      </c>
      <c r="AE8" s="8" t="n">
        <v>94.5875566666667</v>
      </c>
      <c r="AF8" s="8" t="n">
        <v>94.95670333333329</v>
      </c>
      <c r="AG8" s="8" t="n">
        <v>96.03576</v>
      </c>
      <c r="AH8" s="8" t="n">
        <v>97.8333333333333</v>
      </c>
      <c r="AI8" s="8" t="n">
        <v>99.06666666666671</v>
      </c>
      <c r="AJ8" s="8" t="n">
        <v>101.133333333333</v>
      </c>
      <c r="AK8" s="8" t="n">
        <v>101.9</v>
      </c>
      <c r="AL8" s="8" t="n">
        <v>101.6</v>
      </c>
      <c r="AM8" s="8" t="n">
        <v>102.1</v>
      </c>
      <c r="AN8" s="8" t="n">
        <v>102.5</v>
      </c>
      <c r="AO8" s="8" t="n">
        <v>103.3</v>
      </c>
      <c r="AP8" s="8" t="n">
        <v>104.166666666667</v>
      </c>
      <c r="AQ8" s="8" t="n">
        <v>104</v>
      </c>
      <c r="AR8" s="8" t="n">
        <v>104.866666666667</v>
      </c>
      <c r="AS8" s="8" t="n">
        <v>106.266666666667</v>
      </c>
      <c r="AT8" s="8" t="n">
        <v>108.366666666667</v>
      </c>
      <c r="AU8" s="8" t="n">
        <v>108.166666666667</v>
      </c>
      <c r="AV8" s="8" t="n">
        <v>109.166666666667</v>
      </c>
      <c r="AW8" s="8" t="n">
        <v>110.066666666667</v>
      </c>
      <c r="AX8" s="8" t="n">
        <v>112</v>
      </c>
      <c r="AY8" s="8" t="n">
        <v>114.066666666667</v>
      </c>
      <c r="AZ8" s="8" t="n">
        <v>116.3</v>
      </c>
      <c r="BA8" s="8" t="n">
        <v>118.766666666667</v>
      </c>
      <c r="BB8" s="8" t="n">
        <v>121.3</v>
      </c>
      <c r="BC8" s="8" t="n">
        <v>120.966666666667</v>
      </c>
      <c r="BD8" s="8" t="n">
        <v>122.533333333333</v>
      </c>
      <c r="BE8" s="8" t="n">
        <v>123.9</v>
      </c>
      <c r="BF8" s="8" t="n">
        <v>125.3</v>
      </c>
      <c r="BG8" s="8" t="n">
        <v>125.566666666667</v>
      </c>
      <c r="BH8" s="8" t="n">
        <v>126.466666666667</v>
      </c>
      <c r="BI8" s="8" t="n">
        <v>127.066666666667</v>
      </c>
      <c r="BJ8" s="8" t="n">
        <v>128.1</v>
      </c>
    </row>
    <row r="9" ht="19" customHeight="1">
      <c r="A9" s="6" t="inlineStr">
        <is>
          <t>Singapore</t>
        </is>
      </c>
      <c r="B9" s="8" t="n">
        <v>85.9483333333333</v>
      </c>
      <c r="C9" s="8" t="n">
        <v>86.95666666666671</v>
      </c>
      <c r="D9" s="8" t="n">
        <v>87.962</v>
      </c>
      <c r="E9" s="8" t="n">
        <v>88.7656666666667</v>
      </c>
      <c r="F9" s="8" t="n">
        <v>90.40066666666669</v>
      </c>
      <c r="G9" s="8" t="n">
        <v>91.065</v>
      </c>
      <c r="H9" s="8" t="n">
        <v>92.83466666666671</v>
      </c>
      <c r="I9" s="8" t="n">
        <v>93.68033333333329</v>
      </c>
      <c r="J9" s="8" t="n">
        <v>94.8153333333333</v>
      </c>
      <c r="K9" s="8" t="n">
        <v>95.85299999999999</v>
      </c>
      <c r="L9" s="8" t="n">
        <v>96.7293333333333</v>
      </c>
      <c r="M9" s="8" t="n">
        <v>97.4203333333333</v>
      </c>
      <c r="N9" s="8" t="n">
        <v>98.6006666666667</v>
      </c>
      <c r="O9" s="8" t="n">
        <v>97.4083333333333</v>
      </c>
      <c r="P9" s="8" t="n">
        <v>98.504</v>
      </c>
      <c r="Q9" s="8" t="n">
        <v>99.3813333333333</v>
      </c>
      <c r="R9" s="8" t="n">
        <v>99.5796666666667</v>
      </c>
      <c r="S9" s="8" t="n">
        <v>99.5086666666667</v>
      </c>
      <c r="T9" s="8" t="n">
        <v>99.5026666666667</v>
      </c>
      <c r="U9" s="8" t="n">
        <v>99.3413333333333</v>
      </c>
      <c r="V9" s="8" t="n">
        <v>99.258</v>
      </c>
      <c r="W9" s="8" t="n">
        <v>99.093</v>
      </c>
      <c r="X9" s="8" t="n">
        <v>98.8803333333333</v>
      </c>
      <c r="Y9" s="8" t="n">
        <v>98.6213333333333</v>
      </c>
      <c r="Z9" s="8" t="n">
        <v>98.4223333333333</v>
      </c>
      <c r="AA9" s="8" t="n">
        <v>98.1793333333333</v>
      </c>
      <c r="AB9" s="8" t="n">
        <v>98.49866666666669</v>
      </c>
      <c r="AC9" s="8" t="n">
        <v>98.6453333333333</v>
      </c>
      <c r="AD9" s="8" t="n">
        <v>99.03766666666669</v>
      </c>
      <c r="AE9" s="8" t="n">
        <v>98.93866666666671</v>
      </c>
      <c r="AF9" s="8" t="n">
        <v>98.93933333333329</v>
      </c>
      <c r="AG9" s="8" t="n">
        <v>99.099</v>
      </c>
      <c r="AH9" s="8" t="n">
        <v>99.27833333333329</v>
      </c>
      <c r="AI9" s="8" t="n">
        <v>99.2623333333333</v>
      </c>
      <c r="AJ9" s="8" t="n">
        <v>99.63</v>
      </c>
      <c r="AK9" s="8" t="n">
        <v>99.581</v>
      </c>
      <c r="AL9" s="8" t="n">
        <v>99.7706666666667</v>
      </c>
      <c r="AM9" s="8" t="n">
        <v>100.038666666667</v>
      </c>
      <c r="AN9" s="8" t="n">
        <v>99.98099999999999</v>
      </c>
      <c r="AO9" s="8" t="n">
        <v>100.209666666667</v>
      </c>
      <c r="AP9" s="8" t="n">
        <v>100.138666666667</v>
      </c>
      <c r="AQ9" s="8" t="n">
        <v>99.3306666666667</v>
      </c>
      <c r="AR9" s="8" t="n">
        <v>99.708</v>
      </c>
      <c r="AS9" s="8" t="n">
        <v>100.095</v>
      </c>
      <c r="AT9" s="8" t="n">
        <v>100.898</v>
      </c>
      <c r="AU9" s="8" t="n">
        <v>101.607666666667</v>
      </c>
      <c r="AV9" s="8" t="n">
        <v>102.186666666667</v>
      </c>
      <c r="AW9" s="8" t="n">
        <v>103.782666666667</v>
      </c>
      <c r="AX9" s="8" t="n">
        <v>105.514</v>
      </c>
      <c r="AY9" s="8" t="n">
        <v>107.605333333333</v>
      </c>
      <c r="AZ9" s="8" t="n">
        <v>109.679333333333</v>
      </c>
      <c r="BA9" s="8" t="n">
        <v>110.679333333333</v>
      </c>
      <c r="BB9" s="8" t="n">
        <v>111.999666666667</v>
      </c>
      <c r="BC9" s="8" t="n">
        <v>113.093</v>
      </c>
      <c r="BD9" s="8" t="n">
        <v>114.164</v>
      </c>
      <c r="BE9" s="8" t="n">
        <v>115.121333333333</v>
      </c>
      <c r="BF9" s="8" t="n">
        <v>115.335333333333</v>
      </c>
      <c r="BG9" s="8" t="n">
        <v>116.220333333333</v>
      </c>
      <c r="BH9" s="8" t="n">
        <v>116.66</v>
      </c>
      <c r="BI9" s="8" t="n">
        <v>116.915</v>
      </c>
      <c r="BJ9" s="9" t="inlineStr"/>
    </row>
    <row r="10" ht="19" customHeight="1">
      <c r="A10" s="6" t="inlineStr">
        <is>
          <t>Thailand</t>
        </is>
      </c>
      <c r="B10" s="8" t="n">
        <v>87.30760918108631</v>
      </c>
      <c r="C10" s="8" t="n">
        <v>88.2271166666667</v>
      </c>
      <c r="D10" s="8" t="n">
        <v>88.69450999999999</v>
      </c>
      <c r="E10" s="8" t="n">
        <v>88.91446000000001</v>
      </c>
      <c r="F10" s="8" t="n">
        <v>89.94089</v>
      </c>
      <c r="G10" s="8" t="n">
        <v>91.84711666666669</v>
      </c>
      <c r="H10" s="8" t="n">
        <v>92.36033</v>
      </c>
      <c r="I10" s="8" t="n">
        <v>92.4458666666667</v>
      </c>
      <c r="J10" s="8" t="n">
        <v>92.98963000000001</v>
      </c>
      <c r="K10" s="8" t="n">
        <v>94.15964</v>
      </c>
      <c r="L10" s="8" t="n">
        <v>95.0699833333333</v>
      </c>
      <c r="M10" s="8" t="n">
        <v>95.42740000000001</v>
      </c>
      <c r="N10" s="8" t="n">
        <v>95.87035666666669</v>
      </c>
      <c r="O10" s="8" t="n">
        <v>96.33774333333329</v>
      </c>
      <c r="P10" s="8" t="n">
        <v>96.6585033333333</v>
      </c>
      <c r="Q10" s="8" t="n">
        <v>97.0311966666667</v>
      </c>
      <c r="R10" s="8" t="n">
        <v>97.7887966666667</v>
      </c>
      <c r="S10" s="8" t="n">
        <v>98.7205266666667</v>
      </c>
      <c r="T10" s="8" t="n">
        <v>98.5922266666667</v>
      </c>
      <c r="U10" s="8" t="n">
        <v>98.10956</v>
      </c>
      <c r="V10" s="8" t="n">
        <v>97.2969633333333</v>
      </c>
      <c r="W10" s="8" t="n">
        <v>97.60856333333329</v>
      </c>
      <c r="X10" s="8" t="n">
        <v>97.50469333333329</v>
      </c>
      <c r="Y10" s="8" t="n">
        <v>97.26031</v>
      </c>
      <c r="Z10" s="8" t="n">
        <v>96.8143</v>
      </c>
      <c r="AA10" s="8" t="n">
        <v>97.9048833333333</v>
      </c>
      <c r="AB10" s="8" t="n">
        <v>97.7551933333333</v>
      </c>
      <c r="AC10" s="8" t="n">
        <v>97.92932</v>
      </c>
      <c r="AD10" s="8" t="n">
        <v>98.0257133333333</v>
      </c>
      <c r="AE10" s="8" t="n">
        <v>97.9997333333333</v>
      </c>
      <c r="AF10" s="8" t="n">
        <v>98.1945733333333</v>
      </c>
      <c r="AG10" s="8" t="n">
        <v>98.78233</v>
      </c>
      <c r="AH10" s="8" t="n">
        <v>98.6427</v>
      </c>
      <c r="AI10" s="8" t="n">
        <v>99.2889066666667</v>
      </c>
      <c r="AJ10" s="8" t="n">
        <v>99.63825666666671</v>
      </c>
      <c r="AK10" s="8" t="n">
        <v>99.6136333333333</v>
      </c>
      <c r="AL10" s="8" t="n">
        <v>99.3765833333333</v>
      </c>
      <c r="AM10" s="8" t="n">
        <v>100.363753333333</v>
      </c>
      <c r="AN10" s="8" t="n">
        <v>100.24361</v>
      </c>
      <c r="AO10" s="8" t="n">
        <v>100.006556666667</v>
      </c>
      <c r="AP10" s="8" t="n">
        <v>99.789</v>
      </c>
      <c r="AQ10" s="8" t="n">
        <v>97.688</v>
      </c>
      <c r="AR10" s="8" t="n">
        <v>99.5162133333333</v>
      </c>
      <c r="AS10" s="8" t="n">
        <v>99.6136333333333</v>
      </c>
      <c r="AT10" s="8" t="n">
        <v>99.26000000000001</v>
      </c>
      <c r="AU10" s="8" t="n">
        <v>99.98666666666669</v>
      </c>
      <c r="AV10" s="8" t="n">
        <v>100.216666666667</v>
      </c>
      <c r="AW10" s="8" t="n">
        <v>102.023333333333</v>
      </c>
      <c r="AX10" s="8" t="n">
        <v>103.966666666667</v>
      </c>
      <c r="AY10" s="8" t="n">
        <v>106.45</v>
      </c>
      <c r="AZ10" s="8" t="n">
        <v>107.523333333333</v>
      </c>
      <c r="BA10" s="8" t="n">
        <v>107.946666666667</v>
      </c>
      <c r="BB10" s="8" t="n">
        <v>107.996666666667</v>
      </c>
      <c r="BC10" s="8" t="n">
        <v>107.66</v>
      </c>
      <c r="BD10" s="8" t="n">
        <v>108.083333333333</v>
      </c>
      <c r="BE10" s="8" t="n">
        <v>107.376666666667</v>
      </c>
      <c r="BF10" s="8" t="n">
        <v>107.15</v>
      </c>
      <c r="BG10" s="8" t="n">
        <v>109.79</v>
      </c>
      <c r="BH10" s="8" t="n">
        <v>109.616666666667</v>
      </c>
      <c r="BI10" s="9" t="inlineStr"/>
      <c r="BJ10" s="9" t="inlineStr"/>
    </row>
    <row r="11" ht="19" customHeight="1">
      <c r="A11" s="6" t="inlineStr">
        <is>
          <t>Vietnam</t>
        </is>
      </c>
      <c r="B11" s="8" t="n">
        <v>59.456447594471</v>
      </c>
      <c r="C11" s="8" t="n">
        <v>60.3742466666667</v>
      </c>
      <c r="D11" s="8" t="n">
        <v>60.9111933333333</v>
      </c>
      <c r="E11" s="8" t="n">
        <v>63.32145</v>
      </c>
      <c r="F11" s="8" t="n">
        <v>67.0649566666667</v>
      </c>
      <c r="G11" s="8" t="n">
        <v>72.0716</v>
      </c>
      <c r="H11" s="8" t="n">
        <v>74.6367066666667</v>
      </c>
      <c r="I11" s="8" t="n">
        <v>75.8755666666667</v>
      </c>
      <c r="J11" s="8" t="n">
        <v>77.7490966666667</v>
      </c>
      <c r="K11" s="8" t="n">
        <v>78.2490566666667</v>
      </c>
      <c r="L11" s="8" t="n">
        <v>78.8359333333333</v>
      </c>
      <c r="M11" s="8" t="n">
        <v>81.1574466666667</v>
      </c>
      <c r="N11" s="8" t="n">
        <v>83.12078</v>
      </c>
      <c r="O11" s="8" t="n">
        <v>83.3749466666667</v>
      </c>
      <c r="P11" s="8" t="n">
        <v>84.37172</v>
      </c>
      <c r="Q11" s="8" t="n">
        <v>85.95638</v>
      </c>
      <c r="R11" s="8" t="n">
        <v>87.13185</v>
      </c>
      <c r="S11" s="8" t="n">
        <v>87.30786000000001</v>
      </c>
      <c r="T11" s="8" t="n">
        <v>87.98776333333331</v>
      </c>
      <c r="U11" s="8" t="n">
        <v>88.15411</v>
      </c>
      <c r="V11" s="8" t="n">
        <v>87.77227000000001</v>
      </c>
      <c r="W11" s="8" t="n">
        <v>88.1649666666667</v>
      </c>
      <c r="X11" s="8" t="n">
        <v>88.4291666666667</v>
      </c>
      <c r="Y11" s="8" t="n">
        <v>88.4280533333333</v>
      </c>
      <c r="Z11" s="8" t="n">
        <v>88.87282</v>
      </c>
      <c r="AA11" s="8" t="n">
        <v>90.09545</v>
      </c>
      <c r="AB11" s="8" t="n">
        <v>90.8781433333333</v>
      </c>
      <c r="AC11" s="8" t="n">
        <v>92.36147333333329</v>
      </c>
      <c r="AD11" s="8" t="n">
        <v>93.28167999999999</v>
      </c>
      <c r="AE11" s="8" t="n">
        <v>93.1048066666667</v>
      </c>
      <c r="AF11" s="8" t="n">
        <v>93.68959</v>
      </c>
      <c r="AG11" s="8" t="n">
        <v>94.88245999999999</v>
      </c>
      <c r="AH11" s="8" t="n">
        <v>95.9143266666667</v>
      </c>
      <c r="AI11" s="8" t="n">
        <v>96.60044000000001</v>
      </c>
      <c r="AJ11" s="8" t="n">
        <v>97.5653433333333</v>
      </c>
      <c r="AK11" s="8" t="n">
        <v>98.15055333333331</v>
      </c>
      <c r="AL11" s="8" t="n">
        <v>98.44071</v>
      </c>
      <c r="AM11" s="8" t="n">
        <v>99.1641833333333</v>
      </c>
      <c r="AN11" s="8" t="n">
        <v>99.73635</v>
      </c>
      <c r="AO11" s="8" t="n">
        <v>101.74366</v>
      </c>
      <c r="AP11" s="8" t="n">
        <v>103.91903</v>
      </c>
      <c r="AQ11" s="8" t="n">
        <v>101.97118</v>
      </c>
      <c r="AR11" s="8" t="n">
        <v>102.910033333333</v>
      </c>
      <c r="AS11" s="8" t="n">
        <v>103.138953333333</v>
      </c>
      <c r="AT11" s="8" t="n">
        <v>104.222733333333</v>
      </c>
      <c r="AU11" s="8" t="n">
        <v>104.693933333333</v>
      </c>
      <c r="AV11" s="8" t="n">
        <v>105.490033333333</v>
      </c>
      <c r="AW11" s="8" t="n">
        <v>105.090366666667</v>
      </c>
      <c r="AX11" s="8" t="n">
        <v>106.228733333333</v>
      </c>
      <c r="AY11" s="8" t="n">
        <v>107.7916</v>
      </c>
      <c r="AZ11" s="8" t="n">
        <v>108.995466666667</v>
      </c>
      <c r="BA11" s="8" t="n">
        <v>109.722766666667</v>
      </c>
      <c r="BB11" s="8" t="n">
        <v>110.6679</v>
      </c>
      <c r="BC11" s="8" t="n">
        <v>110.390833333333</v>
      </c>
      <c r="BD11" s="8" t="n">
        <v>112.149166666667</v>
      </c>
      <c r="BE11" s="8" t="n">
        <v>113.607133333333</v>
      </c>
      <c r="BF11" s="8" t="n">
        <v>114.843033333333</v>
      </c>
      <c r="BG11" s="8" t="n">
        <v>115.242466666667</v>
      </c>
      <c r="BH11" s="8" t="n">
        <v>116.045433333333</v>
      </c>
      <c r="BI11" s="8" t="n">
        <v>116.8637</v>
      </c>
      <c r="BJ11" s="8" t="n">
        <v>118.542866666667</v>
      </c>
    </row>
  </sheetData>
  <autoFilter ref="A1:BJ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J1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21" customWidth="1" min="11" max="11"/>
    <col width="20" customWidth="1" min="12" max="12"/>
    <col width="21" customWidth="1" min="13" max="13"/>
    <col width="21" customWidth="1" min="14" max="14"/>
    <col width="20" customWidth="1" min="15" max="15"/>
    <col width="20" customWidth="1" min="16" max="16"/>
    <col width="19" customWidth="1" min="17" max="17"/>
    <col width="20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2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0" customWidth="1" min="30" max="30"/>
    <col width="21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1" customWidth="1" min="38" max="38"/>
    <col width="21" customWidth="1" min="39" max="39"/>
    <col width="21" customWidth="1" min="40" max="40"/>
    <col width="22" customWidth="1" min="41" max="41"/>
    <col width="20" customWidth="1" min="42" max="42"/>
    <col width="21" customWidth="1" min="43" max="43"/>
    <col width="21" customWidth="1" min="44" max="44"/>
    <col width="21" customWidth="1" min="45" max="45"/>
    <col width="20" customWidth="1" min="46" max="46"/>
    <col width="19" customWidth="1" min="47" max="47"/>
    <col width="20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20" customWidth="1" min="54" max="54"/>
    <col width="20" customWidth="1" min="55" max="55"/>
    <col width="21" customWidth="1" min="56" max="56"/>
    <col width="21" customWidth="1" min="57" max="57"/>
    <col width="21" customWidth="1" min="58" max="58"/>
    <col width="21" customWidth="1" min="59" max="59"/>
    <col width="21" customWidth="1" min="60" max="60"/>
    <col width="21" customWidth="1" min="61" max="61"/>
    <col width="20" customWidth="1" min="62" max="62"/>
  </cols>
  <sheetData>
    <row r="1" ht="26" customHeight="1">
      <c r="A1" s="5" t="inlineStr">
        <is>
          <t>country</t>
        </is>
      </c>
      <c r="B1" s="5" t="inlineStr">
        <is>
          <t>2010 Q1</t>
        </is>
      </c>
      <c r="C1" s="5" t="inlineStr">
        <is>
          <t>2010 Q2</t>
        </is>
      </c>
      <c r="D1" s="5" t="inlineStr">
        <is>
          <t>2010 Q3</t>
        </is>
      </c>
      <c r="E1" s="5" t="inlineStr">
        <is>
          <t>2010 Q4</t>
        </is>
      </c>
      <c r="F1" s="5" t="inlineStr">
        <is>
          <t>2011 Q1</t>
        </is>
      </c>
      <c r="G1" s="5" t="inlineStr">
        <is>
          <t>2011 Q2</t>
        </is>
      </c>
      <c r="H1" s="5" t="inlineStr">
        <is>
          <t>2011 Q3</t>
        </is>
      </c>
      <c r="I1" s="5" t="inlineStr">
        <is>
          <t>2011 Q4</t>
        </is>
      </c>
      <c r="J1" s="5" t="inlineStr">
        <is>
          <t>2012 Q1</t>
        </is>
      </c>
      <c r="K1" s="5" t="inlineStr">
        <is>
          <t>2012 Q2</t>
        </is>
      </c>
      <c r="L1" s="5" t="inlineStr">
        <is>
          <t>2012 Q3</t>
        </is>
      </c>
      <c r="M1" s="5" t="inlineStr">
        <is>
          <t>2012 Q4</t>
        </is>
      </c>
      <c r="N1" s="5" t="inlineStr">
        <is>
          <t>2013 Q1</t>
        </is>
      </c>
      <c r="O1" s="5" t="inlineStr">
        <is>
          <t>2013 Q2</t>
        </is>
      </c>
      <c r="P1" s="5" t="inlineStr">
        <is>
          <t>2013 Q3</t>
        </is>
      </c>
      <c r="Q1" s="5" t="inlineStr">
        <is>
          <t>2013 Q4</t>
        </is>
      </c>
      <c r="R1" s="5" t="inlineStr">
        <is>
          <t>2014 Q1</t>
        </is>
      </c>
      <c r="S1" s="5" t="inlineStr">
        <is>
          <t>2014 Q2</t>
        </is>
      </c>
      <c r="T1" s="5" t="inlineStr">
        <is>
          <t>2014 Q3</t>
        </is>
      </c>
      <c r="U1" s="5" t="inlineStr">
        <is>
          <t>2014 Q4</t>
        </is>
      </c>
      <c r="V1" s="5" t="inlineStr">
        <is>
          <t>2015 Q1</t>
        </is>
      </c>
      <c r="W1" s="5" t="inlineStr">
        <is>
          <t>2015 Q2</t>
        </is>
      </c>
      <c r="X1" s="5" t="inlineStr">
        <is>
          <t>2015 Q3</t>
        </is>
      </c>
      <c r="Y1" s="5" t="inlineStr">
        <is>
          <t>2015 Q4</t>
        </is>
      </c>
      <c r="Z1" s="5" t="inlineStr">
        <is>
          <t>2016 Q1</t>
        </is>
      </c>
      <c r="AA1" s="5" t="inlineStr">
        <is>
          <t>2016 Q2</t>
        </is>
      </c>
      <c r="AB1" s="5" t="inlineStr">
        <is>
          <t>2016 Q3</t>
        </is>
      </c>
      <c r="AC1" s="5" t="inlineStr">
        <is>
          <t>2016 Q4</t>
        </is>
      </c>
      <c r="AD1" s="5" t="inlineStr">
        <is>
          <t>2017 Q1</t>
        </is>
      </c>
      <c r="AE1" s="5" t="inlineStr">
        <is>
          <t>2017 Q2</t>
        </is>
      </c>
      <c r="AF1" s="5" t="inlineStr">
        <is>
          <t>2017 Q3</t>
        </is>
      </c>
      <c r="AG1" s="5" t="inlineStr">
        <is>
          <t>2017 Q4</t>
        </is>
      </c>
      <c r="AH1" s="5" t="inlineStr">
        <is>
          <t>2018 Q1</t>
        </is>
      </c>
      <c r="AI1" s="5" t="inlineStr">
        <is>
          <t>2018 Q2</t>
        </is>
      </c>
      <c r="AJ1" s="5" t="inlineStr">
        <is>
          <t>2018 Q3</t>
        </is>
      </c>
      <c r="AK1" s="5" t="inlineStr">
        <is>
          <t>2018 Q4</t>
        </is>
      </c>
      <c r="AL1" s="5" t="inlineStr">
        <is>
          <t>2019 Q1</t>
        </is>
      </c>
      <c r="AM1" s="5" t="inlineStr">
        <is>
          <t>2019 Q2</t>
        </is>
      </c>
      <c r="AN1" s="5" t="inlineStr">
        <is>
          <t>2019 Q3</t>
        </is>
      </c>
      <c r="AO1" s="5" t="inlineStr">
        <is>
          <t>2019 Q4</t>
        </is>
      </c>
      <c r="AP1" s="5" t="inlineStr">
        <is>
          <t>2020 Q1</t>
        </is>
      </c>
      <c r="AQ1" s="5" t="inlineStr">
        <is>
          <t>2020 Q2</t>
        </is>
      </c>
      <c r="AR1" s="5" t="inlineStr">
        <is>
          <t>2020 Q3</t>
        </is>
      </c>
      <c r="AS1" s="5" t="inlineStr">
        <is>
          <t>2020 Q4</t>
        </is>
      </c>
      <c r="AT1" s="5" t="inlineStr">
        <is>
          <t>2021 Q1</t>
        </is>
      </c>
      <c r="AU1" s="5" t="inlineStr">
        <is>
          <t>2021 Q2</t>
        </is>
      </c>
      <c r="AV1" s="5" t="inlineStr">
        <is>
          <t>2021 Q3</t>
        </is>
      </c>
      <c r="AW1" s="5" t="inlineStr">
        <is>
          <t>2021 Q4</t>
        </is>
      </c>
      <c r="AX1" s="5" t="inlineStr">
        <is>
          <t>2022 Q1</t>
        </is>
      </c>
      <c r="AY1" s="5" t="inlineStr">
        <is>
          <t>2022 Q2</t>
        </is>
      </c>
      <c r="AZ1" s="5" t="inlineStr">
        <is>
          <t>2022 Q3</t>
        </is>
      </c>
      <c r="BA1" s="5" t="inlineStr">
        <is>
          <t>2022 Q4</t>
        </is>
      </c>
      <c r="BB1" s="5" t="inlineStr">
        <is>
          <t>2023 Q1</t>
        </is>
      </c>
      <c r="BC1" s="5" t="inlineStr">
        <is>
          <t>2023 Q2</t>
        </is>
      </c>
      <c r="BD1" s="5" t="inlineStr">
        <is>
          <t>2023 Q3</t>
        </is>
      </c>
      <c r="BE1" s="5" t="inlineStr">
        <is>
          <t>2023 Q4</t>
        </is>
      </c>
      <c r="BF1" s="5" t="inlineStr">
        <is>
          <t>2024 Q1</t>
        </is>
      </c>
      <c r="BG1" s="5" t="inlineStr">
        <is>
          <t>2024 Q2</t>
        </is>
      </c>
      <c r="BH1" s="5" t="inlineStr">
        <is>
          <t>2024 Q3</t>
        </is>
      </c>
      <c r="BI1" s="5" t="inlineStr">
        <is>
          <t>2024 Q4</t>
        </is>
      </c>
      <c r="BJ1" s="5" t="inlineStr">
        <is>
          <t>2025 Q1</t>
        </is>
      </c>
    </row>
    <row r="2" ht="19" customHeight="1">
      <c r="A2" s="6" t="inlineStr">
        <is>
          <t>Brunei</t>
        </is>
      </c>
      <c r="B2" s="9" t="inlineStr"/>
      <c r="C2" s="9" t="inlineStr"/>
      <c r="D2" s="9" t="inlineStr"/>
      <c r="E2" s="9" t="inlineStr"/>
      <c r="F2" s="8" t="n">
        <v>0.134960952333696</v>
      </c>
      <c r="G2" s="8" t="n">
        <v>0.159837743645741</v>
      </c>
      <c r="H2" s="8" t="n">
        <v>0.102262806970721</v>
      </c>
      <c r="I2" s="8" t="n">
        <v>0.154549002621707</v>
      </c>
      <c r="J2" s="8" t="n">
        <v>0.171932344462622</v>
      </c>
      <c r="K2" s="8" t="n">
        <v>0.07878907367164791</v>
      </c>
      <c r="L2" s="8" t="n">
        <v>0.108202558015691</v>
      </c>
      <c r="M2" s="8" t="n">
        <v>0.08815604721765791</v>
      </c>
      <c r="N2" s="8" t="n">
        <v>0.0668770933788476</v>
      </c>
      <c r="O2" s="8" t="n">
        <v>0.147016818248891</v>
      </c>
      <c r="P2" s="8" t="n">
        <v>0.682824892059264</v>
      </c>
      <c r="Q2" s="8" t="n">
        <v>0.66044338613096</v>
      </c>
      <c r="R2" s="8" t="n">
        <v>-0.30569559992143</v>
      </c>
      <c r="S2" s="8" t="n">
        <v>0.0807676243255173</v>
      </c>
      <c r="T2" s="8" t="n">
        <v>-0.325821817281069</v>
      </c>
      <c r="U2" s="8" t="n">
        <v>-0.276743109033495</v>
      </c>
      <c r="V2" s="8" t="n">
        <v>-0.225533724494376</v>
      </c>
      <c r="W2" s="8" t="n">
        <v>-0.469372790546141</v>
      </c>
      <c r="X2" s="8" t="n">
        <v>-0.546624454700428</v>
      </c>
      <c r="Y2" s="8" t="n">
        <v>-0.710329194981996</v>
      </c>
      <c r="Z2" s="8" t="n">
        <v>-0.132373879864189</v>
      </c>
      <c r="AA2" s="8" t="n">
        <v>-0.390276467398953</v>
      </c>
      <c r="AB2" s="8" t="n">
        <v>-0.325053236818607</v>
      </c>
      <c r="AC2" s="8" t="n">
        <v>-0.266891070603725</v>
      </c>
      <c r="AD2" s="8" t="n">
        <v>-1.4104552723393</v>
      </c>
      <c r="AE2" s="8" t="n">
        <v>-1.35088150231342</v>
      </c>
      <c r="AF2" s="8" t="n">
        <v>-1.21393155604753</v>
      </c>
      <c r="AG2" s="8" t="n">
        <v>-1.06679563306917</v>
      </c>
      <c r="AH2" s="8" t="n">
        <v>1.10302000324887</v>
      </c>
      <c r="AI2" s="8" t="n">
        <v>1.14330206860411</v>
      </c>
      <c r="AJ2" s="8" t="n">
        <v>1.17510071480973</v>
      </c>
      <c r="AK2" s="8" t="n">
        <v>0.67987487346306</v>
      </c>
      <c r="AL2" s="8" t="n">
        <v>-0.285212061110829</v>
      </c>
      <c r="AM2" s="8" t="n">
        <v>-0.661869584254959</v>
      </c>
      <c r="AN2" s="8" t="n">
        <v>-0.590104406127423</v>
      </c>
      <c r="AO2" s="8" t="n">
        <v>-0.0243239027843067</v>
      </c>
      <c r="AP2" s="8" t="n">
        <v>1.39311856251449</v>
      </c>
      <c r="AQ2" s="8" t="n">
        <v>2.34791293775096</v>
      </c>
      <c r="AR2" s="8" t="n">
        <v>1.88166963810052</v>
      </c>
      <c r="AS2" s="8" t="n">
        <v>2.139811764973</v>
      </c>
      <c r="AT2" s="8" t="n">
        <v>1.81599748653438</v>
      </c>
      <c r="AU2" s="8" t="n">
        <v>1.27721798126621</v>
      </c>
      <c r="AV2" s="8" t="n">
        <v>1.86682490884336</v>
      </c>
      <c r="AW2" s="8" t="n">
        <v>1.9733735570153</v>
      </c>
      <c r="AX2" s="8" t="n">
        <v>3.25755299267922</v>
      </c>
      <c r="AY2" s="8" t="n">
        <v>3.88639283430636</v>
      </c>
      <c r="AZ2" s="8" t="n">
        <v>4.29108614344071</v>
      </c>
      <c r="BA2" s="8" t="n">
        <v>3.2956590157168</v>
      </c>
      <c r="BB2" s="8" t="n">
        <v>0.985574161259817</v>
      </c>
      <c r="BC2" s="8" t="n">
        <v>0.38037449555286</v>
      </c>
      <c r="BD2" s="8" t="n">
        <v>-0.243111402609608</v>
      </c>
      <c r="BE2" s="8" t="n">
        <v>0.314171788659534</v>
      </c>
      <c r="BF2" s="8" t="n">
        <v>-0.312180704744502</v>
      </c>
      <c r="BG2" s="8" t="n">
        <v>-0.208952322555389</v>
      </c>
      <c r="BH2" s="8" t="n">
        <v>-0.442817116936356</v>
      </c>
      <c r="BI2" s="8" t="n">
        <v>-0.589747890634462</v>
      </c>
      <c r="BJ2" s="8" t="n">
        <v>-0.20448724400296</v>
      </c>
    </row>
    <row r="3" ht="19" customHeight="1">
      <c r="A3" s="6" t="inlineStr">
        <is>
          <t>Cambodia</t>
        </is>
      </c>
      <c r="B3" s="9" t="inlineStr"/>
      <c r="C3" s="9" t="inlineStr"/>
      <c r="D3" s="9" t="inlineStr"/>
      <c r="E3" s="9" t="inlineStr"/>
      <c r="F3" s="8" t="n">
        <v>3.63669242068809</v>
      </c>
      <c r="G3" s="8" t="n">
        <v>6.26531654816522</v>
      </c>
      <c r="H3" s="8" t="n">
        <v>6.71706636744887</v>
      </c>
      <c r="I3" s="8" t="n">
        <v>5.27629567225187</v>
      </c>
      <c r="J3" s="8" t="n">
        <v>5.51399233218284</v>
      </c>
      <c r="K3" s="8" t="n">
        <v>2.92461900758503</v>
      </c>
      <c r="L3" s="8" t="n">
        <v>1.63509303312153</v>
      </c>
      <c r="M3" s="8" t="n">
        <v>1.78195248734667</v>
      </c>
      <c r="N3" s="8" t="n">
        <v>1.51503824973211</v>
      </c>
      <c r="O3" s="8" t="n">
        <v>2.25010661606257</v>
      </c>
      <c r="P3" s="8" t="n">
        <v>3.66684245368762</v>
      </c>
      <c r="Q3" s="8" t="n">
        <v>4.31484020105906</v>
      </c>
      <c r="R3" s="8" t="n">
        <v>4.60894072912041</v>
      </c>
      <c r="S3" s="8" t="n">
        <v>4.78030501973956</v>
      </c>
      <c r="T3" s="8" t="n">
        <v>3.97939193211458</v>
      </c>
      <c r="U3" s="8" t="n">
        <v>2.10844343664041</v>
      </c>
      <c r="V3" s="8" t="n">
        <v>1.03374055799805</v>
      </c>
      <c r="W3" s="8" t="n">
        <v>0.994496780837939</v>
      </c>
      <c r="X3" s="8" t="n">
        <v>0.854398361154018</v>
      </c>
      <c r="Y3" s="8" t="n">
        <v>2.01380389385892</v>
      </c>
      <c r="Z3" s="8" t="n">
        <v>2.46057568265456</v>
      </c>
      <c r="AA3" s="8" t="n">
        <v>3.04899538094197</v>
      </c>
      <c r="AB3" s="8" t="n">
        <v>2.94317998852287</v>
      </c>
      <c r="AC3" s="8" t="n">
        <v>3.6108465575744</v>
      </c>
      <c r="AD3" s="8" t="n">
        <v>4.23175755177907</v>
      </c>
      <c r="AE3" s="8" t="n">
        <v>2.73375209448028</v>
      </c>
      <c r="AF3" s="8" t="n">
        <v>2.52897533587328</v>
      </c>
      <c r="AG3" s="8" t="n">
        <v>2.19553928493266</v>
      </c>
      <c r="AH3" s="8" t="n">
        <v>2.20770670931696</v>
      </c>
      <c r="AI3" s="8" t="n">
        <v>2.72581328238108</v>
      </c>
      <c r="AJ3" s="8" t="n">
        <v>2.49319397940984</v>
      </c>
      <c r="AK3" s="8" t="n">
        <v>2.4090568388673</v>
      </c>
      <c r="AL3" s="8" t="n">
        <v>1.93312778295738</v>
      </c>
      <c r="AM3" s="8" t="n">
        <v>1.82971143023147</v>
      </c>
      <c r="AN3" s="8" t="n">
        <v>1.97610960577033</v>
      </c>
      <c r="AO3" s="8" t="n">
        <v>2.03034491149559</v>
      </c>
      <c r="AP3" s="8" t="n">
        <v>3.02421344263539</v>
      </c>
      <c r="AQ3" s="8" t="n">
        <v>2.50148292517582</v>
      </c>
      <c r="AR3" s="8" t="n">
        <v>2.79651058351547</v>
      </c>
      <c r="AS3" s="8" t="n">
        <v>3.43525886949669</v>
      </c>
      <c r="AT3" s="8" t="n">
        <v>2.13476461411228</v>
      </c>
      <c r="AU3" s="8" t="n">
        <v>2.82457851777145</v>
      </c>
      <c r="AV3" s="8" t="n">
        <v>3.22811411803894</v>
      </c>
      <c r="AW3" s="8" t="n">
        <v>3.47950772423335</v>
      </c>
      <c r="AX3" s="8" t="n">
        <v>5.87062020858167</v>
      </c>
      <c r="AY3" s="8" t="n">
        <v>7.41052413418519</v>
      </c>
      <c r="AZ3" s="8" t="n">
        <v>4.92386637159559</v>
      </c>
      <c r="BA3" s="8" t="n">
        <v>3.23577949071463</v>
      </c>
      <c r="BB3" s="8" t="n">
        <v>1.93915443055224</v>
      </c>
      <c r="BC3" s="8" t="n">
        <v>0.537109456220342</v>
      </c>
      <c r="BD3" s="8" t="n">
        <v>2.95301990864141</v>
      </c>
      <c r="BE3" s="8" t="n">
        <v>3.09776743558612</v>
      </c>
      <c r="BF3" s="8" t="n">
        <v>-0.246806718757309</v>
      </c>
      <c r="BG3" s="8" t="n">
        <v>0.7657053986532379</v>
      </c>
      <c r="BH3" s="9" t="inlineStr"/>
      <c r="BI3" s="9" t="inlineStr"/>
      <c r="BJ3" s="9" t="inlineStr"/>
    </row>
    <row r="4" ht="19" customHeight="1">
      <c r="A4" s="6" t="inlineStr">
        <is>
          <t>Indonesia</t>
        </is>
      </c>
      <c r="B4" s="9" t="inlineStr"/>
      <c r="C4" s="9" t="inlineStr"/>
      <c r="D4" s="9" t="inlineStr"/>
      <c r="E4" s="9" t="inlineStr"/>
      <c r="F4" s="8" t="n">
        <v>6.83061915964889</v>
      </c>
      <c r="G4" s="8" t="n">
        <v>5.89173956516478</v>
      </c>
      <c r="H4" s="8" t="n">
        <v>4.66786292166324</v>
      </c>
      <c r="I4" s="8" t="n">
        <v>4.11823576646371</v>
      </c>
      <c r="J4" s="8" t="n">
        <v>3.7249173260465</v>
      </c>
      <c r="K4" s="8" t="n">
        <v>4.49507440005315</v>
      </c>
      <c r="L4" s="8" t="n">
        <v>4.48567828239546</v>
      </c>
      <c r="M4" s="8" t="n">
        <v>4.4065684191205</v>
      </c>
      <c r="N4" s="8" t="n">
        <v>4.7261339554922</v>
      </c>
      <c r="O4" s="8" t="n">
        <v>5.22905421466124</v>
      </c>
      <c r="P4" s="8" t="n">
        <v>7.87171607780599</v>
      </c>
      <c r="Q4" s="8" t="n">
        <v>7.75434231161847</v>
      </c>
      <c r="R4" s="8" t="n">
        <v>7.76137677656086</v>
      </c>
      <c r="S4" s="8" t="n">
        <v>7.08941378305954</v>
      </c>
      <c r="T4" s="8" t="n">
        <v>4.35155376495944</v>
      </c>
      <c r="U4" s="8" t="n">
        <v>6.47578810994649</v>
      </c>
      <c r="V4" s="8" t="n">
        <v>6.54298144609802</v>
      </c>
      <c r="W4" s="8" t="n">
        <v>7.06500375047914</v>
      </c>
      <c r="X4" s="8" t="n">
        <v>7.08917324965539</v>
      </c>
      <c r="Y4" s="8" t="n">
        <v>4.81177155890076</v>
      </c>
      <c r="Z4" s="8" t="n">
        <v>4.33508843100705</v>
      </c>
      <c r="AA4" s="8" t="n">
        <v>3.46117162776172</v>
      </c>
      <c r="AB4" s="8" t="n">
        <v>3.02474115751539</v>
      </c>
      <c r="AC4" s="8" t="n">
        <v>3.30257329885266</v>
      </c>
      <c r="AD4" s="8" t="n">
        <v>3.64541191047338</v>
      </c>
      <c r="AE4" s="8" t="n">
        <v>4.29156350460265</v>
      </c>
      <c r="AF4" s="8" t="n">
        <v>3.80631632662221</v>
      </c>
      <c r="AG4" s="8" t="n">
        <v>3.4981717847784</v>
      </c>
      <c r="AH4" s="8" t="n">
        <v>3.27785604349715</v>
      </c>
      <c r="AI4" s="8" t="n">
        <v>3.25422983891175</v>
      </c>
      <c r="AJ4" s="8" t="n">
        <v>3.08982111366953</v>
      </c>
      <c r="AK4" s="8" t="n">
        <v>3.17319734809103</v>
      </c>
      <c r="AL4" s="8" t="n">
        <v>2.62464548418897</v>
      </c>
      <c r="AM4" s="8" t="n">
        <v>3.14419129040233</v>
      </c>
      <c r="AN4" s="8" t="n">
        <v>3.4001656980976</v>
      </c>
      <c r="AO4" s="8" t="n">
        <v>2.94944493989047</v>
      </c>
      <c r="AP4" s="8" t="n">
        <v>2.92059948960741</v>
      </c>
      <c r="AQ4" s="8" t="n">
        <v>2.11295370738678</v>
      </c>
      <c r="AR4" s="8" t="n">
        <v>1.19937893236619</v>
      </c>
      <c r="AS4" s="8" t="n">
        <v>1.46843371122771</v>
      </c>
      <c r="AT4" s="8" t="n">
        <v>1.43141044602524</v>
      </c>
      <c r="AU4" s="8" t="n">
        <v>1.47747890082508</v>
      </c>
      <c r="AV4" s="8" t="n">
        <v>1.56976165041374</v>
      </c>
      <c r="AW4" s="8" t="n">
        <v>1.76054510095425</v>
      </c>
      <c r="AX4" s="8" t="n">
        <v>2.2913231932769</v>
      </c>
      <c r="AY4" s="8" t="n">
        <v>3.7917031215537</v>
      </c>
      <c r="AZ4" s="8" t="n">
        <v>5.19332289471994</v>
      </c>
      <c r="BA4" s="8" t="n">
        <v>5.54503796423782</v>
      </c>
      <c r="BB4" s="8" t="n">
        <v>5.23889515815859</v>
      </c>
      <c r="BC4" s="8" t="n">
        <v>3.94881725432565</v>
      </c>
      <c r="BD4" s="8" t="n">
        <v>2.87297844261516</v>
      </c>
      <c r="BE4" s="8" t="n">
        <v>2.67988105352139</v>
      </c>
      <c r="BF4" s="8" t="n">
        <v>2.57063465658109</v>
      </c>
      <c r="BG4" s="8" t="n">
        <v>2.64319092340974</v>
      </c>
      <c r="BH4" s="8" t="n">
        <v>1.94058147650447</v>
      </c>
      <c r="BI4" s="8" t="n">
        <v>1.5813572618155</v>
      </c>
      <c r="BJ4" s="8" t="n">
        <v>0.564838761457409</v>
      </c>
    </row>
    <row r="5" ht="19" customHeight="1">
      <c r="A5" s="6" t="inlineStr">
        <is>
          <t>Laos</t>
        </is>
      </c>
      <c r="B5" s="9" t="inlineStr"/>
      <c r="C5" s="9" t="inlineStr"/>
      <c r="D5" s="9" t="inlineStr"/>
      <c r="E5" s="9" t="inlineStr"/>
      <c r="F5" s="8" t="n">
        <v>6.80987135477442</v>
      </c>
      <c r="G5" s="8" t="n">
        <v>9.49876216624812</v>
      </c>
      <c r="H5" s="8" t="n">
        <v>6.57910994020838</v>
      </c>
      <c r="I5" s="8" t="n">
        <v>7.42033300278575</v>
      </c>
      <c r="J5" s="8" t="n">
        <v>6.03439619618711</v>
      </c>
      <c r="K5" s="8" t="n">
        <v>3.89800317351352</v>
      </c>
      <c r="L5" s="8" t="n">
        <v>3.31390337170545</v>
      </c>
      <c r="M5" s="8" t="n">
        <v>3.86649989736261</v>
      </c>
      <c r="N5" s="8" t="n">
        <v>5.84444126355401</v>
      </c>
      <c r="O5" s="8" t="n">
        <v>5.80405335132661</v>
      </c>
      <c r="P5" s="8" t="n">
        <v>7.04155621999847</v>
      </c>
      <c r="Q5" s="8" t="n">
        <v>6.77280794830353</v>
      </c>
      <c r="R5" s="8" t="n">
        <v>5.65475297494418</v>
      </c>
      <c r="S5" s="8" t="n">
        <v>4.74283610728949</v>
      </c>
      <c r="T5" s="8" t="n">
        <v>3.45371142325579</v>
      </c>
      <c r="U5" s="8" t="n">
        <v>2.74721697986082</v>
      </c>
      <c r="V5" s="8" t="n">
        <v>1.55564553695862</v>
      </c>
      <c r="W5" s="8" t="n">
        <v>1.17016331537074</v>
      </c>
      <c r="X5" s="8" t="n">
        <v>1.22849501889308</v>
      </c>
      <c r="Y5" s="8" t="n">
        <v>1.15979369309298</v>
      </c>
      <c r="Z5" s="8" t="n">
        <v>1.09325443623915</v>
      </c>
      <c r="AA5" s="8" t="n">
        <v>1.25371093531048</v>
      </c>
      <c r="AB5" s="8" t="n">
        <v>1.88674465645193</v>
      </c>
      <c r="AC5" s="8" t="n">
        <v>2.14378899067442</v>
      </c>
      <c r="AD5" s="8" t="n">
        <v>1.89554789847013</v>
      </c>
      <c r="AE5" s="8" t="n">
        <v>0.999160178244085</v>
      </c>
      <c r="AF5" s="8" t="n">
        <v>0.146215201943534</v>
      </c>
      <c r="AG5" s="8" t="n">
        <v>0.28950964929646</v>
      </c>
      <c r="AH5" s="8" t="n">
        <v>1.53333904018587</v>
      </c>
      <c r="AI5" s="8" t="n">
        <v>2.0101222080559</v>
      </c>
      <c r="AJ5" s="8" t="n">
        <v>2.69169421819875</v>
      </c>
      <c r="AK5" s="8" t="n">
        <v>1.92358734480524</v>
      </c>
      <c r="AL5" s="8" t="n">
        <v>1.57988470546964</v>
      </c>
      <c r="AM5" s="8" t="n">
        <v>2.41111687620141</v>
      </c>
      <c r="AN5" s="8" t="n">
        <v>3.42194522760662</v>
      </c>
      <c r="AO5" s="8" t="n">
        <v>5.8457845055141</v>
      </c>
      <c r="AP5" s="8" t="n">
        <v>6.4383820782218</v>
      </c>
      <c r="AQ5" s="8" t="n">
        <v>5.57125268183749</v>
      </c>
      <c r="AR5" s="8" t="n">
        <v>5.23837944038967</v>
      </c>
      <c r="AS5" s="8" t="n">
        <v>3.26110952202889</v>
      </c>
      <c r="AT5" s="8" t="n">
        <v>2.1602054706418</v>
      </c>
      <c r="AU5" s="8" t="n">
        <v>3.58837976233648</v>
      </c>
      <c r="AV5" s="8" t="n">
        <v>4.22335043847435</v>
      </c>
      <c r="AW5" s="8" t="n">
        <v>5.00855313789306</v>
      </c>
      <c r="AX5" s="8" t="n">
        <v>7.36684827650924</v>
      </c>
      <c r="AY5" s="8" t="n">
        <v>15.4372788672965</v>
      </c>
      <c r="AZ5" s="8" t="n">
        <v>29.8851510226434</v>
      </c>
      <c r="BA5" s="8" t="n">
        <v>38.1596157756572</v>
      </c>
      <c r="BB5" s="8" t="n">
        <v>40.8466412049334</v>
      </c>
      <c r="BC5" s="8" t="n">
        <v>35.5204824562274</v>
      </c>
      <c r="BD5" s="8" t="n">
        <v>26.4307041793733</v>
      </c>
      <c r="BE5" s="8" t="n">
        <v>25.1417424731469</v>
      </c>
      <c r="BF5" s="8" t="n">
        <v>24.9299615919655</v>
      </c>
      <c r="BG5" s="8" t="n">
        <v>25.6254456941936</v>
      </c>
      <c r="BH5" s="8" t="n">
        <v>23.9949190284021</v>
      </c>
      <c r="BI5" s="8" t="n">
        <v>18.6363594063228</v>
      </c>
      <c r="BJ5" s="8" t="n">
        <v>13.1093798162684</v>
      </c>
    </row>
    <row r="6" ht="19" customHeight="1">
      <c r="A6" s="6" t="inlineStr">
        <is>
          <t>Malaysia</t>
        </is>
      </c>
      <c r="B6" s="9" t="inlineStr"/>
      <c r="C6" s="9" t="inlineStr"/>
      <c r="D6" s="9" t="inlineStr"/>
      <c r="E6" s="9" t="inlineStr"/>
      <c r="F6" s="8" t="n">
        <v>2.7833668678739</v>
      </c>
      <c r="G6" s="8" t="n">
        <v>3.34784064278542</v>
      </c>
      <c r="H6" s="8" t="n">
        <v>3.35882939807115</v>
      </c>
      <c r="I6" s="8" t="n">
        <v>3.20555188367482</v>
      </c>
      <c r="J6" s="8" t="n">
        <v>2.28384991843393</v>
      </c>
      <c r="K6" s="8" t="n">
        <v>1.71687722708131</v>
      </c>
      <c r="L6" s="8" t="n">
        <v>1.35135135135136</v>
      </c>
      <c r="M6" s="8" t="n">
        <v>1.31284021773936</v>
      </c>
      <c r="N6" s="8" t="n">
        <v>1.49920255183413</v>
      </c>
      <c r="O6" s="8" t="n">
        <v>1.78343949044586</v>
      </c>
      <c r="P6" s="8" t="n">
        <v>2.15873015873016</v>
      </c>
      <c r="Q6" s="8" t="n">
        <v>2.97092288242731</v>
      </c>
      <c r="R6" s="8" t="n">
        <v>3.45694531741043</v>
      </c>
      <c r="S6" s="8" t="n">
        <v>3.28535669586985</v>
      </c>
      <c r="T6" s="8" t="n">
        <v>3.01429459291485</v>
      </c>
      <c r="U6" s="8" t="n">
        <v>2.82381829343157</v>
      </c>
      <c r="V6" s="8" t="n">
        <v>0.668286755771574</v>
      </c>
      <c r="W6" s="8" t="n">
        <v>2.15086337473493</v>
      </c>
      <c r="X6" s="8" t="n">
        <v>2.9864253393665</v>
      </c>
      <c r="Y6" s="8" t="n">
        <v>2.59701492537312</v>
      </c>
      <c r="Z6" s="8" t="n">
        <v>3.43995171997586</v>
      </c>
      <c r="AA6" s="8" t="n">
        <v>1.92763938315539</v>
      </c>
      <c r="AB6" s="8" t="n">
        <v>1.34739308728764</v>
      </c>
      <c r="AC6" s="8" t="n">
        <v>1.6875181844632</v>
      </c>
      <c r="AD6" s="8" t="n">
        <v>4.28821470245042</v>
      </c>
      <c r="AE6" s="8" t="n">
        <v>3.95693919115507</v>
      </c>
      <c r="AF6" s="8" t="n">
        <v>3.75722543352601</v>
      </c>
      <c r="AG6" s="8" t="n">
        <v>3.49070100143061</v>
      </c>
      <c r="AH6" s="8" t="n">
        <v>1.67832167832167</v>
      </c>
      <c r="AI6" s="8" t="n">
        <v>1.2034704729919</v>
      </c>
      <c r="AJ6" s="8" t="n">
        <v>0.362116991643435</v>
      </c>
      <c r="AK6" s="8" t="n">
        <v>0.304119435996686</v>
      </c>
      <c r="AL6" s="8" t="n">
        <v>-0.302613480055025</v>
      </c>
      <c r="AM6" s="8" t="n">
        <v>0.6360619469026439</v>
      </c>
      <c r="AN6" s="8" t="n">
        <v>1.3322231473772</v>
      </c>
      <c r="AO6" s="8" t="n">
        <v>0.992282249173093</v>
      </c>
      <c r="AP6" s="8" t="n">
        <v>0.910596026490063</v>
      </c>
      <c r="AQ6" s="8" t="n">
        <v>-2.55564715581204</v>
      </c>
      <c r="AR6" s="8" t="n">
        <v>-1.36948781155848</v>
      </c>
      <c r="AS6" s="8" t="n">
        <v>-1.52838427947598</v>
      </c>
      <c r="AT6" s="8" t="n">
        <v>0.492206726825262</v>
      </c>
      <c r="AU6" s="8" t="n">
        <v>4.17371686407217</v>
      </c>
      <c r="AV6" s="8" t="n">
        <v>2.13829491807831</v>
      </c>
      <c r="AW6" s="8" t="n">
        <v>3.15964523281596</v>
      </c>
      <c r="AX6" s="8" t="n">
        <v>2.2312925170068</v>
      </c>
      <c r="AY6" s="8" t="n">
        <v>2.84244721169464</v>
      </c>
      <c r="AZ6" s="8" t="n">
        <v>4.51332245785754</v>
      </c>
      <c r="BA6" s="8" t="n">
        <v>3.92262224610425</v>
      </c>
      <c r="BB6" s="8" t="n">
        <v>3.59329252062817</v>
      </c>
      <c r="BC6" s="8" t="n">
        <v>2.81653066596472</v>
      </c>
      <c r="BD6" s="8" t="n">
        <v>1.97710718002082</v>
      </c>
      <c r="BE6" s="8" t="n">
        <v>1.6028955532575</v>
      </c>
      <c r="BF6" s="8" t="n">
        <v>1.67009249743062</v>
      </c>
      <c r="BG6" s="8" t="n">
        <v>1.94572452636972</v>
      </c>
      <c r="BH6" s="8" t="n">
        <v>1.91326530612246</v>
      </c>
      <c r="BI6" s="8" t="n">
        <v>1.80661577608143</v>
      </c>
      <c r="BJ6" s="8" t="n">
        <v>1.47839272175889</v>
      </c>
    </row>
    <row r="7" ht="19" customHeight="1">
      <c r="A7" s="6" t="inlineStr">
        <is>
          <t>Myanmar</t>
        </is>
      </c>
      <c r="B7" s="9" t="inlineStr"/>
      <c r="C7" s="9" t="inlineStr"/>
      <c r="D7" s="9" t="inlineStr"/>
      <c r="E7" s="9" t="inlineStr"/>
      <c r="F7" s="8" t="n">
        <v>8.575685847158461</v>
      </c>
      <c r="G7" s="8" t="n">
        <v>7.08537813398353</v>
      </c>
      <c r="H7" s="8" t="n">
        <v>3.52054495856136</v>
      </c>
      <c r="I7" s="8" t="n">
        <v>1.1886963029633</v>
      </c>
      <c r="J7" s="8" t="n">
        <v>-0.520546534040678</v>
      </c>
      <c r="K7" s="8" t="n">
        <v>-1.50093346316729</v>
      </c>
      <c r="L7" s="8" t="n">
        <v>2.31697227993004</v>
      </c>
      <c r="M7" s="8" t="n">
        <v>5.63380451706197</v>
      </c>
      <c r="N7" s="8" t="n">
        <v>5.39729537404041</v>
      </c>
      <c r="O7" s="8" t="n">
        <v>6.05786541185949</v>
      </c>
      <c r="P7" s="8" t="n">
        <v>6.51672364842972</v>
      </c>
      <c r="Q7" s="8" t="n">
        <v>4.63149340552367</v>
      </c>
      <c r="R7" s="8" t="n">
        <v>5.55461093111367</v>
      </c>
      <c r="S7" s="8" t="n">
        <v>5.77707672047549</v>
      </c>
      <c r="T7" s="8" t="n">
        <v>4.34521309976899</v>
      </c>
      <c r="U7" s="8" t="n">
        <v>4.18934077477613</v>
      </c>
      <c r="V7" s="8" t="n">
        <v>6.08506976596543</v>
      </c>
      <c r="W7" s="8" t="n">
        <v>6.9361685882777</v>
      </c>
      <c r="X7" s="8" t="n">
        <v>11.573493481308</v>
      </c>
      <c r="Y7" s="8" t="n">
        <v>13.0604569722058</v>
      </c>
      <c r="Z7" s="8" t="n">
        <v>8.390386511779971</v>
      </c>
      <c r="AA7" s="8" t="n">
        <v>9.37470742227269</v>
      </c>
      <c r="AB7" s="8" t="n">
        <v>5.74792906210755</v>
      </c>
      <c r="AC7" s="8" t="n">
        <v>4.49906621659564</v>
      </c>
      <c r="AD7" s="8" t="n">
        <v>7.58157238057469</v>
      </c>
      <c r="AE7" s="8" t="n">
        <v>3.84790682878888</v>
      </c>
      <c r="AF7" s="8" t="n">
        <v>2.70145092344756</v>
      </c>
      <c r="AG7" s="8" t="n">
        <v>4.3092459946926</v>
      </c>
      <c r="AH7" s="8" t="n">
        <v>5.25178327235793</v>
      </c>
      <c r="AI7" s="8" t="n">
        <v>6.07563653294838</v>
      </c>
      <c r="AJ7" s="8" t="n">
        <v>8.110530226689059</v>
      </c>
      <c r="AK7" s="8" t="n">
        <v>7.99971187307484</v>
      </c>
      <c r="AL7" s="8" t="n">
        <v>6.91698284092359</v>
      </c>
      <c r="AM7" s="8" t="n">
        <v>9.270260362851751</v>
      </c>
      <c r="AN7" s="8" t="n">
        <v>10.2480016846441</v>
      </c>
      <c r="AO7" s="8" t="n">
        <v>8.811122680190969</v>
      </c>
      <c r="AP7" s="8" t="n">
        <v>8.01508938167586</v>
      </c>
      <c r="AQ7" s="8" t="n">
        <v>4.53194882944841</v>
      </c>
      <c r="AR7" s="8" t="n">
        <v>1.86052479764842</v>
      </c>
      <c r="AS7" s="8" t="n">
        <v>1.06818318352939</v>
      </c>
      <c r="AT7" s="9" t="inlineStr"/>
      <c r="AU7" s="9" t="inlineStr"/>
      <c r="AV7" s="9" t="inlineStr"/>
      <c r="AW7" s="9" t="inlineStr"/>
      <c r="AX7" s="9" t="inlineStr"/>
      <c r="AY7" s="9" t="inlineStr"/>
      <c r="AZ7" s="9" t="inlineStr"/>
      <c r="BA7" s="9" t="inlineStr"/>
      <c r="BB7" s="9" t="inlineStr"/>
      <c r="BC7" s="9" t="inlineStr"/>
      <c r="BD7" s="9" t="inlineStr"/>
      <c r="BE7" s="9" t="inlineStr"/>
      <c r="BF7" s="9" t="inlineStr"/>
      <c r="BG7" s="9" t="inlineStr"/>
      <c r="BH7" s="9" t="inlineStr"/>
      <c r="BI7" s="9" t="inlineStr"/>
      <c r="BJ7" s="9" t="inlineStr"/>
    </row>
    <row r="8" ht="19" customHeight="1">
      <c r="A8" s="7" t="inlineStr">
        <is>
          <t>Philippines</t>
        </is>
      </c>
      <c r="B8" s="9" t="inlineStr"/>
      <c r="C8" s="9" t="inlineStr"/>
      <c r="D8" s="9" t="inlineStr"/>
      <c r="E8" s="9" t="inlineStr"/>
      <c r="F8" s="8" t="n">
        <v>4.5110697496034</v>
      </c>
      <c r="G8" s="8" t="n">
        <v>4.94307729427128</v>
      </c>
      <c r="H8" s="8" t="n">
        <v>4.74090663770983</v>
      </c>
      <c r="I8" s="8" t="n">
        <v>4.67724153063274</v>
      </c>
      <c r="J8" s="8" t="n">
        <v>3.16881016896375</v>
      </c>
      <c r="K8" s="8" t="n">
        <v>2.79370260897829</v>
      </c>
      <c r="L8" s="8" t="n">
        <v>3.31968577327748</v>
      </c>
      <c r="M8" s="8" t="n">
        <v>2.82839304091742</v>
      </c>
      <c r="N8" s="8" t="n">
        <v>2.83592637887817</v>
      </c>
      <c r="O8" s="8" t="n">
        <v>2.34113311898261</v>
      </c>
      <c r="P8" s="8" t="n">
        <v>2.15089023846191</v>
      </c>
      <c r="Q8" s="8" t="n">
        <v>3.00428890149609</v>
      </c>
      <c r="R8" s="8" t="n">
        <v>3.64412106073448</v>
      </c>
      <c r="S8" s="8" t="n">
        <v>3.82353091238457</v>
      </c>
      <c r="T8" s="8" t="n">
        <v>4.08163172180775</v>
      </c>
      <c r="U8" s="8" t="n">
        <v>2.85256391082651</v>
      </c>
      <c r="V8" s="8" t="n">
        <v>1.52042530843697</v>
      </c>
      <c r="W8" s="8" t="n">
        <v>0.97576281489562</v>
      </c>
      <c r="X8" s="8" t="n">
        <v>-0.0622482672655189</v>
      </c>
      <c r="Y8" s="8" t="n">
        <v>0.280459047250581</v>
      </c>
      <c r="Z8" s="8" t="n">
        <v>0.5928309936116259</v>
      </c>
      <c r="AA8" s="8" t="n">
        <v>0.96633734927063</v>
      </c>
      <c r="AB8" s="8" t="n">
        <v>1.43257632657448</v>
      </c>
      <c r="AC8" s="8" t="n">
        <v>2.01988886042375</v>
      </c>
      <c r="AD8" s="8" t="n">
        <v>2.88461016813879</v>
      </c>
      <c r="AE8" s="8" t="n">
        <v>2.84038438950132</v>
      </c>
      <c r="AF8" s="8" t="n">
        <v>2.67116852553779</v>
      </c>
      <c r="AG8" s="8" t="n">
        <v>3.01553646711477</v>
      </c>
      <c r="AH8" s="8" t="n">
        <v>3.86806073765364</v>
      </c>
      <c r="AI8" s="8" t="n">
        <v>4.73541146197982</v>
      </c>
      <c r="AJ8" s="8" t="n">
        <v>6.50468032606157</v>
      </c>
      <c r="AK8" s="8" t="n">
        <v>6.10630873333018</v>
      </c>
      <c r="AL8" s="8" t="n">
        <v>3.85008517887562</v>
      </c>
      <c r="AM8" s="8" t="n">
        <v>3.06191117092867</v>
      </c>
      <c r="AN8" s="8" t="n">
        <v>1.35135135135136</v>
      </c>
      <c r="AO8" s="8" t="n">
        <v>1.37389597644748</v>
      </c>
      <c r="AP8" s="8" t="n">
        <v>2.52624671916011</v>
      </c>
      <c r="AQ8" s="8" t="n">
        <v>1.86092066601371</v>
      </c>
      <c r="AR8" s="8" t="n">
        <v>2.3089430894309</v>
      </c>
      <c r="AS8" s="8" t="n">
        <v>2.87189415940625</v>
      </c>
      <c r="AT8" s="8" t="n">
        <v>4.03200000000001</v>
      </c>
      <c r="AU8" s="8" t="n">
        <v>4.00641025641024</v>
      </c>
      <c r="AV8" s="8" t="n">
        <v>4.10044500953592</v>
      </c>
      <c r="AW8" s="8" t="n">
        <v>3.5759096612296</v>
      </c>
      <c r="AX8" s="8" t="n">
        <v>3.35281451860965</v>
      </c>
      <c r="AY8" s="8" t="n">
        <v>5.45454545454547</v>
      </c>
      <c r="AZ8" s="8" t="n">
        <v>6.53435114503815</v>
      </c>
      <c r="BA8" s="8" t="n">
        <v>7.90430042398547</v>
      </c>
      <c r="BB8" s="8" t="n">
        <v>8.303571428571431</v>
      </c>
      <c r="BC8" s="8" t="n">
        <v>6.04909409701928</v>
      </c>
      <c r="BD8" s="8" t="n">
        <v>5.359701920321</v>
      </c>
      <c r="BE8" s="8" t="n">
        <v>4.32220039292732</v>
      </c>
      <c r="BF8" s="8" t="n">
        <v>3.29760923330584</v>
      </c>
      <c r="BG8" s="8" t="n">
        <v>3.80270046844859</v>
      </c>
      <c r="BH8" s="8" t="n">
        <v>3.21001088139281</v>
      </c>
      <c r="BI8" s="8" t="n">
        <v>2.55582458972288</v>
      </c>
      <c r="BJ8" s="8" t="n">
        <v>2.23463687150838</v>
      </c>
    </row>
    <row r="9" ht="19" customHeight="1">
      <c r="A9" s="6" t="inlineStr">
        <is>
          <t>Singapore</t>
        </is>
      </c>
      <c r="B9" s="9" t="inlineStr"/>
      <c r="C9" s="9" t="inlineStr"/>
      <c r="D9" s="9" t="inlineStr"/>
      <c r="E9" s="9" t="inlineStr"/>
      <c r="F9" s="8" t="n">
        <v>5.18024394500571</v>
      </c>
      <c r="G9" s="8" t="n">
        <v>4.7245754590409</v>
      </c>
      <c r="H9" s="8" t="n">
        <v>5.53951327467164</v>
      </c>
      <c r="I9" s="8" t="n">
        <v>5.53667521601822</v>
      </c>
      <c r="J9" s="8" t="n">
        <v>4.88344481235388</v>
      </c>
      <c r="K9" s="8" t="n">
        <v>5.25778290232253</v>
      </c>
      <c r="L9" s="8" t="n">
        <v>4.1952718811938</v>
      </c>
      <c r="M9" s="8" t="n">
        <v>3.99230005586373</v>
      </c>
      <c r="N9" s="8" t="n">
        <v>3.99232191698953</v>
      </c>
      <c r="O9" s="8" t="n">
        <v>1.62262353117097</v>
      </c>
      <c r="P9" s="8" t="n">
        <v>1.8346726949426</v>
      </c>
      <c r="Q9" s="8" t="n">
        <v>2.0129268017286</v>
      </c>
      <c r="R9" s="8" t="n">
        <v>0.992893895240732</v>
      </c>
      <c r="S9" s="8" t="n">
        <v>2.15621524510223</v>
      </c>
      <c r="T9" s="8" t="n">
        <v>1.01383361758576</v>
      </c>
      <c r="U9" s="8" t="n">
        <v>-0.040249007191151</v>
      </c>
      <c r="V9" s="8" t="n">
        <v>-0.323024446088394</v>
      </c>
      <c r="W9" s="8" t="n">
        <v>-0.417719059646393</v>
      </c>
      <c r="X9" s="8" t="n">
        <v>-0.625443874201026</v>
      </c>
      <c r="Y9" s="8" t="n">
        <v>-0.724773843717297</v>
      </c>
      <c r="Z9" s="8" t="n">
        <v>-0.841913666068894</v>
      </c>
      <c r="AA9" s="8" t="n">
        <v>-0.922029473995811</v>
      </c>
      <c r="AB9" s="8" t="n">
        <v>-0.385988450686192</v>
      </c>
      <c r="AC9" s="8" t="n">
        <v>0.0243355055025374</v>
      </c>
      <c r="AD9" s="8" t="n">
        <v>0.625196855727195</v>
      </c>
      <c r="AE9" s="8" t="n">
        <v>0.773414635802516</v>
      </c>
      <c r="AF9" s="8" t="n">
        <v>0.447383382516175</v>
      </c>
      <c r="AG9" s="8" t="n">
        <v>0.459896734429077</v>
      </c>
      <c r="AH9" s="8" t="n">
        <v>0.243005186578849</v>
      </c>
      <c r="AI9" s="8" t="n">
        <v>0.327138698722451</v>
      </c>
      <c r="AJ9" s="8" t="n">
        <v>0.69807087171263</v>
      </c>
      <c r="AK9" s="8" t="n">
        <v>0.486382304564126</v>
      </c>
      <c r="AL9" s="8" t="n">
        <v>0.495912166132251</v>
      </c>
      <c r="AM9" s="8" t="n">
        <v>0.782102643836047</v>
      </c>
      <c r="AN9" s="8" t="n">
        <v>0.352303523035236</v>
      </c>
      <c r="AO9" s="8" t="n">
        <v>0.631311863374195</v>
      </c>
      <c r="AP9" s="8" t="n">
        <v>0.368845886566516</v>
      </c>
      <c r="AQ9" s="8" t="n">
        <v>-0.707726345812953</v>
      </c>
      <c r="AR9" s="8" t="n">
        <v>-0.273051879857178</v>
      </c>
      <c r="AS9" s="8" t="n">
        <v>-0.114426751910157</v>
      </c>
      <c r="AT9" s="8" t="n">
        <v>0.758281849169151</v>
      </c>
      <c r="AU9" s="8" t="n">
        <v>2.29234341861526</v>
      </c>
      <c r="AV9" s="8" t="n">
        <v>2.48592556932912</v>
      </c>
      <c r="AW9" s="8" t="n">
        <v>3.68416670829379</v>
      </c>
      <c r="AX9" s="8" t="n">
        <v>4.57491724315646</v>
      </c>
      <c r="AY9" s="8" t="n">
        <v>5.90276980411584</v>
      </c>
      <c r="AZ9" s="8" t="n">
        <v>7.33233298538623</v>
      </c>
      <c r="BA9" s="8" t="n">
        <v>6.64529722368539</v>
      </c>
      <c r="BB9" s="8" t="n">
        <v>6.14673566225019</v>
      </c>
      <c r="BC9" s="8" t="n">
        <v>5.09980917922284</v>
      </c>
      <c r="BD9" s="8" t="n">
        <v>4.08888942918448</v>
      </c>
      <c r="BE9" s="8" t="n">
        <v>4.0133960570778</v>
      </c>
      <c r="BF9" s="8" t="n">
        <v>2.97828267346034</v>
      </c>
      <c r="BG9" s="8" t="n">
        <v>2.76527577598378</v>
      </c>
      <c r="BH9" s="8" t="n">
        <v>2.18632843978837</v>
      </c>
      <c r="BI9" s="8" t="n">
        <v>1.55806627210711</v>
      </c>
      <c r="BJ9" s="9" t="inlineStr"/>
    </row>
    <row r="10" ht="19" customHeight="1">
      <c r="A10" s="6" t="inlineStr">
        <is>
          <t>Thailand</t>
        </is>
      </c>
      <c r="B10" s="9" t="inlineStr"/>
      <c r="C10" s="9" t="inlineStr"/>
      <c r="D10" s="9" t="inlineStr"/>
      <c r="E10" s="9" t="inlineStr"/>
      <c r="F10" s="8" t="n">
        <v>3.01609543957613</v>
      </c>
      <c r="G10" s="8" t="n">
        <v>4.10304692793808</v>
      </c>
      <c r="H10" s="8" t="n">
        <v>4.13308557654808</v>
      </c>
      <c r="I10" s="8" t="n">
        <v>3.97168994409534</v>
      </c>
      <c r="J10" s="8" t="n">
        <v>3.38971517849114</v>
      </c>
      <c r="K10" s="8" t="n">
        <v>2.51779633075035</v>
      </c>
      <c r="L10" s="8" t="n">
        <v>2.93378481143727</v>
      </c>
      <c r="M10" s="8" t="n">
        <v>3.22516672820419</v>
      </c>
      <c r="N10" s="8" t="n">
        <v>3.09790098817111</v>
      </c>
      <c r="O10" s="8" t="n">
        <v>2.3132026984527</v>
      </c>
      <c r="P10" s="8" t="n">
        <v>1.67089542282799</v>
      </c>
      <c r="Q10" s="8" t="n">
        <v>1.68064588018395</v>
      </c>
      <c r="R10" s="8" t="n">
        <v>2.00107735769699</v>
      </c>
      <c r="S10" s="8" t="n">
        <v>2.47336428162821</v>
      </c>
      <c r="T10" s="8" t="n">
        <v>2.0005723931652</v>
      </c>
      <c r="U10" s="8" t="n">
        <v>1.11135734730539</v>
      </c>
      <c r="V10" s="8" t="n">
        <v>-0.50295468407271</v>
      </c>
      <c r="W10" s="8" t="n">
        <v>-1.12637500110582</v>
      </c>
      <c r="X10" s="8" t="n">
        <v>-1.10306194524868</v>
      </c>
      <c r="Y10" s="8" t="n">
        <v>-0.865613911631036</v>
      </c>
      <c r="Z10" s="8" t="n">
        <v>-0.496072350870558</v>
      </c>
      <c r="AA10" s="8" t="n">
        <v>0.30357992155674</v>
      </c>
      <c r="AB10" s="8" t="n">
        <v>0.256910710075897</v>
      </c>
      <c r="AC10" s="8" t="n">
        <v>0.687855097315637</v>
      </c>
      <c r="AD10" s="8" t="n">
        <v>1.25127520762256</v>
      </c>
      <c r="AE10" s="8" t="n">
        <v>0.0968797436559754</v>
      </c>
      <c r="AF10" s="8" t="n">
        <v>0.44946972638249</v>
      </c>
      <c r="AG10" s="8" t="n">
        <v>0.871046587477586</v>
      </c>
      <c r="AH10" s="8" t="n">
        <v>0.629413085287744</v>
      </c>
      <c r="AI10" s="8" t="n">
        <v>1.31548657275258</v>
      </c>
      <c r="AJ10" s="8" t="n">
        <v>1.47022720739625</v>
      </c>
      <c r="AK10" s="8" t="n">
        <v>0.841550643048539</v>
      </c>
      <c r="AL10" s="8" t="n">
        <v>0.743981392777515</v>
      </c>
      <c r="AM10" s="8" t="n">
        <v>1.08254456892667</v>
      </c>
      <c r="AN10" s="8" t="n">
        <v>0.60755110896662</v>
      </c>
      <c r="AO10" s="8" t="n">
        <v>0.394447346397353</v>
      </c>
      <c r="AP10" s="8" t="n">
        <v>0.415003869959318</v>
      </c>
      <c r="AQ10" s="8" t="n">
        <v>-2.66605546770106</v>
      </c>
      <c r="AR10" s="8" t="n">
        <v>-0.725628961952451</v>
      </c>
      <c r="AS10" s="8" t="n">
        <v>-0.392897572349171</v>
      </c>
      <c r="AT10" s="8" t="n">
        <v>-0.53011855014079</v>
      </c>
      <c r="AU10" s="8" t="n">
        <v>2.35306963666639</v>
      </c>
      <c r="AV10" s="8" t="n">
        <v>0.703858506942123</v>
      </c>
      <c r="AW10" s="8" t="n">
        <v>2.41904638889789</v>
      </c>
      <c r="AX10" s="8" t="n">
        <v>4.74175565853985</v>
      </c>
      <c r="AY10" s="8" t="n">
        <v>6.46419522603014</v>
      </c>
      <c r="AZ10" s="8" t="n">
        <v>7.29086978213869</v>
      </c>
      <c r="BA10" s="8" t="n">
        <v>5.80586140425394</v>
      </c>
      <c r="BB10" s="8" t="n">
        <v>3.87624238537994</v>
      </c>
      <c r="BC10" s="8" t="n">
        <v>1.13668388914983</v>
      </c>
      <c r="BD10" s="8" t="n">
        <v>0.5208171869671711</v>
      </c>
      <c r="BE10" s="8" t="n">
        <v>-0.528038537549413</v>
      </c>
      <c r="BF10" s="8" t="n">
        <v>-0.783974814037469</v>
      </c>
      <c r="BG10" s="8" t="n">
        <v>1.97845067806055</v>
      </c>
      <c r="BH10" s="8" t="n">
        <v>1.41865844255977</v>
      </c>
      <c r="BI10" s="9" t="inlineStr"/>
      <c r="BJ10" s="9" t="inlineStr"/>
    </row>
    <row r="11" ht="19" customHeight="1">
      <c r="A11" s="6" t="inlineStr">
        <is>
          <t>Vietnam</t>
        </is>
      </c>
      <c r="B11" s="9" t="inlineStr"/>
      <c r="C11" s="9" t="inlineStr"/>
      <c r="D11" s="9" t="inlineStr"/>
      <c r="E11" s="9" t="inlineStr"/>
      <c r="F11" s="8" t="n">
        <v>12.7967771032847</v>
      </c>
      <c r="G11" s="8" t="n">
        <v>19.3747400243614</v>
      </c>
      <c r="H11" s="8" t="n">
        <v>22.533647072421</v>
      </c>
      <c r="I11" s="8" t="n">
        <v>19.8260094591432</v>
      </c>
      <c r="J11" s="8" t="n">
        <v>15.9310324363638</v>
      </c>
      <c r="K11" s="8" t="n">
        <v>8.57127726686611</v>
      </c>
      <c r="L11" s="8" t="n">
        <v>5.62622180721442</v>
      </c>
      <c r="M11" s="8" t="n">
        <v>6.96123960853452</v>
      </c>
      <c r="N11" s="8" t="n">
        <v>6.90899774226745</v>
      </c>
      <c r="O11" s="8" t="n">
        <v>6.55073711857739</v>
      </c>
      <c r="P11" s="8" t="n">
        <v>7.02190794553077</v>
      </c>
      <c r="Q11" s="8" t="n">
        <v>5.91311522286266</v>
      </c>
      <c r="R11" s="8" t="n">
        <v>4.82559234886872</v>
      </c>
      <c r="S11" s="8" t="n">
        <v>4.71714044874554</v>
      </c>
      <c r="T11" s="8" t="n">
        <v>4.28584759601125</v>
      </c>
      <c r="U11" s="8" t="n">
        <v>2.55679683113692</v>
      </c>
      <c r="V11" s="8" t="n">
        <v>0.735001035786587</v>
      </c>
      <c r="W11" s="8" t="n">
        <v>0.981706190790432</v>
      </c>
      <c r="X11" s="8" t="n">
        <v>0.501664454932338</v>
      </c>
      <c r="Y11" s="8" t="n">
        <v>0.310755032673282</v>
      </c>
      <c r="Z11" s="8" t="n">
        <v>1.25386981560349</v>
      </c>
      <c r="AA11" s="8" t="n">
        <v>2.18962634062132</v>
      </c>
      <c r="AB11" s="8" t="n">
        <v>2.76942185364935</v>
      </c>
      <c r="AC11" s="8" t="n">
        <v>4.44815853309899</v>
      </c>
      <c r="AD11" s="8" t="n">
        <v>4.96086430024387</v>
      </c>
      <c r="AE11" s="8" t="n">
        <v>3.34018717556399</v>
      </c>
      <c r="AF11" s="8" t="n">
        <v>3.09364448210008</v>
      </c>
      <c r="AG11" s="8" t="n">
        <v>2.72947861882671</v>
      </c>
      <c r="AH11" s="8" t="n">
        <v>2.82225477357041</v>
      </c>
      <c r="AI11" s="8" t="n">
        <v>3.75451435697447</v>
      </c>
      <c r="AJ11" s="8" t="n">
        <v>4.13680253412716</v>
      </c>
      <c r="AK11" s="8" t="n">
        <v>3.44435982512821</v>
      </c>
      <c r="AL11" s="8" t="n">
        <v>2.63399996760998</v>
      </c>
      <c r="AM11" s="8" t="n">
        <v>2.6539665174748</v>
      </c>
      <c r="AN11" s="8" t="n">
        <v>2.22518221377994</v>
      </c>
      <c r="AO11" s="8" t="n">
        <v>3.66081142147408</v>
      </c>
      <c r="AP11" s="8" t="n">
        <v>5.56509598518742</v>
      </c>
      <c r="AQ11" s="8" t="n">
        <v>2.83065575927868</v>
      </c>
      <c r="AR11" s="8" t="n">
        <v>3.182072868451</v>
      </c>
      <c r="AS11" s="8" t="n">
        <v>1.37138110947976</v>
      </c>
      <c r="AT11" s="8" t="n">
        <v>0.292249969359171</v>
      </c>
      <c r="AU11" s="8" t="n">
        <v>2.67012045298811</v>
      </c>
      <c r="AV11" s="8" t="n">
        <v>2.50704417871792</v>
      </c>
      <c r="AW11" s="8" t="n">
        <v>1.89202359561145</v>
      </c>
      <c r="AX11" s="8" t="n">
        <v>1.92472403653459</v>
      </c>
      <c r="AY11" s="8" t="n">
        <v>2.9587833487964</v>
      </c>
      <c r="AZ11" s="8" t="n">
        <v>3.32299955035245</v>
      </c>
      <c r="BA11" s="8" t="n">
        <v>4.40801583145427</v>
      </c>
      <c r="BB11" s="8" t="n">
        <v>4.17887564632544</v>
      </c>
      <c r="BC11" s="8" t="n">
        <v>2.41135054432193</v>
      </c>
      <c r="BD11" s="8" t="n">
        <v>2.8934230903793</v>
      </c>
      <c r="BE11" s="8" t="n">
        <v>3.54016471209408</v>
      </c>
      <c r="BF11" s="8" t="n">
        <v>3.77266879857061</v>
      </c>
      <c r="BG11" s="8" t="n">
        <v>4.39496033034144</v>
      </c>
      <c r="BH11" s="8" t="n">
        <v>3.47418245045661</v>
      </c>
      <c r="BI11" s="8" t="n">
        <v>2.86651601102512</v>
      </c>
      <c r="BJ11" s="8" t="n">
        <v>3.22164368699189</v>
      </c>
    </row>
  </sheetData>
  <autoFilter ref="A1:BJ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M1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0" customWidth="1" min="7" max="7"/>
    <col width="20" customWidth="1" min="8" max="8"/>
    <col width="19" customWidth="1" min="9" max="9"/>
    <col width="19" customWidth="1" min="10" max="10"/>
    <col width="19" customWidth="1" min="11" max="11"/>
    <col width="20" customWidth="1" min="12" max="12"/>
    <col width="21" customWidth="1" min="13" max="13"/>
    <col width="19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1" customWidth="1" min="22" max="22"/>
    <col width="21" customWidth="1" min="23" max="23"/>
    <col width="20" customWidth="1" min="24" max="24"/>
    <col width="21" customWidth="1" min="25" max="25"/>
    <col width="19" customWidth="1" min="26" max="26"/>
    <col width="20" customWidth="1" min="27" max="27"/>
    <col width="20" customWidth="1" min="28" max="28"/>
    <col width="20" customWidth="1" min="29" max="29"/>
    <col width="20" customWidth="1" min="30" max="30"/>
    <col width="19" customWidth="1" min="31" max="31"/>
    <col width="19" customWidth="1" min="32" max="32"/>
    <col width="19" customWidth="1" min="33" max="33"/>
    <col width="20" customWidth="1" min="34" max="34"/>
    <col width="21" customWidth="1" min="35" max="35"/>
    <col width="21" customWidth="1" min="36" max="36"/>
    <col width="20" customWidth="1" min="37" max="37"/>
    <col width="19" customWidth="1" min="38" max="38"/>
    <col width="19" customWidth="1" min="39" max="39"/>
    <col width="20" customWidth="1" min="40" max="40"/>
    <col width="20" customWidth="1" min="41" max="41"/>
    <col width="21" customWidth="1" min="42" max="42"/>
    <col width="20" customWidth="1" min="43" max="43"/>
    <col width="20" customWidth="1" min="44" max="44"/>
    <col width="21" customWidth="1" min="45" max="45"/>
    <col width="22" customWidth="1" min="46" max="46"/>
    <col width="20" customWidth="1" min="47" max="47"/>
    <col width="20" customWidth="1" min="48" max="48"/>
    <col width="20" customWidth="1" min="49" max="49"/>
    <col width="21" customWidth="1" min="50" max="50"/>
    <col width="20" customWidth="1" min="51" max="51"/>
    <col width="20" customWidth="1" min="52" max="52"/>
    <col width="20" customWidth="1" min="53" max="53"/>
    <col width="21" customWidth="1" min="54" max="54"/>
    <col width="20" customWidth="1" min="55" max="55"/>
    <col width="22" customWidth="1" min="56" max="56"/>
    <col width="21" customWidth="1" min="57" max="57"/>
    <col width="21" customWidth="1" min="58" max="58"/>
    <col width="21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1" customWidth="1" min="65" max="65"/>
  </cols>
  <sheetData>
    <row r="1" ht="26" customHeight="1">
      <c r="A1" s="5" t="inlineStr">
        <is>
          <t>country</t>
        </is>
      </c>
      <c r="B1" s="5" t="inlineStr">
        <is>
          <t>2010 Q1</t>
        </is>
      </c>
      <c r="C1" s="5" t="inlineStr">
        <is>
          <t>2010 Q2</t>
        </is>
      </c>
      <c r="D1" s="5" t="inlineStr">
        <is>
          <t>2010 Q3</t>
        </is>
      </c>
      <c r="E1" s="5" t="inlineStr">
        <is>
          <t>2010 Q4</t>
        </is>
      </c>
      <c r="F1" s="5" t="inlineStr">
        <is>
          <t>2011 Q1</t>
        </is>
      </c>
      <c r="G1" s="5" t="inlineStr">
        <is>
          <t>2011 Q2</t>
        </is>
      </c>
      <c r="H1" s="5" t="inlineStr">
        <is>
          <t>2011 Q3</t>
        </is>
      </c>
      <c r="I1" s="5" t="inlineStr">
        <is>
          <t>2011 Q4</t>
        </is>
      </c>
      <c r="J1" s="5" t="inlineStr">
        <is>
          <t>2012 Q1</t>
        </is>
      </c>
      <c r="K1" s="5" t="inlineStr">
        <is>
          <t>2012 Q2</t>
        </is>
      </c>
      <c r="L1" s="5" t="inlineStr">
        <is>
          <t>2012 Q3</t>
        </is>
      </c>
      <c r="M1" s="5" t="inlineStr">
        <is>
          <t>2012 Q4</t>
        </is>
      </c>
      <c r="N1" s="5" t="inlineStr">
        <is>
          <t>2013 Q1</t>
        </is>
      </c>
      <c r="O1" s="5" t="inlineStr">
        <is>
          <t>2013 Q2</t>
        </is>
      </c>
      <c r="P1" s="5" t="inlineStr">
        <is>
          <t>2013 Q3</t>
        </is>
      </c>
      <c r="Q1" s="5" t="inlineStr">
        <is>
          <t>2013 Q4</t>
        </is>
      </c>
      <c r="R1" s="5" t="inlineStr">
        <is>
          <t>2014 Q1</t>
        </is>
      </c>
      <c r="S1" s="5" t="inlineStr">
        <is>
          <t>2014 Q2</t>
        </is>
      </c>
      <c r="T1" s="5" t="inlineStr">
        <is>
          <t>2014 Q3</t>
        </is>
      </c>
      <c r="U1" s="5" t="inlineStr">
        <is>
          <t>2014 Q4</t>
        </is>
      </c>
      <c r="V1" s="5" t="inlineStr">
        <is>
          <t>2015 Q1</t>
        </is>
      </c>
      <c r="W1" s="5" t="inlineStr">
        <is>
          <t>2015 Q2</t>
        </is>
      </c>
      <c r="X1" s="5" t="inlineStr">
        <is>
          <t>2015 Q3</t>
        </is>
      </c>
      <c r="Y1" s="5" t="inlineStr">
        <is>
          <t>2015 Q4</t>
        </is>
      </c>
      <c r="Z1" s="5" t="inlineStr">
        <is>
          <t>2016 Q1</t>
        </is>
      </c>
      <c r="AA1" s="5" t="inlineStr">
        <is>
          <t>2016 Q2</t>
        </is>
      </c>
      <c r="AB1" s="5" t="inlineStr">
        <is>
          <t>2016 Q3</t>
        </is>
      </c>
      <c r="AC1" s="5" t="inlineStr">
        <is>
          <t>2016 Q4</t>
        </is>
      </c>
      <c r="AD1" s="5" t="inlineStr">
        <is>
          <t>2017 Q1</t>
        </is>
      </c>
      <c r="AE1" s="5" t="inlineStr">
        <is>
          <t>2017 Q2</t>
        </is>
      </c>
      <c r="AF1" s="5" t="inlineStr">
        <is>
          <t>2017 Q3</t>
        </is>
      </c>
      <c r="AG1" s="5" t="inlineStr">
        <is>
          <t>2017 Q4</t>
        </is>
      </c>
      <c r="AH1" s="5" t="inlineStr">
        <is>
          <t>2018 Q1</t>
        </is>
      </c>
      <c r="AI1" s="5" t="inlineStr">
        <is>
          <t>2018 Q2</t>
        </is>
      </c>
      <c r="AJ1" s="5" t="inlineStr">
        <is>
          <t>2018 Q3</t>
        </is>
      </c>
      <c r="AK1" s="5" t="inlineStr">
        <is>
          <t>2018 Q4</t>
        </is>
      </c>
      <c r="AL1" s="5" t="inlineStr">
        <is>
          <t>2019 Q1</t>
        </is>
      </c>
      <c r="AM1" s="5" t="inlineStr">
        <is>
          <t>2019 Q2</t>
        </is>
      </c>
      <c r="AN1" s="5" t="inlineStr">
        <is>
          <t>2019 Q3</t>
        </is>
      </c>
      <c r="AO1" s="5" t="inlineStr">
        <is>
          <t>2019 Q4</t>
        </is>
      </c>
      <c r="AP1" s="5" t="inlineStr">
        <is>
          <t>2020 Q1</t>
        </is>
      </c>
      <c r="AQ1" s="5" t="inlineStr">
        <is>
          <t>2020 Q2</t>
        </is>
      </c>
      <c r="AR1" s="5" t="inlineStr">
        <is>
          <t>2020 Q3</t>
        </is>
      </c>
      <c r="AS1" s="5" t="inlineStr">
        <is>
          <t>2020 Q4</t>
        </is>
      </c>
      <c r="AT1" s="5" t="inlineStr">
        <is>
          <t>2021 Q1</t>
        </is>
      </c>
      <c r="AU1" s="5" t="inlineStr">
        <is>
          <t>2021 Q2</t>
        </is>
      </c>
      <c r="AV1" s="5" t="inlineStr">
        <is>
          <t>2021 Q3</t>
        </is>
      </c>
      <c r="AW1" s="5" t="inlineStr">
        <is>
          <t>2021 Q4</t>
        </is>
      </c>
      <c r="AX1" s="5" t="inlineStr">
        <is>
          <t>2022 Q1</t>
        </is>
      </c>
      <c r="AY1" s="5" t="inlineStr">
        <is>
          <t>2022 Q2</t>
        </is>
      </c>
      <c r="AZ1" s="5" t="inlineStr">
        <is>
          <t>2022 Q3</t>
        </is>
      </c>
      <c r="BA1" s="5" t="inlineStr">
        <is>
          <t>2022 Q4</t>
        </is>
      </c>
      <c r="BB1" s="5" t="inlineStr">
        <is>
          <t>2023 Q1</t>
        </is>
      </c>
      <c r="BC1" s="5" t="inlineStr">
        <is>
          <t>2023 Q2</t>
        </is>
      </c>
      <c r="BD1" s="5" t="inlineStr">
        <is>
          <t>2023 Q3</t>
        </is>
      </c>
      <c r="BE1" s="5" t="inlineStr">
        <is>
          <t>2023 Q4</t>
        </is>
      </c>
      <c r="BF1" s="5" t="inlineStr">
        <is>
          <t>2024 Q1</t>
        </is>
      </c>
      <c r="BG1" s="5" t="inlineStr">
        <is>
          <t>2024 Q2</t>
        </is>
      </c>
      <c r="BH1" s="5" t="inlineStr">
        <is>
          <t>2024 Q3</t>
        </is>
      </c>
      <c r="BI1" s="5" t="inlineStr">
        <is>
          <t>2024 Q4</t>
        </is>
      </c>
      <c r="BJ1" s="5" t="inlineStr">
        <is>
          <t>2025 Q1</t>
        </is>
      </c>
      <c r="BK1" s="5" t="inlineStr">
        <is>
          <t>2025 Q2</t>
        </is>
      </c>
      <c r="BL1" s="5" t="inlineStr">
        <is>
          <t>2025 Q3</t>
        </is>
      </c>
      <c r="BM1" s="5" t="inlineStr">
        <is>
          <t>2025 Q4</t>
        </is>
      </c>
    </row>
    <row r="2" ht="19" customHeight="1">
      <c r="A2" s="6" t="inlineStr">
        <is>
          <t>Brunei</t>
        </is>
      </c>
      <c r="B2" s="8" t="n">
        <v>2.37521603660103</v>
      </c>
      <c r="C2" s="8" t="n">
        <v>2.52167529189561</v>
      </c>
      <c r="D2" s="8" t="n">
        <v>2.81459394896587</v>
      </c>
      <c r="E2" s="8" t="n">
        <v>3.25397230075231</v>
      </c>
      <c r="F2" s="8" t="n">
        <v>3.83981078657831</v>
      </c>
      <c r="G2" s="8" t="n">
        <v>4.03598430924564</v>
      </c>
      <c r="H2" s="8" t="n">
        <v>3.84249306497655</v>
      </c>
      <c r="I2" s="8" t="n">
        <v>3.25933686020544</v>
      </c>
      <c r="J2" s="8" t="n">
        <v>2.28651511181898</v>
      </c>
      <c r="K2" s="8" t="n">
        <v>1.3480349094265</v>
      </c>
      <c r="L2" s="8" t="n">
        <v>0.443895314487284</v>
      </c>
      <c r="M2" s="8" t="n">
        <v>-0.425904577061583</v>
      </c>
      <c r="N2" s="8" t="n">
        <v>-1.261365635079</v>
      </c>
      <c r="O2" s="8" t="n">
        <v>-1.94091665070825</v>
      </c>
      <c r="P2" s="8" t="n">
        <v>-2.46455830357063</v>
      </c>
      <c r="Q2" s="8" t="n">
        <v>-2.83229111726115</v>
      </c>
      <c r="R2" s="8" t="n">
        <v>-3.04411545950135</v>
      </c>
      <c r="S2" s="8" t="n">
        <v>-2.91435402200432</v>
      </c>
      <c r="T2" s="8" t="n">
        <v>-2.44300667498765</v>
      </c>
      <c r="U2" s="8" t="n">
        <v>-1.63007294707288</v>
      </c>
      <c r="V2" s="8" t="n">
        <v>-0.475552025372131</v>
      </c>
      <c r="W2" s="8" t="n">
        <v>0.0195234720613583</v>
      </c>
      <c r="X2" s="8" t="n">
        <v>-0.14484595969254</v>
      </c>
      <c r="Y2" s="8" t="n">
        <v>-0.968660484969706</v>
      </c>
      <c r="Z2" s="8" t="n">
        <v>-2.45192092762</v>
      </c>
      <c r="AA2" s="8" t="n">
        <v>-3.05562360707687</v>
      </c>
      <c r="AB2" s="8" t="n">
        <v>-2.77976912700927</v>
      </c>
      <c r="AC2" s="8" t="n">
        <v>-1.62435721157891</v>
      </c>
      <c r="AD2" s="8" t="n">
        <v>0.410613294640954</v>
      </c>
      <c r="AE2" s="8" t="n">
        <v>1.59184631825447</v>
      </c>
      <c r="AF2" s="8" t="n">
        <v>1.91934304050647</v>
      </c>
      <c r="AG2" s="8" t="n">
        <v>1.39310378891523</v>
      </c>
      <c r="AH2" s="8" t="n">
        <v>0.013128037243991</v>
      </c>
      <c r="AI2" s="8" t="n">
        <v>-0.523164877838268</v>
      </c>
      <c r="AJ2" s="8" t="n">
        <v>-0.215775492526004</v>
      </c>
      <c r="AK2" s="8" t="n">
        <v>0.935296500539584</v>
      </c>
      <c r="AL2" s="8" t="n">
        <v>2.93005225240879</v>
      </c>
      <c r="AM2" s="8" t="n">
        <v>4.10347089233443</v>
      </c>
      <c r="AN2" s="8" t="n">
        <v>4.4555535937287</v>
      </c>
      <c r="AO2" s="8" t="n">
        <v>3.98630070867696</v>
      </c>
      <c r="AP2" s="8" t="n">
        <v>2.69571176792317</v>
      </c>
      <c r="AQ2" s="8" t="n">
        <v>1.55462137985357</v>
      </c>
      <c r="AR2" s="8" t="n">
        <v>0.563028403417696</v>
      </c>
      <c r="AS2" s="8" t="n">
        <v>-0.279068153039204</v>
      </c>
      <c r="AT2" s="8" t="n">
        <v>-0.971669131583917</v>
      </c>
      <c r="AU2" s="8" t="n">
        <v>-1.49634666522222</v>
      </c>
      <c r="AV2" s="8" t="n">
        <v>-1.85310127864643</v>
      </c>
      <c r="AW2" s="8" t="n">
        <v>-2.04193332855551</v>
      </c>
      <c r="AX2" s="8" t="n">
        <v>-2.06284300383898</v>
      </c>
      <c r="AY2" s="8" t="n">
        <v>-1.89740239183775</v>
      </c>
      <c r="AZ2" s="8" t="n">
        <v>-1.54561132710216</v>
      </c>
      <c r="BA2" s="8" t="n">
        <v>-1.00746945783499</v>
      </c>
      <c r="BB2" s="8" t="n">
        <v>-0.282976245910328</v>
      </c>
      <c r="BC2" s="8" t="n">
        <v>0.57106876988098</v>
      </c>
      <c r="BD2" s="8" t="n">
        <v>1.55466644363133</v>
      </c>
      <c r="BE2" s="8" t="n">
        <v>2.66781775890197</v>
      </c>
      <c r="BF2" s="8" t="n">
        <v>3.91052382885477</v>
      </c>
      <c r="BG2" s="8" t="n">
        <v>4.46440335446315</v>
      </c>
      <c r="BH2" s="8" t="n">
        <v>4.32945688960497</v>
      </c>
      <c r="BI2" s="8" t="n">
        <v>3.50568429934815</v>
      </c>
      <c r="BJ2" s="8" t="n">
        <v>1.9930847598996</v>
      </c>
      <c r="BK2" s="8" t="n">
        <v>0.858636428823053</v>
      </c>
      <c r="BL2" s="8" t="n">
        <v>0.102338171739644</v>
      </c>
      <c r="BM2" s="8" t="n">
        <v>-0.275810767766379</v>
      </c>
    </row>
    <row r="3" ht="19" customHeight="1">
      <c r="A3" s="6" t="inlineStr">
        <is>
          <t>Cambodia</t>
        </is>
      </c>
      <c r="B3" s="8" t="n">
        <v>4.56505722006641</v>
      </c>
      <c r="C3" s="8" t="n">
        <v>4.76980158211207</v>
      </c>
      <c r="D3" s="8" t="n">
        <v>5.17929051093504</v>
      </c>
      <c r="E3" s="8" t="n">
        <v>5.79352441605486</v>
      </c>
      <c r="F3" s="8" t="n">
        <v>6.61250391170546</v>
      </c>
      <c r="G3" s="8" t="n">
        <v>7.20975712432023</v>
      </c>
      <c r="H3" s="8" t="n">
        <v>7.5852846512051</v>
      </c>
      <c r="I3" s="8" t="n">
        <v>7.73908686785505</v>
      </c>
      <c r="J3" s="8" t="n">
        <v>7.67116392810322</v>
      </c>
      <c r="K3" s="8" t="n">
        <v>7.6356318269808</v>
      </c>
      <c r="L3" s="8" t="n">
        <v>7.63249052893732</v>
      </c>
      <c r="M3" s="8" t="n">
        <v>7.66174003083444</v>
      </c>
      <c r="N3" s="8" t="n">
        <v>7.7233803619739</v>
      </c>
      <c r="O3" s="8" t="n">
        <v>7.80168421098127</v>
      </c>
      <c r="P3" s="8" t="n">
        <v>7.89665165618352</v>
      </c>
      <c r="Q3" s="8" t="n">
        <v>8.008282792548229</v>
      </c>
      <c r="R3" s="8" t="n">
        <v>8.13657773174722</v>
      </c>
      <c r="S3" s="8" t="n">
        <v>8.133392927918131</v>
      </c>
      <c r="T3" s="8" t="n">
        <v>7.99872837794973</v>
      </c>
      <c r="U3" s="8" t="n">
        <v>7.73258394713543</v>
      </c>
      <c r="V3" s="8" t="n">
        <v>7.33495936936396</v>
      </c>
      <c r="W3" s="8" t="n">
        <v>7.12473976698462</v>
      </c>
      <c r="X3" s="8" t="n">
        <v>7.10192492983313</v>
      </c>
      <c r="Y3" s="8" t="n">
        <v>7.26651483504436</v>
      </c>
      <c r="Z3" s="8" t="n">
        <v>7.61850964724234</v>
      </c>
      <c r="AA3" s="8" t="n">
        <v>7.87410405958197</v>
      </c>
      <c r="AB3" s="8" t="n">
        <v>8.033298327693579</v>
      </c>
      <c r="AC3" s="8" t="n">
        <v>8.096092610692059</v>
      </c>
      <c r="AD3" s="8" t="n">
        <v>8.06248697144378</v>
      </c>
      <c r="AE3" s="8" t="n">
        <v>8.054065590977119</v>
      </c>
      <c r="AF3" s="8" t="n">
        <v>8.07082846093401</v>
      </c>
      <c r="AG3" s="8" t="n">
        <v>8.11277559801005</v>
      </c>
      <c r="AH3" s="8" t="n">
        <v>8.179907044183469</v>
      </c>
      <c r="AI3" s="8" t="n">
        <v>8.445286157362</v>
      </c>
      <c r="AJ3" s="8" t="n">
        <v>8.9089132029191</v>
      </c>
      <c r="AK3" s="8" t="n">
        <v>9.570788644491509</v>
      </c>
      <c r="AL3" s="8" t="n">
        <v>10.4309131439837</v>
      </c>
      <c r="AM3" s="8" t="n">
        <v>9.77737821866851</v>
      </c>
      <c r="AN3" s="8" t="n">
        <v>7.6101832150155</v>
      </c>
      <c r="AO3" s="8" t="n">
        <v>3.92932596585326</v>
      </c>
      <c r="AP3" s="8" t="n">
        <v>-1.26519720967895</v>
      </c>
      <c r="AQ3" s="8" t="n">
        <v>-4.25921509271637</v>
      </c>
      <c r="AR3" s="8" t="n">
        <v>-5.05273067719132</v>
      </c>
      <c r="AS3" s="8" t="n">
        <v>-3.64574475669767</v>
      </c>
      <c r="AT3" s="8" t="n">
        <v>-0.0382559242251562</v>
      </c>
      <c r="AU3" s="8" t="n">
        <v>2.65597785926894</v>
      </c>
      <c r="AV3" s="8" t="n">
        <v>4.43695928795548</v>
      </c>
      <c r="AW3" s="8" t="n">
        <v>5.30469014289643</v>
      </c>
      <c r="AX3" s="8" t="n">
        <v>5.25917129176651</v>
      </c>
      <c r="AY3" s="8" t="n">
        <v>5.18925571509453</v>
      </c>
      <c r="AZ3" s="8" t="n">
        <v>5.09494334297854</v>
      </c>
      <c r="BA3" s="8" t="n">
        <v>4.97623408108031</v>
      </c>
      <c r="BB3" s="8" t="n">
        <v>4.83312781064198</v>
      </c>
      <c r="BC3" s="8" t="n">
        <v>4.84556633171374</v>
      </c>
      <c r="BD3" s="8" t="n">
        <v>5.01354965665344</v>
      </c>
      <c r="BE3" s="8" t="n">
        <v>5.33707795345247</v>
      </c>
      <c r="BF3" s="8" t="n">
        <v>5.81615154566076</v>
      </c>
      <c r="BG3" s="8" t="n">
        <v>6.08764607870113</v>
      </c>
      <c r="BH3" s="8" t="n">
        <v>6.15156182407168</v>
      </c>
      <c r="BI3" s="8" t="n">
        <v>6.0078988456622</v>
      </c>
      <c r="BJ3" s="8" t="n">
        <v>5.6566569998336</v>
      </c>
      <c r="BK3" s="8" t="n">
        <v>5.39322592277029</v>
      </c>
      <c r="BL3" s="8" t="n">
        <v>5.2176053511081</v>
      </c>
      <c r="BM3" s="8" t="n">
        <v>5.1297951091909</v>
      </c>
    </row>
    <row r="4" ht="19" customHeight="1">
      <c r="A4" s="6" t="inlineStr">
        <is>
          <t>Indonesia</t>
        </is>
      </c>
      <c r="B4" s="8" t="n">
        <v>6.2336364041181</v>
      </c>
      <c r="C4" s="8" t="n">
        <v>6.22972351706911</v>
      </c>
      <c r="D4" s="8" t="n">
        <v>6.22189773905167</v>
      </c>
      <c r="E4" s="8" t="n">
        <v>6.21015906226769</v>
      </c>
      <c r="F4" s="8" t="n">
        <v>6.19450747497381</v>
      </c>
      <c r="G4" s="8" t="n">
        <v>6.1783575412591</v>
      </c>
      <c r="H4" s="8" t="n">
        <v>6.16170924500583</v>
      </c>
      <c r="I4" s="8" t="n">
        <v>6.1445625695586</v>
      </c>
      <c r="J4" s="8" t="n">
        <v>6.12691749776514</v>
      </c>
      <c r="K4" s="8" t="n">
        <v>6.0811127568915</v>
      </c>
      <c r="L4" s="8" t="n">
        <v>6.0071483011013</v>
      </c>
      <c r="M4" s="8" t="n">
        <v>5.90502405647116</v>
      </c>
      <c r="N4" s="8" t="n">
        <v>5.77473992085144</v>
      </c>
      <c r="O4" s="8" t="n">
        <v>5.63563584425985</v>
      </c>
      <c r="P4" s="8" t="n">
        <v>5.48771168759057</v>
      </c>
      <c r="Q4" s="8" t="n">
        <v>5.33096730293127</v>
      </c>
      <c r="R4" s="8" t="n">
        <v>5.16540253355557</v>
      </c>
      <c r="S4" s="8" t="n">
        <v>5.03568304394546</v>
      </c>
      <c r="T4" s="8" t="n">
        <v>4.94180870443662</v>
      </c>
      <c r="U4" s="8" t="n">
        <v>4.88377942109485</v>
      </c>
      <c r="V4" s="8" t="n">
        <v>4.86159513594811</v>
      </c>
      <c r="W4" s="8" t="n">
        <v>4.85861228715996</v>
      </c>
      <c r="X4" s="8" t="n">
        <v>4.87483087178886</v>
      </c>
      <c r="Y4" s="8" t="n">
        <v>4.91025090602472</v>
      </c>
      <c r="Z4" s="8" t="n">
        <v>4.96487242530073</v>
      </c>
      <c r="AA4" s="8" t="n">
        <v>5.01399971199979</v>
      </c>
      <c r="AB4" s="8" t="n">
        <v>5.05763281525122</v>
      </c>
      <c r="AC4" s="8" t="n">
        <v>5.0957717786572</v>
      </c>
      <c r="AD4" s="8" t="n">
        <v>5.12841664039779</v>
      </c>
      <c r="AE4" s="8" t="n">
        <v>5.11802229896247</v>
      </c>
      <c r="AF4" s="8" t="n">
        <v>5.06458874398906</v>
      </c>
      <c r="AG4" s="8" t="n">
        <v>4.96811592200967</v>
      </c>
      <c r="AH4" s="8" t="n">
        <v>4.82860373656148</v>
      </c>
      <c r="AI4" s="8" t="n">
        <v>4.91107392013289</v>
      </c>
      <c r="AJ4" s="8" t="n">
        <v>5.21552655522892</v>
      </c>
      <c r="AK4" s="8" t="n">
        <v>5.7419619462532</v>
      </c>
      <c r="AL4" s="8" t="n">
        <v>6.49038061970444</v>
      </c>
      <c r="AM4" s="8" t="n">
        <v>6.20131116166554</v>
      </c>
      <c r="AN4" s="8" t="n">
        <v>4.87475328307813</v>
      </c>
      <c r="AO4" s="8" t="n">
        <v>2.51070565739451</v>
      </c>
      <c r="AP4" s="8" t="n">
        <v>-0.890834079423425</v>
      </c>
      <c r="AQ4" s="8" t="n">
        <v>-2.72132031601471</v>
      </c>
      <c r="AR4" s="8" t="n">
        <v>-2.98075488276129</v>
      </c>
      <c r="AS4" s="8" t="n">
        <v>-1.66913803918228</v>
      </c>
      <c r="AT4" s="8" t="n">
        <v>1.21353152635758</v>
      </c>
      <c r="AU4" s="8" t="n">
        <v>3.36233999233002</v>
      </c>
      <c r="AV4" s="8" t="n">
        <v>4.77728950751502</v>
      </c>
      <c r="AW4" s="8" t="n">
        <v>5.45838148688498</v>
      </c>
      <c r="AX4" s="8" t="n">
        <v>5.40561661151345</v>
      </c>
      <c r="AY4" s="8" t="n">
        <v>5.34514293842495</v>
      </c>
      <c r="AZ4" s="8" t="n">
        <v>5.27696040714458</v>
      </c>
      <c r="BA4" s="8" t="n">
        <v>5.20106894948094</v>
      </c>
      <c r="BB4" s="8" t="n">
        <v>5.11746848950299</v>
      </c>
      <c r="BC4" s="8" t="n">
        <v>5.05657340933068</v>
      </c>
      <c r="BD4" s="8" t="n">
        <v>5.01838364801216</v>
      </c>
      <c r="BE4" s="8" t="n">
        <v>5.0028991673625</v>
      </c>
      <c r="BF4" s="8" t="n">
        <v>5.01011995191923</v>
      </c>
      <c r="BG4" s="8" t="n">
        <v>5.02199018693656</v>
      </c>
      <c r="BH4" s="8" t="n">
        <v>5.03850988426174</v>
      </c>
      <c r="BI4" s="8" t="n">
        <v>5.0596790604339</v>
      </c>
      <c r="BJ4" s="8" t="n">
        <v>5.08549773660975</v>
      </c>
      <c r="BK4" s="8" t="n">
        <v>5.10486172114751</v>
      </c>
      <c r="BL4" s="8" t="n">
        <v>5.11777103342577</v>
      </c>
      <c r="BM4" s="8" t="n">
        <v>5.1242256863369</v>
      </c>
    </row>
    <row r="5" ht="19" customHeight="1">
      <c r="A5" s="6" t="inlineStr">
        <is>
          <t>Laos</t>
        </is>
      </c>
      <c r="B5" s="8" t="n">
        <v>8.64239724791101</v>
      </c>
      <c r="C5" s="8" t="n">
        <v>8.5962005834275</v>
      </c>
      <c r="D5" s="8" t="n">
        <v>8.50380720825804</v>
      </c>
      <c r="E5" s="8" t="n">
        <v>8.36521703001441</v>
      </c>
      <c r="F5" s="8" t="n">
        <v>8.180429910105479</v>
      </c>
      <c r="G5" s="8" t="n">
        <v>8.04980423008875</v>
      </c>
      <c r="H5" s="8" t="n">
        <v>7.97333985933397</v>
      </c>
      <c r="I5" s="8" t="n">
        <v>7.95103672139202</v>
      </c>
      <c r="J5" s="8" t="n">
        <v>7.98289479395035</v>
      </c>
      <c r="K5" s="8" t="n">
        <v>8.012919464409411</v>
      </c>
      <c r="L5" s="8" t="n">
        <v>8.041110762797221</v>
      </c>
      <c r="M5" s="8" t="n">
        <v>8.067468717308801</v>
      </c>
      <c r="N5" s="8" t="n">
        <v>8.09199335430087</v>
      </c>
      <c r="O5" s="8" t="n">
        <v>8.07552597050443</v>
      </c>
      <c r="P5" s="8" t="n">
        <v>8.018066549457521</v>
      </c>
      <c r="Q5" s="8" t="n">
        <v>7.91961503370144</v>
      </c>
      <c r="R5" s="8" t="n">
        <v>7.78017132479342</v>
      </c>
      <c r="S5" s="8" t="n">
        <v>7.65711074711729</v>
      </c>
      <c r="T5" s="8" t="n">
        <v>7.55043317763597</v>
      </c>
      <c r="U5" s="8" t="n">
        <v>7.46013850964773</v>
      </c>
      <c r="V5" s="8" t="n">
        <v>7.38622665287953</v>
      </c>
      <c r="W5" s="8" t="n">
        <v>7.31019762473993</v>
      </c>
      <c r="X5" s="8" t="n">
        <v>7.23205134922082</v>
      </c>
      <c r="Y5" s="8" t="n">
        <v>7.15178774815868</v>
      </c>
      <c r="Z5" s="8" t="n">
        <v>7.06940674130232</v>
      </c>
      <c r="AA5" s="8" t="n">
        <v>7.01782616674709</v>
      </c>
      <c r="AB5" s="8" t="n">
        <v>6.99704597294189</v>
      </c>
      <c r="AC5" s="8" t="n">
        <v>7.00706613906479</v>
      </c>
      <c r="AD5" s="8" t="n">
        <v>7.0478866751705</v>
      </c>
      <c r="AE5" s="8" t="n">
        <v>7.00207260018713</v>
      </c>
      <c r="AF5" s="8" t="n">
        <v>6.86962386832588</v>
      </c>
      <c r="AG5" s="8" t="n">
        <v>6.65054034710756</v>
      </c>
      <c r="AH5" s="8" t="n">
        <v>6.34482181746769</v>
      </c>
      <c r="AI5" s="8" t="n">
        <v>6.18378974769721</v>
      </c>
      <c r="AJ5" s="8" t="n">
        <v>6.16744397676037</v>
      </c>
      <c r="AK5" s="8" t="n">
        <v>6.29578448831366</v>
      </c>
      <c r="AL5" s="8" t="n">
        <v>6.56881141070119</v>
      </c>
      <c r="AM5" s="8" t="n">
        <v>6.23359188080736</v>
      </c>
      <c r="AN5" s="8" t="n">
        <v>5.29012556340512</v>
      </c>
      <c r="AO5" s="8" t="n">
        <v>3.73841151503471</v>
      </c>
      <c r="AP5" s="8" t="n">
        <v>1.57844818398955</v>
      </c>
      <c r="AQ5" s="8" t="n">
        <v>0.284296870070841</v>
      </c>
      <c r="AR5" s="8" t="n">
        <v>-0.14404372084654</v>
      </c>
      <c r="AS5" s="8" t="n">
        <v>0.293425982863218</v>
      </c>
      <c r="AT5" s="8" t="n">
        <v>1.59670641869024</v>
      </c>
      <c r="AU5" s="8" t="n">
        <v>2.49067602144546</v>
      </c>
      <c r="AV5" s="8" t="n">
        <v>2.97533568506898</v>
      </c>
      <c r="AW5" s="8" t="n">
        <v>3.05068589424845</v>
      </c>
      <c r="AX5" s="8" t="n">
        <v>2.71672672432259</v>
      </c>
      <c r="AY5" s="8" t="n">
        <v>2.57942302618465</v>
      </c>
      <c r="AZ5" s="8" t="n">
        <v>2.63877466253312</v>
      </c>
      <c r="BA5" s="8" t="n">
        <v>2.89478169270697</v>
      </c>
      <c r="BB5" s="8" t="n">
        <v>3.34744437270419</v>
      </c>
      <c r="BC5" s="8" t="n">
        <v>3.6878040973156</v>
      </c>
      <c r="BD5" s="8" t="n">
        <v>3.91586120687685</v>
      </c>
      <c r="BE5" s="8" t="n">
        <v>4.03161592943637</v>
      </c>
      <c r="BF5" s="8" t="n">
        <v>4.03506838077906</v>
      </c>
      <c r="BG5" s="8" t="n">
        <v>4.07449904344782</v>
      </c>
      <c r="BH5" s="8" t="n">
        <v>4.14990795686948</v>
      </c>
      <c r="BI5" s="8" t="n">
        <v>4.26129519645931</v>
      </c>
      <c r="BJ5" s="8" t="n">
        <v>4.40866087359683</v>
      </c>
      <c r="BK5" s="8" t="n">
        <v>4.51918500249715</v>
      </c>
      <c r="BL5" s="8" t="n">
        <v>4.59286769370627</v>
      </c>
      <c r="BM5" s="8" t="n">
        <v>4.62970902088757</v>
      </c>
    </row>
    <row r="6" ht="19" customHeight="1">
      <c r="A6" s="6" t="inlineStr">
        <is>
          <t>Malaysia</t>
        </is>
      </c>
      <c r="B6" s="8" t="n">
        <v>7.9632684067353</v>
      </c>
      <c r="C6" s="8" t="n">
        <v>7.74790012656604</v>
      </c>
      <c r="D6" s="8" t="n">
        <v>7.3171633508551</v>
      </c>
      <c r="E6" s="8" t="n">
        <v>6.6710576488972</v>
      </c>
      <c r="F6" s="8" t="n">
        <v>5.809582374566</v>
      </c>
      <c r="G6" s="8" t="n">
        <v>5.25872469301815</v>
      </c>
      <c r="H6" s="8" t="n">
        <v>5.01848405343012</v>
      </c>
      <c r="I6" s="8" t="n">
        <v>5.08886021550717</v>
      </c>
      <c r="J6" s="8" t="n">
        <v>5.46985324965074</v>
      </c>
      <c r="K6" s="8" t="n">
        <v>5.62369078627821</v>
      </c>
      <c r="L6" s="8" t="n">
        <v>5.55037297917717</v>
      </c>
      <c r="M6" s="8" t="n">
        <v>5.24989975508079</v>
      </c>
      <c r="N6" s="8" t="n">
        <v>4.72227081350229</v>
      </c>
      <c r="O6" s="8" t="n">
        <v>4.49980000241404</v>
      </c>
      <c r="P6" s="8" t="n">
        <v>4.58248709935849</v>
      </c>
      <c r="Q6" s="8" t="n">
        <v>4.97033218703723</v>
      </c>
      <c r="R6" s="8" t="n">
        <v>5.66333565329278</v>
      </c>
      <c r="S6" s="8" t="n">
        <v>6.07789137727895</v>
      </c>
      <c r="T6" s="8" t="n">
        <v>6.21399977355922</v>
      </c>
      <c r="U6" s="8" t="n">
        <v>6.07166097819758</v>
      </c>
      <c r="V6" s="8" t="n">
        <v>5.65087484895533</v>
      </c>
      <c r="W6" s="8" t="n">
        <v>5.25882361940609</v>
      </c>
      <c r="X6" s="8" t="n">
        <v>4.89550689762666</v>
      </c>
      <c r="Y6" s="8" t="n">
        <v>4.56092432024064</v>
      </c>
      <c r="Z6" s="8" t="n">
        <v>4.25507555267169</v>
      </c>
      <c r="AA6" s="8" t="n">
        <v>4.21061837971032</v>
      </c>
      <c r="AB6" s="8" t="n">
        <v>4.42755275691635</v>
      </c>
      <c r="AC6" s="8" t="n">
        <v>4.90587890117543</v>
      </c>
      <c r="AD6" s="8" t="n">
        <v>5.64559729088166</v>
      </c>
      <c r="AE6" s="8" t="n">
        <v>6.00833455064477</v>
      </c>
      <c r="AF6" s="8" t="n">
        <v>5.99409104326931</v>
      </c>
      <c r="AG6" s="8" t="n">
        <v>5.60286675447875</v>
      </c>
      <c r="AH6" s="8" t="n">
        <v>4.83466129306</v>
      </c>
      <c r="AI6" s="8" t="n">
        <v>4.53074948732132</v>
      </c>
      <c r="AJ6" s="8" t="n">
        <v>4.69113103339067</v>
      </c>
      <c r="AK6" s="8" t="n">
        <v>5.31580609156613</v>
      </c>
      <c r="AL6" s="8" t="n">
        <v>6.40477528663785</v>
      </c>
      <c r="AM6" s="8" t="n">
        <v>6.04372814403864</v>
      </c>
      <c r="AN6" s="8" t="n">
        <v>4.2326643027504</v>
      </c>
      <c r="AO6" s="8" t="n">
        <v>0.971581951710769</v>
      </c>
      <c r="AP6" s="8" t="n">
        <v>-3.73952217014739</v>
      </c>
      <c r="AQ6" s="8" t="n">
        <v>-6.31089251286022</v>
      </c>
      <c r="AR6" s="8" t="n">
        <v>-6.7425316476696</v>
      </c>
      <c r="AS6" s="8" t="n">
        <v>-5.03444000635455</v>
      </c>
      <c r="AT6" s="8" t="n">
        <v>-1.18661588076898</v>
      </c>
      <c r="AU6" s="8" t="n">
        <v>2.15329832021367</v>
      </c>
      <c r="AV6" s="8" t="n">
        <v>4.98530593646775</v>
      </c>
      <c r="AW6" s="8" t="n">
        <v>7.30940980001118</v>
      </c>
      <c r="AX6" s="8" t="n">
        <v>9.1256122348862</v>
      </c>
      <c r="AY6" s="8" t="n">
        <v>9.81454297533028</v>
      </c>
      <c r="AZ6" s="8" t="n">
        <v>9.376202710224041</v>
      </c>
      <c r="BA6" s="8" t="n">
        <v>7.81059100120743</v>
      </c>
      <c r="BB6" s="8" t="n">
        <v>5.11770628262755</v>
      </c>
      <c r="BC6" s="8" t="n">
        <v>3.40829616017238</v>
      </c>
      <c r="BD6" s="8" t="n">
        <v>2.68235892435485</v>
      </c>
      <c r="BE6" s="8" t="n">
        <v>2.93989384924944</v>
      </c>
      <c r="BF6" s="8" t="n">
        <v>4.18090119240212</v>
      </c>
      <c r="BG6" s="8" t="n">
        <v>5.04712694118034</v>
      </c>
      <c r="BH6" s="8" t="n">
        <v>5.5385719617799</v>
      </c>
      <c r="BI6" s="8" t="n">
        <v>5.65523674563646</v>
      </c>
      <c r="BJ6" s="8" t="n">
        <v>5.39712140949998</v>
      </c>
      <c r="BK6" s="8" t="n">
        <v>5.20353513318351</v>
      </c>
      <c r="BL6" s="8" t="n">
        <v>5.07447772322168</v>
      </c>
      <c r="BM6" s="8" t="n">
        <v>5.00994905051112</v>
      </c>
    </row>
    <row r="7" ht="19" customHeight="1">
      <c r="A7" s="6" t="inlineStr">
        <is>
          <t>Myanmar</t>
        </is>
      </c>
      <c r="B7" s="8" t="n">
        <v>10.6916912684653</v>
      </c>
      <c r="C7" s="8" t="n">
        <v>10.2687907956178</v>
      </c>
      <c r="D7" s="8" t="n">
        <v>9.422989427012389</v>
      </c>
      <c r="E7" s="8" t="n">
        <v>8.15428631686042</v>
      </c>
      <c r="F7" s="8" t="n">
        <v>6.46268019647009</v>
      </c>
      <c r="G7" s="8" t="n">
        <v>5.43755906680137</v>
      </c>
      <c r="H7" s="8" t="n">
        <v>5.07892190286653</v>
      </c>
      <c r="I7" s="8" t="n">
        <v>5.3867683458379</v>
      </c>
      <c r="J7" s="8" t="n">
        <v>6.36109870371816</v>
      </c>
      <c r="K7" s="8" t="n">
        <v>7.13945917458563</v>
      </c>
      <c r="L7" s="8" t="n">
        <v>7.72185053682494</v>
      </c>
      <c r="M7" s="8" t="n">
        <v>8.108273372852789</v>
      </c>
      <c r="N7" s="8" t="n">
        <v>8.298728069074031</v>
      </c>
      <c r="O7" s="8" t="n">
        <v>8.42581907273178</v>
      </c>
      <c r="P7" s="8" t="n">
        <v>8.48954651086366</v>
      </c>
      <c r="Q7" s="8" t="n">
        <v>8.48991044730918</v>
      </c>
      <c r="R7" s="8" t="n">
        <v>8.426910882325981</v>
      </c>
      <c r="S7" s="8" t="n">
        <v>8.298909756301921</v>
      </c>
      <c r="T7" s="8" t="n">
        <v>8.10590694123719</v>
      </c>
      <c r="U7" s="8" t="n">
        <v>7.84790224413307</v>
      </c>
      <c r="V7" s="8" t="n">
        <v>7.52489540701311</v>
      </c>
      <c r="W7" s="8" t="n">
        <v>7.18287079823898</v>
      </c>
      <c r="X7" s="8" t="n">
        <v>6.82182807589351</v>
      </c>
      <c r="Y7" s="8" t="n">
        <v>6.44176687892188</v>
      </c>
      <c r="Z7" s="8" t="n">
        <v>6.04268682720807</v>
      </c>
      <c r="AA7" s="8" t="n">
        <v>5.8109693407765</v>
      </c>
      <c r="AB7" s="8" t="n">
        <v>5.74661418791013</v>
      </c>
      <c r="AC7" s="8" t="n">
        <v>5.84962130415984</v>
      </c>
      <c r="AD7" s="8" t="n">
        <v>6.11999079266472</v>
      </c>
      <c r="AE7" s="8" t="n">
        <v>6.23458552687543</v>
      </c>
      <c r="AF7" s="8" t="n">
        <v>6.19340562137107</v>
      </c>
      <c r="AG7" s="8" t="n">
        <v>5.9964510350646</v>
      </c>
      <c r="AH7" s="8" t="n">
        <v>5.64372157089194</v>
      </c>
      <c r="AI7" s="8" t="n">
        <v>5.75268594221041</v>
      </c>
      <c r="AJ7" s="8" t="n">
        <v>6.32334425800221</v>
      </c>
      <c r="AK7" s="8" t="n">
        <v>7.35569708886357</v>
      </c>
      <c r="AL7" s="8" t="n">
        <v>8.849745467205709</v>
      </c>
      <c r="AM7" s="8" t="n">
        <v>8.53911099465207</v>
      </c>
      <c r="AN7" s="8" t="n">
        <v>6.42379336052436</v>
      </c>
      <c r="AO7" s="8" t="n">
        <v>2.50379044956964</v>
      </c>
      <c r="AP7" s="8" t="n">
        <v>-3.22090165827063</v>
      </c>
      <c r="AQ7" s="8" t="n">
        <v>-7.84175451004269</v>
      </c>
      <c r="AR7" s="8" t="n">
        <v>-11.3587727266033</v>
      </c>
      <c r="AS7" s="8" t="n">
        <v>-13.7719598250316</v>
      </c>
      <c r="AT7" s="8" t="n">
        <v>-15.0813182184898</v>
      </c>
      <c r="AU7" s="8" t="n">
        <v>-14.3790838407297</v>
      </c>
      <c r="AV7" s="8" t="n">
        <v>-11.6652559895953</v>
      </c>
      <c r="AW7" s="8" t="n">
        <v>-6.939831951213</v>
      </c>
      <c r="AX7" s="8" t="n">
        <v>-0.202807000184654</v>
      </c>
      <c r="AY7" s="8" t="n">
        <v>4.18812119383188</v>
      </c>
      <c r="AZ7" s="8" t="n">
        <v>6.23295702175153</v>
      </c>
      <c r="BA7" s="8" t="n">
        <v>5.93170252844557</v>
      </c>
      <c r="BB7" s="8" t="n">
        <v>3.28435741257495</v>
      </c>
      <c r="BC7" s="8" t="n">
        <v>1.2950559800507</v>
      </c>
      <c r="BD7" s="8" t="n">
        <v>-0.0362037584466207</v>
      </c>
      <c r="BE7" s="8" t="n">
        <v>-0.709423134205199</v>
      </c>
      <c r="BF7" s="8" t="n">
        <v>-0.724602820420859</v>
      </c>
      <c r="BG7" s="8" t="n">
        <v>-0.829652069198788</v>
      </c>
      <c r="BH7" s="8" t="n">
        <v>-1.02457098566991</v>
      </c>
      <c r="BI7" s="8" t="n">
        <v>-1.30935976473845</v>
      </c>
      <c r="BJ7" s="8" t="n">
        <v>-1.68401869111101</v>
      </c>
      <c r="BK7" s="8" t="n">
        <v>-1.96501255814552</v>
      </c>
      <c r="BL7" s="8" t="n">
        <v>-2.1523416466774</v>
      </c>
      <c r="BM7" s="8" t="n">
        <v>-2.24600614412201</v>
      </c>
    </row>
    <row r="8" ht="19" customHeight="1">
      <c r="A8" s="7" t="inlineStr">
        <is>
          <t>Philippines</t>
        </is>
      </c>
      <c r="B8" s="8" t="n">
        <v>8.346683983258741</v>
      </c>
      <c r="C8" s="8" t="n">
        <v>7.94181061703673</v>
      </c>
      <c r="D8" s="8" t="n">
        <v>7.13206347967244</v>
      </c>
      <c r="E8" s="8" t="n">
        <v>5.91744176147665</v>
      </c>
      <c r="F8" s="8" t="n">
        <v>4.29794424784536</v>
      </c>
      <c r="G8" s="8" t="n">
        <v>3.47426100666831</v>
      </c>
      <c r="H8" s="8" t="n">
        <v>3.44639121433446</v>
      </c>
      <c r="I8" s="8" t="n">
        <v>4.21433484290933</v>
      </c>
      <c r="J8" s="8" t="n">
        <v>5.77809266039515</v>
      </c>
      <c r="K8" s="8" t="n">
        <v>6.85113892000843</v>
      </c>
      <c r="L8" s="8" t="n">
        <v>7.43347469473528</v>
      </c>
      <c r="M8" s="8" t="n">
        <v>7.52510056694628</v>
      </c>
      <c r="N8" s="8" t="n">
        <v>7.12601662831203</v>
      </c>
      <c r="O8" s="8" t="n">
        <v>6.81618906807903</v>
      </c>
      <c r="P8" s="8" t="n">
        <v>6.59561757646345</v>
      </c>
      <c r="Q8" s="8" t="n">
        <v>6.46430193288341</v>
      </c>
      <c r="R8" s="8" t="n">
        <v>6.42224200607535</v>
      </c>
      <c r="S8" s="8" t="n">
        <v>6.37571624965709</v>
      </c>
      <c r="T8" s="8" t="n">
        <v>6.32472461717987</v>
      </c>
      <c r="U8" s="8" t="n">
        <v>6.26926705754471</v>
      </c>
      <c r="V8" s="8" t="n">
        <v>6.20934351545893</v>
      </c>
      <c r="W8" s="8" t="n">
        <v>6.24096055411843</v>
      </c>
      <c r="X8" s="8" t="n">
        <v>6.3641182053292</v>
      </c>
      <c r="Y8" s="8" t="n">
        <v>6.57881659213823</v>
      </c>
      <c r="Z8" s="8" t="n">
        <v>6.88505592927916</v>
      </c>
      <c r="AA8" s="8" t="n">
        <v>7.11331188609775</v>
      </c>
      <c r="AB8" s="8" t="n">
        <v>7.26358469088395</v>
      </c>
      <c r="AC8" s="8" t="n">
        <v>7.33587449381779</v>
      </c>
      <c r="AD8" s="8" t="n">
        <v>7.3301813672683</v>
      </c>
      <c r="AE8" s="8" t="n">
        <v>7.16822699664909</v>
      </c>
      <c r="AF8" s="8" t="n">
        <v>6.85001122008377</v>
      </c>
      <c r="AG8" s="8" t="n">
        <v>6.37553371929144</v>
      </c>
      <c r="AH8" s="8" t="n">
        <v>5.7447940197741</v>
      </c>
      <c r="AI8" s="8" t="n">
        <v>5.73117470576752</v>
      </c>
      <c r="AJ8" s="8" t="n">
        <v>6.33467576366091</v>
      </c>
      <c r="AK8" s="8" t="n">
        <v>7.55529779688665</v>
      </c>
      <c r="AL8" s="8" t="n">
        <v>9.393042026169461</v>
      </c>
      <c r="AM8" s="8" t="n">
        <v>8.81833370089133</v>
      </c>
      <c r="AN8" s="8" t="n">
        <v>5.83117224635622</v>
      </c>
      <c r="AO8" s="8" t="n">
        <v>0.431554675417957</v>
      </c>
      <c r="AP8" s="8" t="n">
        <v>-7.38052441148343</v>
      </c>
      <c r="AQ8" s="8" t="n">
        <v>-11.3604625711426</v>
      </c>
      <c r="AR8" s="8" t="n">
        <v>-11.5082637832826</v>
      </c>
      <c r="AS8" s="8" t="n">
        <v>-7.82392819590261</v>
      </c>
      <c r="AT8" s="8" t="n">
        <v>-0.307452124571783</v>
      </c>
      <c r="AU8" s="8" t="n">
        <v>5.10800990892451</v>
      </c>
      <c r="AV8" s="8" t="n">
        <v>8.422463319961039</v>
      </c>
      <c r="AW8" s="8" t="n">
        <v>9.63591142311113</v>
      </c>
      <c r="AX8" s="8" t="n">
        <v>8.74835543172903</v>
      </c>
      <c r="AY8" s="8" t="n">
        <v>7.92638411806585</v>
      </c>
      <c r="AZ8" s="8" t="n">
        <v>7.16999666011445</v>
      </c>
      <c r="BA8" s="8" t="n">
        <v>6.47919230147492</v>
      </c>
      <c r="BB8" s="8" t="n">
        <v>5.8539703512618</v>
      </c>
      <c r="BC8" s="8" t="n">
        <v>5.46987347009449</v>
      </c>
      <c r="BD8" s="8" t="n">
        <v>5.32690127372412</v>
      </c>
      <c r="BE8" s="8" t="n">
        <v>5.42505361919044</v>
      </c>
      <c r="BF8" s="8" t="n">
        <v>5.7643306047241</v>
      </c>
      <c r="BG8" s="8" t="n">
        <v>5.88020722597106</v>
      </c>
      <c r="BH8" s="8" t="n">
        <v>5.7726835988153</v>
      </c>
      <c r="BI8" s="8" t="n">
        <v>5.44175961572209</v>
      </c>
      <c r="BJ8" s="8" t="n">
        <v>4.88743494577728</v>
      </c>
      <c r="BK8" s="8" t="n">
        <v>4.47169192830871</v>
      </c>
      <c r="BL8" s="8" t="n">
        <v>4.19453014767549</v>
      </c>
      <c r="BM8" s="8" t="n">
        <v>4.05594932666393</v>
      </c>
    </row>
    <row r="9" ht="19" customHeight="1">
      <c r="A9" s="6" t="inlineStr">
        <is>
          <t>Singapore</t>
        </is>
      </c>
      <c r="B9" s="8" t="n">
        <v>16.4061112791934</v>
      </c>
      <c r="C9" s="8" t="n">
        <v>15.6515671046107</v>
      </c>
      <c r="D9" s="8" t="n">
        <v>14.1424780009039</v>
      </c>
      <c r="E9" s="8" t="n">
        <v>11.8788424589509</v>
      </c>
      <c r="F9" s="8" t="n">
        <v>8.860658215169661</v>
      </c>
      <c r="G9" s="8" t="n">
        <v>6.59509595655449</v>
      </c>
      <c r="H9" s="8" t="n">
        <v>5.08215341747502</v>
      </c>
      <c r="I9" s="8" t="n">
        <v>4.32182908509772</v>
      </c>
      <c r="J9" s="8" t="n">
        <v>4.31412219900292</v>
      </c>
      <c r="K9" s="8" t="n">
        <v>4.35958957444045</v>
      </c>
      <c r="L9" s="8" t="n">
        <v>4.45823125684445</v>
      </c>
      <c r="M9" s="8" t="n">
        <v>4.61004734488074</v>
      </c>
      <c r="N9" s="8" t="n">
        <v>4.81503799038404</v>
      </c>
      <c r="O9" s="8" t="n">
        <v>4.89807141957799</v>
      </c>
      <c r="P9" s="8" t="n">
        <v>4.85914771554374</v>
      </c>
      <c r="Q9" s="8" t="n">
        <v>4.69826683932992</v>
      </c>
      <c r="R9" s="8" t="n">
        <v>4.41542863008001</v>
      </c>
      <c r="S9" s="8" t="n">
        <v>4.11033815993858</v>
      </c>
      <c r="T9" s="8" t="n">
        <v>3.78299512388304</v>
      </c>
      <c r="U9" s="8" t="n">
        <v>3.43339919446602</v>
      </c>
      <c r="V9" s="8" t="n">
        <v>3.06155002217855</v>
      </c>
      <c r="W9" s="8" t="n">
        <v>2.87891014332129</v>
      </c>
      <c r="X9" s="8" t="n">
        <v>2.88547937529819</v>
      </c>
      <c r="Y9" s="8" t="n">
        <v>3.08125772463792</v>
      </c>
      <c r="Z9" s="8" t="n">
        <v>3.46624538716847</v>
      </c>
      <c r="AA9" s="8" t="n">
        <v>3.79812336196791</v>
      </c>
      <c r="AB9" s="8" t="n">
        <v>4.07689198094705</v>
      </c>
      <c r="AC9" s="8" t="n">
        <v>4.30255152281413</v>
      </c>
      <c r="AD9" s="8" t="n">
        <v>4.47510221328366</v>
      </c>
      <c r="AE9" s="8" t="n">
        <v>4.48479909865614</v>
      </c>
      <c r="AF9" s="8" t="n">
        <v>4.33164218866914</v>
      </c>
      <c r="AG9" s="8" t="n">
        <v>4.01563133012136</v>
      </c>
      <c r="AH9" s="8" t="n">
        <v>3.53676620702843</v>
      </c>
      <c r="AI9" s="8" t="n">
        <v>3.20515721994062</v>
      </c>
      <c r="AJ9" s="8" t="n">
        <v>3.02080403729912</v>
      </c>
      <c r="AK9" s="8" t="n">
        <v>2.98370647465766</v>
      </c>
      <c r="AL9" s="8" t="n">
        <v>3.09386449504264</v>
      </c>
      <c r="AM9" s="8" t="n">
        <v>2.36389414334682</v>
      </c>
      <c r="AN9" s="8" t="n">
        <v>0.793794689699816</v>
      </c>
      <c r="AO9" s="8" t="n">
        <v>-1.61643543606546</v>
      </c>
      <c r="AP9" s="8" t="n">
        <v>-4.86679864408999</v>
      </c>
      <c r="AQ9" s="8" t="n">
        <v>-5.66456144302173</v>
      </c>
      <c r="AR9" s="8" t="n">
        <v>-4.00972463043943</v>
      </c>
      <c r="AS9" s="8" t="n">
        <v>0.09771344834434111</v>
      </c>
      <c r="AT9" s="8" t="n">
        <v>6.65775690082044</v>
      </c>
      <c r="AU9" s="8" t="n">
        <v>10.6751035749638</v>
      </c>
      <c r="AV9" s="8" t="n">
        <v>12.1497574881364</v>
      </c>
      <c r="AW9" s="8" t="n">
        <v>11.0817201149885</v>
      </c>
      <c r="AX9" s="8" t="n">
        <v>7.4709903874722</v>
      </c>
      <c r="AY9" s="8" t="n">
        <v>4.64241521544948</v>
      </c>
      <c r="AZ9" s="8" t="n">
        <v>2.59599177033013</v>
      </c>
      <c r="BA9" s="8" t="n">
        <v>1.33171800561325</v>
      </c>
      <c r="BB9" s="8" t="n">
        <v>0.849592657044287</v>
      </c>
      <c r="BC9" s="8" t="n">
        <v>0.897012481732378</v>
      </c>
      <c r="BD9" s="8" t="n">
        <v>1.47397752699283</v>
      </c>
      <c r="BE9" s="8" t="n">
        <v>2.58048836979521</v>
      </c>
      <c r="BF9" s="8" t="n">
        <v>4.21654611669896</v>
      </c>
      <c r="BG9" s="8" t="n">
        <v>5.32175507695791</v>
      </c>
      <c r="BH9" s="8" t="n">
        <v>5.89611635581672</v>
      </c>
      <c r="BI9" s="8" t="n">
        <v>5.93963052757344</v>
      </c>
      <c r="BJ9" s="8" t="n">
        <v>5.45229763577801</v>
      </c>
      <c r="BK9" s="8" t="n">
        <v>5.08679839334555</v>
      </c>
      <c r="BL9" s="8" t="n">
        <v>4.84313243477706</v>
      </c>
      <c r="BM9" s="8" t="n">
        <v>4.72129951644209</v>
      </c>
    </row>
    <row r="10" ht="19" customHeight="1">
      <c r="A10" s="6" t="inlineStr">
        <is>
          <t>Thailand</t>
        </is>
      </c>
      <c r="B10" s="8" t="n">
        <v>9.543645749474861</v>
      </c>
      <c r="C10" s="8" t="n">
        <v>8.731544150001881</v>
      </c>
      <c r="D10" s="8" t="n">
        <v>7.10734013894131</v>
      </c>
      <c r="E10" s="8" t="n">
        <v>4.67103209208628</v>
      </c>
      <c r="F10" s="8" t="n">
        <v>1.42261757315622</v>
      </c>
      <c r="G10" s="8" t="n">
        <v>-0.10974183588176</v>
      </c>
      <c r="H10" s="8" t="n">
        <v>0.073952332588232</v>
      </c>
      <c r="I10" s="8" t="n">
        <v>1.97370026226952</v>
      </c>
      <c r="J10" s="8" t="n">
        <v>5.58950385291192</v>
      </c>
      <c r="K10" s="8" t="n">
        <v>7.69714132599865</v>
      </c>
      <c r="L10" s="8" t="n">
        <v>8.29661478915923</v>
      </c>
      <c r="M10" s="8" t="n">
        <v>7.38792484187505</v>
      </c>
      <c r="N10" s="8" t="n">
        <v>4.9710705754534</v>
      </c>
      <c r="O10" s="8" t="n">
        <v>3.09089975038103</v>
      </c>
      <c r="P10" s="8" t="n">
        <v>1.74741048657137</v>
      </c>
      <c r="Q10" s="8" t="n">
        <v>0.940601440453837</v>
      </c>
      <c r="R10" s="8" t="n">
        <v>0.670471805257575</v>
      </c>
      <c r="S10" s="8" t="n">
        <v>0.6880187369706759</v>
      </c>
      <c r="T10" s="8" t="n">
        <v>0.993242253190631</v>
      </c>
      <c r="U10" s="8" t="n">
        <v>1.58614265903408</v>
      </c>
      <c r="V10" s="8" t="n">
        <v>2.46672054749996</v>
      </c>
      <c r="W10" s="8" t="n">
        <v>3.08588210007009</v>
      </c>
      <c r="X10" s="8" t="n">
        <v>3.44362793596513</v>
      </c>
      <c r="Y10" s="8" t="n">
        <v>3.53995841292426</v>
      </c>
      <c r="Z10" s="8" t="n">
        <v>3.37487362724199</v>
      </c>
      <c r="AA10" s="8" t="n">
        <v>3.33295335747748</v>
      </c>
      <c r="AB10" s="8" t="n">
        <v>3.41419756173629</v>
      </c>
      <c r="AC10" s="8" t="n">
        <v>3.61860632123303</v>
      </c>
      <c r="AD10" s="8" t="n">
        <v>3.94617984040939</v>
      </c>
      <c r="AE10" s="8" t="n">
        <v>4.16980962330552</v>
      </c>
      <c r="AF10" s="8" t="n">
        <v>4.28949589363712</v>
      </c>
      <c r="AG10" s="8" t="n">
        <v>4.30523877103641</v>
      </c>
      <c r="AH10" s="8" t="n">
        <v>4.21703827126297</v>
      </c>
      <c r="AI10" s="8" t="n">
        <v>4.18409088874726</v>
      </c>
      <c r="AJ10" s="8" t="n">
        <v>4.20639659063961</v>
      </c>
      <c r="AK10" s="8" t="n">
        <v>4.28395539912249</v>
      </c>
      <c r="AL10" s="8" t="n">
        <v>4.41676739186116</v>
      </c>
      <c r="AM10" s="8" t="n">
        <v>3.54900888465558</v>
      </c>
      <c r="AN10" s="8" t="n">
        <v>1.68067900974297</v>
      </c>
      <c r="AO10" s="8" t="n">
        <v>-1.18822410119282</v>
      </c>
      <c r="AP10" s="8" t="n">
        <v>-5.05770331701174</v>
      </c>
      <c r="AQ10" s="8" t="n">
        <v>-7.01963813823928</v>
      </c>
      <c r="AR10" s="8" t="n">
        <v>-7.07403052664047</v>
      </c>
      <c r="AS10" s="8" t="n">
        <v>-5.22088053675657</v>
      </c>
      <c r="AT10" s="8" t="n">
        <v>-1.46018631536726</v>
      </c>
      <c r="AU10" s="8" t="n">
        <v>1.25159757664754</v>
      </c>
      <c r="AV10" s="8" t="n">
        <v>2.91447385107674</v>
      </c>
      <c r="AW10" s="8" t="n">
        <v>3.52844417079948</v>
      </c>
      <c r="AX10" s="8" t="n">
        <v>3.09350914979449</v>
      </c>
      <c r="AY10" s="8" t="n">
        <v>2.73726850601738</v>
      </c>
      <c r="AZ10" s="8" t="n">
        <v>2.45972188316087</v>
      </c>
      <c r="BA10" s="8" t="n">
        <v>2.26086900363738</v>
      </c>
      <c r="BB10" s="8" t="n">
        <v>2.14070966865466</v>
      </c>
      <c r="BC10" s="8" t="n">
        <v>2.13589580997897</v>
      </c>
      <c r="BD10" s="8" t="n">
        <v>2.2464274227192</v>
      </c>
      <c r="BE10" s="8" t="n">
        <v>2.4723046174395</v>
      </c>
      <c r="BF10" s="8" t="n">
        <v>2.81352762004183</v>
      </c>
      <c r="BG10" s="8" t="n">
        <v>3.00404563923615</v>
      </c>
      <c r="BH10" s="8" t="n">
        <v>3.04385886562327</v>
      </c>
      <c r="BI10" s="8" t="n">
        <v>2.93296733892549</v>
      </c>
      <c r="BJ10" s="8" t="n">
        <v>2.67137094833979</v>
      </c>
      <c r="BK10" s="8" t="n">
        <v>2.4751738842528</v>
      </c>
      <c r="BL10" s="8" t="n">
        <v>2.34437595055628</v>
      </c>
      <c r="BM10" s="8" t="n">
        <v>2.2789770164237</v>
      </c>
    </row>
    <row r="11" ht="19" customHeight="1">
      <c r="A11" s="6" t="inlineStr">
        <is>
          <t>Vietnam</t>
        </is>
      </c>
      <c r="B11" s="8" t="n">
        <v>6.37485477047883</v>
      </c>
      <c r="C11" s="8" t="n">
        <v>6.39421077962517</v>
      </c>
      <c r="D11" s="8" t="n">
        <v>6.43292281728234</v>
      </c>
      <c r="E11" s="8" t="n">
        <v>6.49099092216785</v>
      </c>
      <c r="F11" s="8" t="n">
        <v>6.56841515235233</v>
      </c>
      <c r="G11" s="8" t="n">
        <v>6.53728636861755</v>
      </c>
      <c r="H11" s="8" t="n">
        <v>6.39760453989216</v>
      </c>
      <c r="I11" s="8" t="n">
        <v>6.14936952643489</v>
      </c>
      <c r="J11" s="8" t="n">
        <v>5.79258108004786</v>
      </c>
      <c r="K11" s="8" t="n">
        <v>5.53465127020235</v>
      </c>
      <c r="L11" s="8" t="n">
        <v>5.37557983897599</v>
      </c>
      <c r="M11" s="8" t="n">
        <v>5.31536662728997</v>
      </c>
      <c r="N11" s="8" t="n">
        <v>5.35401157493402</v>
      </c>
      <c r="O11" s="8" t="n">
        <v>5.44926919483928</v>
      </c>
      <c r="P11" s="8" t="n">
        <v>5.60113958223748</v>
      </c>
      <c r="Q11" s="8" t="n">
        <v>5.80962288901283</v>
      </c>
      <c r="R11" s="8" t="n">
        <v>6.07471932364453</v>
      </c>
      <c r="S11" s="8" t="n">
        <v>6.3197672959994</v>
      </c>
      <c r="T11" s="8" t="n">
        <v>6.54476705110965</v>
      </c>
      <c r="U11" s="8" t="n">
        <v>6.74971881398264</v>
      </c>
      <c r="V11" s="8" t="n">
        <v>6.93462278959375</v>
      </c>
      <c r="W11" s="8" t="n">
        <v>7.02959694789713</v>
      </c>
      <c r="X11" s="8" t="n">
        <v>7.03464138387847</v>
      </c>
      <c r="Y11" s="8" t="n">
        <v>6.94975610258223</v>
      </c>
      <c r="Z11" s="8" t="n">
        <v>6.77494101912028</v>
      </c>
      <c r="AA11" s="8" t="n">
        <v>6.67104219359155</v>
      </c>
      <c r="AB11" s="8" t="n">
        <v>6.63805952209229</v>
      </c>
      <c r="AC11" s="8" t="n">
        <v>6.67599297163697</v>
      </c>
      <c r="AD11" s="8" t="n">
        <v>6.78484258018122</v>
      </c>
      <c r="AE11" s="8" t="n">
        <v>6.89052148843344</v>
      </c>
      <c r="AF11" s="8" t="n">
        <v>6.99302980208348</v>
      </c>
      <c r="AG11" s="8" t="n">
        <v>7.09236762364725</v>
      </c>
      <c r="AH11" s="8" t="n">
        <v>7.18853505246549</v>
      </c>
      <c r="AI11" s="8" t="n">
        <v>7.33759066546021</v>
      </c>
      <c r="AJ11" s="8" t="n">
        <v>7.53953461175283</v>
      </c>
      <c r="AK11" s="8" t="n">
        <v>7.79436709322134</v>
      </c>
      <c r="AL11" s="8" t="n">
        <v>8.102088364728781</v>
      </c>
      <c r="AM11" s="8" t="n">
        <v>7.92804674305674</v>
      </c>
      <c r="AN11" s="8" t="n">
        <v>7.27224205415414</v>
      </c>
      <c r="AO11" s="8" t="n">
        <v>6.13467364222677</v>
      </c>
      <c r="AP11" s="8" t="n">
        <v>4.51534036968043</v>
      </c>
      <c r="AQ11" s="8" t="n">
        <v>3.2076368191325</v>
      </c>
      <c r="AR11" s="8" t="n">
        <v>2.21156168287942</v>
      </c>
      <c r="AS11" s="8" t="n">
        <v>1.52711396482937</v>
      </c>
      <c r="AT11" s="8" t="n">
        <v>1.15429298054386</v>
      </c>
      <c r="AU11" s="8" t="n">
        <v>1.56493852154016</v>
      </c>
      <c r="AV11" s="8" t="n">
        <v>2.75905099844341</v>
      </c>
      <c r="AW11" s="8" t="n">
        <v>4.73663160536492</v>
      </c>
      <c r="AX11" s="8" t="n">
        <v>7.49768231988464</v>
      </c>
      <c r="AY11" s="8" t="n">
        <v>9.01802920649553</v>
      </c>
      <c r="AZ11" s="8" t="n">
        <v>9.2976737855536</v>
      </c>
      <c r="BA11" s="8" t="n">
        <v>8.33661633670841</v>
      </c>
      <c r="BB11" s="8" t="n">
        <v>6.13485589887367</v>
      </c>
      <c r="BC11" s="8" t="n">
        <v>4.79167378785478</v>
      </c>
      <c r="BD11" s="8" t="n">
        <v>4.30706866048041</v>
      </c>
      <c r="BE11" s="8" t="n">
        <v>4.68104003211929</v>
      </c>
      <c r="BF11" s="8" t="n">
        <v>5.91358827675437</v>
      </c>
      <c r="BG11" s="8" t="n">
        <v>6.85699260962352</v>
      </c>
      <c r="BH11" s="8" t="n">
        <v>7.51125397410058</v>
      </c>
      <c r="BI11" s="8" t="n">
        <v>7.87637302444645</v>
      </c>
      <c r="BJ11" s="8" t="n">
        <v>7.95235012581628</v>
      </c>
      <c r="BK11" s="8" t="n">
        <v>8.009332885336979</v>
      </c>
      <c r="BL11" s="8" t="n">
        <v>8.047321360050789</v>
      </c>
      <c r="BM11" s="8" t="n">
        <v>8.066315587905089</v>
      </c>
    </row>
  </sheetData>
  <autoFilter ref="A1:BM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M1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21" customWidth="1" min="12" max="12"/>
    <col width="21" customWidth="1" min="13" max="13"/>
    <col width="21" customWidth="1" min="14" max="14"/>
    <col width="20" customWidth="1" min="15" max="15"/>
    <col width="19" customWidth="1" min="16" max="16"/>
    <col width="19" customWidth="1" min="17" max="17"/>
    <col width="19" customWidth="1" min="18" max="18"/>
    <col width="19" customWidth="1" min="19" max="19"/>
    <col width="20" customWidth="1" min="20" max="20"/>
    <col width="19" customWidth="1" min="21" max="21"/>
    <col width="21" customWidth="1" min="22" max="22"/>
    <col width="20" customWidth="1" min="23" max="23"/>
    <col width="20" customWidth="1" min="24" max="24"/>
    <col width="20" customWidth="1" min="25" max="25"/>
    <col width="20" customWidth="1" min="26" max="26"/>
    <col width="19" customWidth="1" min="27" max="27"/>
    <col width="19" customWidth="1" min="28" max="28"/>
    <col width="19" customWidth="1" min="29" max="29"/>
    <col width="21" customWidth="1" min="30" max="30"/>
    <col width="20" customWidth="1" min="31" max="31"/>
    <col width="21" customWidth="1" min="32" max="32"/>
    <col width="21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20" customWidth="1" min="42" max="42"/>
    <col width="21" customWidth="1" min="43" max="43"/>
    <col width="20" customWidth="1" min="44" max="44"/>
    <col width="20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0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</cols>
  <sheetData>
    <row r="1" ht="26" customHeight="1">
      <c r="A1" s="5" t="inlineStr">
        <is>
          <t>country</t>
        </is>
      </c>
      <c r="B1" s="5" t="inlineStr">
        <is>
          <t>2010 Q1</t>
        </is>
      </c>
      <c r="C1" s="5" t="inlineStr">
        <is>
          <t>2010 Q2</t>
        </is>
      </c>
      <c r="D1" s="5" t="inlineStr">
        <is>
          <t>2010 Q3</t>
        </is>
      </c>
      <c r="E1" s="5" t="inlineStr">
        <is>
          <t>2010 Q4</t>
        </is>
      </c>
      <c r="F1" s="5" t="inlineStr">
        <is>
          <t>2011 Q1</t>
        </is>
      </c>
      <c r="G1" s="5" t="inlineStr">
        <is>
          <t>2011 Q2</t>
        </is>
      </c>
      <c r="H1" s="5" t="inlineStr">
        <is>
          <t>2011 Q3</t>
        </is>
      </c>
      <c r="I1" s="5" t="inlineStr">
        <is>
          <t>2011 Q4</t>
        </is>
      </c>
      <c r="J1" s="5" t="inlineStr">
        <is>
          <t>2012 Q1</t>
        </is>
      </c>
      <c r="K1" s="5" t="inlineStr">
        <is>
          <t>2012 Q2</t>
        </is>
      </c>
      <c r="L1" s="5" t="inlineStr">
        <is>
          <t>2012 Q3</t>
        </is>
      </c>
      <c r="M1" s="5" t="inlineStr">
        <is>
          <t>2012 Q4</t>
        </is>
      </c>
      <c r="N1" s="5" t="inlineStr">
        <is>
          <t>2013 Q1</t>
        </is>
      </c>
      <c r="O1" s="5" t="inlineStr">
        <is>
          <t>2013 Q2</t>
        </is>
      </c>
      <c r="P1" s="5" t="inlineStr">
        <is>
          <t>2013 Q3</t>
        </is>
      </c>
      <c r="Q1" s="5" t="inlineStr">
        <is>
          <t>2013 Q4</t>
        </is>
      </c>
      <c r="R1" s="5" t="inlineStr">
        <is>
          <t>2014 Q1</t>
        </is>
      </c>
      <c r="S1" s="5" t="inlineStr">
        <is>
          <t>2014 Q2</t>
        </is>
      </c>
      <c r="T1" s="5" t="inlineStr">
        <is>
          <t>2014 Q3</t>
        </is>
      </c>
      <c r="U1" s="5" t="inlineStr">
        <is>
          <t>2014 Q4</t>
        </is>
      </c>
      <c r="V1" s="5" t="inlineStr">
        <is>
          <t>2015 Q1</t>
        </is>
      </c>
      <c r="W1" s="5" t="inlineStr">
        <is>
          <t>2015 Q2</t>
        </is>
      </c>
      <c r="X1" s="5" t="inlineStr">
        <is>
          <t>2015 Q3</t>
        </is>
      </c>
      <c r="Y1" s="5" t="inlineStr">
        <is>
          <t>2015 Q4</t>
        </is>
      </c>
      <c r="Z1" s="5" t="inlineStr">
        <is>
          <t>2016 Q1</t>
        </is>
      </c>
      <c r="AA1" s="5" t="inlineStr">
        <is>
          <t>2016 Q2</t>
        </is>
      </c>
      <c r="AB1" s="5" t="inlineStr">
        <is>
          <t>2016 Q3</t>
        </is>
      </c>
      <c r="AC1" s="5" t="inlineStr">
        <is>
          <t>2016 Q4</t>
        </is>
      </c>
      <c r="AD1" s="5" t="inlineStr">
        <is>
          <t>2017 Q1</t>
        </is>
      </c>
      <c r="AE1" s="5" t="inlineStr">
        <is>
          <t>2017 Q2</t>
        </is>
      </c>
      <c r="AF1" s="5" t="inlineStr">
        <is>
          <t>2017 Q3</t>
        </is>
      </c>
      <c r="AG1" s="5" t="inlineStr">
        <is>
          <t>2017 Q4</t>
        </is>
      </c>
      <c r="AH1" s="5" t="inlineStr">
        <is>
          <t>2018 Q1</t>
        </is>
      </c>
      <c r="AI1" s="5" t="inlineStr">
        <is>
          <t>2018 Q2</t>
        </is>
      </c>
      <c r="AJ1" s="5" t="inlineStr">
        <is>
          <t>2018 Q3</t>
        </is>
      </c>
      <c r="AK1" s="5" t="inlineStr">
        <is>
          <t>2018 Q4</t>
        </is>
      </c>
      <c r="AL1" s="5" t="inlineStr">
        <is>
          <t>2019 Q1</t>
        </is>
      </c>
      <c r="AM1" s="5" t="inlineStr">
        <is>
          <t>2019 Q2</t>
        </is>
      </c>
      <c r="AN1" s="5" t="inlineStr">
        <is>
          <t>2019 Q3</t>
        </is>
      </c>
      <c r="AO1" s="5" t="inlineStr">
        <is>
          <t>2019 Q4</t>
        </is>
      </c>
      <c r="AP1" s="5" t="inlineStr">
        <is>
          <t>2020 Q1</t>
        </is>
      </c>
      <c r="AQ1" s="5" t="inlineStr">
        <is>
          <t>2020 Q2</t>
        </is>
      </c>
      <c r="AR1" s="5" t="inlineStr">
        <is>
          <t>2020 Q3</t>
        </is>
      </c>
      <c r="AS1" s="5" t="inlineStr">
        <is>
          <t>2020 Q4</t>
        </is>
      </c>
      <c r="AT1" s="5" t="inlineStr">
        <is>
          <t>2021 Q1</t>
        </is>
      </c>
      <c r="AU1" s="5" t="inlineStr">
        <is>
          <t>2021 Q2</t>
        </is>
      </c>
      <c r="AV1" s="5" t="inlineStr">
        <is>
          <t>2021 Q3</t>
        </is>
      </c>
      <c r="AW1" s="5" t="inlineStr">
        <is>
          <t>2021 Q4</t>
        </is>
      </c>
      <c r="AX1" s="5" t="inlineStr">
        <is>
          <t>2022 Q1</t>
        </is>
      </c>
      <c r="AY1" s="5" t="inlineStr">
        <is>
          <t>2022 Q2</t>
        </is>
      </c>
      <c r="AZ1" s="5" t="inlineStr">
        <is>
          <t>2022 Q3</t>
        </is>
      </c>
      <c r="BA1" s="5" t="inlineStr">
        <is>
          <t>2022 Q4</t>
        </is>
      </c>
      <c r="BB1" s="5" t="inlineStr">
        <is>
          <t>2023 Q1</t>
        </is>
      </c>
      <c r="BC1" s="5" t="inlineStr">
        <is>
          <t>2023 Q2</t>
        </is>
      </c>
      <c r="BD1" s="5" t="inlineStr">
        <is>
          <t>2023 Q3</t>
        </is>
      </c>
      <c r="BE1" s="5" t="inlineStr">
        <is>
          <t>2023 Q4</t>
        </is>
      </c>
      <c r="BF1" s="5" t="inlineStr">
        <is>
          <t>2024 Q1</t>
        </is>
      </c>
      <c r="BG1" s="5" t="inlineStr">
        <is>
          <t>2024 Q2</t>
        </is>
      </c>
      <c r="BH1" s="5" t="inlineStr">
        <is>
          <t>2024 Q3</t>
        </is>
      </c>
      <c r="BI1" s="5" t="inlineStr">
        <is>
          <t>2024 Q4</t>
        </is>
      </c>
      <c r="BJ1" s="5" t="inlineStr">
        <is>
          <t>2025 Q1</t>
        </is>
      </c>
      <c r="BK1" s="5" t="inlineStr">
        <is>
          <t>2025 Q2</t>
        </is>
      </c>
      <c r="BL1" s="5" t="inlineStr">
        <is>
          <t>2025 Q3</t>
        </is>
      </c>
      <c r="BM1" s="5" t="inlineStr">
        <is>
          <t>2025 Q4</t>
        </is>
      </c>
    </row>
    <row r="2" ht="19" customHeight="1">
      <c r="A2" s="6" t="inlineStr">
        <is>
          <t>Brunei</t>
        </is>
      </c>
      <c r="B2" s="8" t="n">
        <v>3.01898390622982</v>
      </c>
      <c r="C2" s="8" t="n">
        <v>3.73420818947302</v>
      </c>
      <c r="D2" s="8" t="n">
        <v>5.16465747117585</v>
      </c>
      <c r="E2" s="8" t="n">
        <v>7.31033318181011</v>
      </c>
      <c r="F2" s="8" t="n">
        <v>10.1712374670677</v>
      </c>
      <c r="G2" s="8" t="n">
        <v>11.2690605442687</v>
      </c>
      <c r="H2" s="8" t="n">
        <v>10.6038035112293</v>
      </c>
      <c r="I2" s="8" t="n">
        <v>8.1754657027421</v>
      </c>
      <c r="J2" s="8" t="n">
        <v>3.98404469042164</v>
      </c>
      <c r="K2" s="8" t="n">
        <v>1.0734913195324</v>
      </c>
      <c r="L2" s="8" t="n">
        <v>-0.556197320477498</v>
      </c>
      <c r="M2" s="8" t="n">
        <v>-0.905022859356739</v>
      </c>
      <c r="N2" s="8" t="n">
        <v>0.0270143541576325</v>
      </c>
      <c r="O2" s="8" t="n">
        <v>0.975530608293105</v>
      </c>
      <c r="P2" s="8" t="n">
        <v>1.94052685154965</v>
      </c>
      <c r="Q2" s="8" t="n">
        <v>2.92200404895638</v>
      </c>
      <c r="R2" s="8" t="n">
        <v>3.91996318198423</v>
      </c>
      <c r="S2" s="8" t="n">
        <v>4.03961203700055</v>
      </c>
      <c r="T2" s="8" t="n">
        <v>3.28095073366048</v>
      </c>
      <c r="U2" s="8" t="n">
        <v>1.64397851330274</v>
      </c>
      <c r="V2" s="8" t="n">
        <v>-0.8713062610476759</v>
      </c>
      <c r="W2" s="8" t="n">
        <v>-2.23264312359659</v>
      </c>
      <c r="X2" s="8" t="n">
        <v>-2.44003343571231</v>
      </c>
      <c r="Y2" s="8" t="n">
        <v>-1.49347740478541</v>
      </c>
      <c r="Z2" s="8" t="n">
        <v>0.607025915760425</v>
      </c>
      <c r="AA2" s="8" t="n">
        <v>1.80812396421194</v>
      </c>
      <c r="AB2" s="8" t="n">
        <v>2.10981794166607</v>
      </c>
      <c r="AC2" s="8" t="n">
        <v>1.51210814977619</v>
      </c>
      <c r="AD2" s="8" t="n">
        <v>0.0149939908232842</v>
      </c>
      <c r="AE2" s="8" t="n">
        <v>-0.76648297213365</v>
      </c>
      <c r="AF2" s="8" t="n">
        <v>-0.832323520618285</v>
      </c>
      <c r="AG2" s="8" t="n">
        <v>-0.182527720484952</v>
      </c>
      <c r="AH2" s="8" t="n">
        <v>1.18290507807134</v>
      </c>
      <c r="AI2" s="8" t="n">
        <v>2.39092177817785</v>
      </c>
      <c r="AJ2" s="8" t="n">
        <v>3.44152358778147</v>
      </c>
      <c r="AK2" s="8" t="n">
        <v>4.33471155751297</v>
      </c>
      <c r="AL2" s="8" t="n">
        <v>5.07048658061605</v>
      </c>
      <c r="AM2" s="8" t="n">
        <v>5.04418603193203</v>
      </c>
      <c r="AN2" s="8" t="n">
        <v>4.25580988524343</v>
      </c>
      <c r="AO2" s="8" t="n">
        <v>2.70535735212878</v>
      </c>
      <c r="AP2" s="8" t="n">
        <v>0.392826882113611</v>
      </c>
      <c r="AQ2" s="8" t="n">
        <v>-0.861184031037965</v>
      </c>
      <c r="AR2" s="8" t="n">
        <v>-1.05667664138249</v>
      </c>
      <c r="AS2" s="8" t="n">
        <v>-0.19365114432572</v>
      </c>
      <c r="AT2" s="8" t="n">
        <v>1.72789332303897</v>
      </c>
      <c r="AU2" s="8" t="n">
        <v>2.88759159695277</v>
      </c>
      <c r="AV2" s="8" t="n">
        <v>3.28544483706631</v>
      </c>
      <c r="AW2" s="8" t="n">
        <v>2.92145344123888</v>
      </c>
      <c r="AX2" s="8" t="n">
        <v>1.7956170454272</v>
      </c>
      <c r="AY2" s="8" t="n">
        <v>1.12763783882181</v>
      </c>
      <c r="AZ2" s="8" t="n">
        <v>0.917515153465986</v>
      </c>
      <c r="BA2" s="8" t="n">
        <v>1.16524877923138</v>
      </c>
      <c r="BB2" s="8" t="n">
        <v>1.87083896375893</v>
      </c>
      <c r="BC2" s="8" t="n">
        <v>2.48047455273909</v>
      </c>
      <c r="BD2" s="8" t="n">
        <v>2.99415615568129</v>
      </c>
      <c r="BE2" s="8" t="n">
        <v>3.41188428631623</v>
      </c>
      <c r="BF2" s="8" t="n">
        <v>3.73365936240846</v>
      </c>
      <c r="BG2" s="8" t="n">
        <v>3.82210539266443</v>
      </c>
      <c r="BH2" s="8" t="n">
        <v>3.67722246546582</v>
      </c>
      <c r="BI2" s="8" t="n">
        <v>3.29901043601712</v>
      </c>
      <c r="BJ2" s="8" t="n">
        <v>2.68746892601114</v>
      </c>
      <c r="BK2" s="8" t="n">
        <v>2.22881332861785</v>
      </c>
      <c r="BL2" s="8" t="n">
        <v>1.92304318516882</v>
      </c>
      <c r="BM2" s="8" t="n">
        <v>1.77015818989957</v>
      </c>
    </row>
    <row r="3" ht="19" customHeight="1">
      <c r="A3" s="6" t="inlineStr">
        <is>
          <t>Cambodia</t>
        </is>
      </c>
      <c r="B3" s="8" t="n">
        <v>23.0990939546681</v>
      </c>
      <c r="C3" s="8" t="n">
        <v>22.3175071941695</v>
      </c>
      <c r="D3" s="8" t="n">
        <v>20.7543328916565</v>
      </c>
      <c r="E3" s="8" t="n">
        <v>18.409569483947</v>
      </c>
      <c r="F3" s="8" t="n">
        <v>15.283214626274</v>
      </c>
      <c r="G3" s="8" t="n">
        <v>13.8826577183028</v>
      </c>
      <c r="H3" s="8" t="n">
        <v>14.2078973592346</v>
      </c>
      <c r="I3" s="8" t="n">
        <v>16.2589338745468</v>
      </c>
      <c r="J3" s="8" t="n">
        <v>20.0357693150771</v>
      </c>
      <c r="K3" s="8" t="n">
        <v>23.0639460697668</v>
      </c>
      <c r="L3" s="8" t="n">
        <v>25.3434671661522</v>
      </c>
      <c r="M3" s="8" t="n">
        <v>26.8743348840543</v>
      </c>
      <c r="N3" s="8" t="n">
        <v>27.6565507543955</v>
      </c>
      <c r="O3" s="8" t="n">
        <v>26.0125384728145</v>
      </c>
      <c r="P3" s="8" t="n">
        <v>21.9422963953873</v>
      </c>
      <c r="Q3" s="8" t="n">
        <v>15.4458204518674</v>
      </c>
      <c r="R3" s="8" t="n">
        <v>6.52310414574023</v>
      </c>
      <c r="S3" s="8" t="n">
        <v>1.55363509216835</v>
      </c>
      <c r="T3" s="8" t="n">
        <v>0.537408321430752</v>
      </c>
      <c r="U3" s="8" t="n">
        <v>3.47442281731236</v>
      </c>
      <c r="V3" s="8" t="n">
        <v>10.3646815169921</v>
      </c>
      <c r="W3" s="8" t="n">
        <v>14.9361002027361</v>
      </c>
      <c r="X3" s="8" t="n">
        <v>17.1886834459539</v>
      </c>
      <c r="Y3" s="8" t="n">
        <v>17.1224334992272</v>
      </c>
      <c r="Z3" s="8" t="n">
        <v>14.7373502961386</v>
      </c>
      <c r="AA3" s="8" t="n">
        <v>13.721554120875</v>
      </c>
      <c r="AB3" s="8" t="n">
        <v>14.0750439575172</v>
      </c>
      <c r="AC3" s="8" t="n">
        <v>15.7978201596259</v>
      </c>
      <c r="AD3" s="8" t="n">
        <v>18.8898844498362</v>
      </c>
      <c r="AE3" s="8" t="n">
        <v>19.7342171053528</v>
      </c>
      <c r="AF3" s="8" t="n">
        <v>18.3308189703234</v>
      </c>
      <c r="AG3" s="8" t="n">
        <v>14.6796886416594</v>
      </c>
      <c r="AH3" s="8" t="n">
        <v>8.780822467967409</v>
      </c>
      <c r="AI3" s="8" t="n">
        <v>5.11804796076195</v>
      </c>
      <c r="AJ3" s="8" t="n">
        <v>3.69136145745903</v>
      </c>
      <c r="AK3" s="8" t="n">
        <v>4.50076153110235</v>
      </c>
      <c r="AL3" s="8" t="n">
        <v>7.54624899120287</v>
      </c>
      <c r="AM3" s="8" t="n">
        <v>10.8793422327632</v>
      </c>
      <c r="AN3" s="8" t="n">
        <v>14.5000445888556</v>
      </c>
      <c r="AO3" s="8" t="n">
        <v>18.4083596802346</v>
      </c>
      <c r="AP3" s="8" t="n">
        <v>22.6042914151632</v>
      </c>
      <c r="AQ3" s="8" t="n">
        <v>24.7931833827945</v>
      </c>
      <c r="AR3" s="8" t="n">
        <v>24.9750377722033</v>
      </c>
      <c r="AS3" s="8" t="n">
        <v>23.1498547652124</v>
      </c>
      <c r="AT3" s="8" t="n">
        <v>19.31763253661</v>
      </c>
      <c r="AU3" s="8" t="n">
        <v>17.7043856434876</v>
      </c>
      <c r="AV3" s="8" t="n">
        <v>18.3101124727731</v>
      </c>
      <c r="AW3" s="8" t="n">
        <v>21.1348136303011</v>
      </c>
      <c r="AX3" s="8" t="n">
        <v>26.1784919404354</v>
      </c>
      <c r="AY3" s="8" t="n">
        <v>29.9612462599193</v>
      </c>
      <c r="AZ3" s="8" t="n">
        <v>32.4830803713547</v>
      </c>
      <c r="BA3" s="8" t="n">
        <v>33.7439967966083</v>
      </c>
      <c r="BB3" s="9" t="inlineStr"/>
      <c r="BC3" s="9" t="inlineStr"/>
      <c r="BD3" s="9" t="inlineStr"/>
      <c r="BE3" s="9" t="inlineStr"/>
      <c r="BF3" s="9" t="inlineStr"/>
      <c r="BG3" s="9" t="inlineStr"/>
      <c r="BH3" s="9" t="inlineStr"/>
      <c r="BI3" s="9" t="inlineStr"/>
      <c r="BJ3" s="9" t="inlineStr"/>
      <c r="BK3" s="9" t="inlineStr"/>
      <c r="BL3" s="9" t="inlineStr"/>
      <c r="BM3" s="9" t="inlineStr"/>
    </row>
    <row r="4" ht="19" customHeight="1">
      <c r="A4" s="6" t="inlineStr">
        <is>
          <t>Indonesia</t>
        </is>
      </c>
      <c r="B4" s="8" t="n">
        <v>15.0998264547927</v>
      </c>
      <c r="C4" s="8" t="n">
        <v>15.2208109086382</v>
      </c>
      <c r="D4" s="8" t="n">
        <v>15.4627799373259</v>
      </c>
      <c r="E4" s="8" t="n">
        <v>15.8257337827891</v>
      </c>
      <c r="F4" s="8" t="n">
        <v>16.3096728080309</v>
      </c>
      <c r="G4" s="8" t="n">
        <v>16.5512927367041</v>
      </c>
      <c r="H4" s="8" t="n">
        <v>16.5505938104128</v>
      </c>
      <c r="I4" s="8" t="n">
        <v>16.3075760284961</v>
      </c>
      <c r="J4" s="8" t="n">
        <v>15.8222391479181</v>
      </c>
      <c r="K4" s="8" t="n">
        <v>15.281206005415</v>
      </c>
      <c r="L4" s="8" t="n">
        <v>14.6844760599686</v>
      </c>
      <c r="M4" s="8" t="n">
        <v>14.0320487147958</v>
      </c>
      <c r="N4" s="8" t="n">
        <v>13.3239233175309</v>
      </c>
      <c r="O4" s="8" t="n">
        <v>12.8229832391727</v>
      </c>
      <c r="P4" s="8" t="n">
        <v>12.5292279788157</v>
      </c>
      <c r="Q4" s="8" t="n">
        <v>12.4426572426805</v>
      </c>
      <c r="R4" s="8" t="n">
        <v>12.5632709442088</v>
      </c>
      <c r="S4" s="8" t="n">
        <v>12.3380159390905</v>
      </c>
      <c r="T4" s="8" t="n">
        <v>11.7668920020567</v>
      </c>
      <c r="U4" s="8" t="n">
        <v>10.8498985619906</v>
      </c>
      <c r="V4" s="8" t="n">
        <v>9.587034701907729</v>
      </c>
      <c r="W4" s="8" t="n">
        <v>8.84587162608261</v>
      </c>
      <c r="X4" s="8" t="n">
        <v>8.626408593327721</v>
      </c>
      <c r="Y4" s="8" t="n">
        <v>8.928645384194279</v>
      </c>
      <c r="Z4" s="8" t="n">
        <v>9.752582300913931</v>
      </c>
      <c r="AA4" s="8" t="n">
        <v>10.1925234938782</v>
      </c>
      <c r="AB4" s="8" t="n">
        <v>10.2484694029952</v>
      </c>
      <c r="AC4" s="8" t="n">
        <v>9.92042008426222</v>
      </c>
      <c r="AD4" s="8" t="n">
        <v>9.20837520957148</v>
      </c>
      <c r="AE4" s="8" t="n">
        <v>8.55041873113203</v>
      </c>
      <c r="AF4" s="8" t="n">
        <v>7.94654999100543</v>
      </c>
      <c r="AG4" s="8" t="n">
        <v>7.39676838530369</v>
      </c>
      <c r="AH4" s="8" t="n">
        <v>6.90107336424564</v>
      </c>
      <c r="AI4" s="8" t="n">
        <v>6.45848187560665</v>
      </c>
      <c r="AJ4" s="8" t="n">
        <v>6.06899347678964</v>
      </c>
      <c r="AK4" s="8" t="n">
        <v>5.73260777830029</v>
      </c>
      <c r="AL4" s="8" t="n">
        <v>5.44932444377251</v>
      </c>
      <c r="AM4" s="8" t="n">
        <v>5.77244306276484</v>
      </c>
      <c r="AN4" s="8" t="n">
        <v>6.70196395842294</v>
      </c>
      <c r="AO4" s="8" t="n">
        <v>8.23788806023297</v>
      </c>
      <c r="AP4" s="8" t="n">
        <v>10.3802169041525</v>
      </c>
      <c r="AQ4" s="8" t="n">
        <v>12.0985252121044</v>
      </c>
      <c r="AR4" s="8" t="n">
        <v>13.3928147023938</v>
      </c>
      <c r="AS4" s="8" t="n">
        <v>14.2630866693458</v>
      </c>
      <c r="AT4" s="8" t="n">
        <v>14.7093419831961</v>
      </c>
      <c r="AU4" s="8" t="n">
        <v>14.590681617915</v>
      </c>
      <c r="AV4" s="8" t="n">
        <v>13.9071054548686</v>
      </c>
      <c r="AW4" s="8" t="n">
        <v>12.6586128104341</v>
      </c>
      <c r="AX4" s="8" t="n">
        <v>10.8452024361399</v>
      </c>
      <c r="AY4" s="8" t="n">
        <v>9.123723185222129</v>
      </c>
      <c r="AZ4" s="8" t="n">
        <v>7.49417333617489</v>
      </c>
      <c r="BA4" s="8" t="n">
        <v>5.95655125945665</v>
      </c>
      <c r="BB4" s="8" t="n">
        <v>4.51085541744099</v>
      </c>
      <c r="BC4" s="8" t="n">
        <v>3.52836637001981</v>
      </c>
      <c r="BD4" s="8" t="n">
        <v>3.00908313467095</v>
      </c>
      <c r="BE4" s="8" t="n">
        <v>2.95300519214014</v>
      </c>
      <c r="BF4" s="8" t="n">
        <v>3.36013248633251</v>
      </c>
      <c r="BG4" s="8" t="n">
        <v>4.08273159715583</v>
      </c>
      <c r="BH4" s="8" t="n">
        <v>5.12080324722909</v>
      </c>
      <c r="BI4" s="8" t="n">
        <v>6.47434847462747</v>
      </c>
      <c r="BJ4" s="8" t="n">
        <v>8.14336863289212</v>
      </c>
      <c r="BK4" s="8" t="n">
        <v>9.395132291197971</v>
      </c>
      <c r="BL4" s="8" t="n">
        <v>10.2296407012974</v>
      </c>
      <c r="BM4" s="8" t="n">
        <v>10.6468946977447</v>
      </c>
    </row>
    <row r="5" ht="19" customHeight="1">
      <c r="A5" s="6" t="inlineStr">
        <is>
          <t>Laos</t>
        </is>
      </c>
      <c r="B5" s="8" t="n">
        <v>39.128963871411</v>
      </c>
      <c r="C5" s="8" t="n">
        <v>39.128963871411</v>
      </c>
      <c r="D5" s="8" t="n">
        <v>39.128963871411</v>
      </c>
      <c r="E5" s="8" t="n">
        <v>39.128963871411</v>
      </c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9" t="inlineStr"/>
      <c r="U5" s="9" t="inlineStr"/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 t="inlineStr"/>
      <c r="AE5" s="9" t="inlineStr"/>
      <c r="AF5" s="9" t="inlineStr"/>
      <c r="AG5" s="9" t="inlineStr"/>
      <c r="AH5" s="9" t="inlineStr"/>
      <c r="AI5" s="9" t="inlineStr"/>
      <c r="AJ5" s="9" t="inlineStr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  <c r="AY5" s="9" t="inlineStr"/>
      <c r="AZ5" s="9" t="inlineStr"/>
      <c r="BA5" s="9" t="inlineStr"/>
      <c r="BB5" s="9" t="inlineStr"/>
      <c r="BC5" s="9" t="inlineStr"/>
      <c r="BD5" s="9" t="inlineStr"/>
      <c r="BE5" s="9" t="inlineStr"/>
      <c r="BF5" s="9" t="inlineStr"/>
      <c r="BG5" s="9" t="inlineStr"/>
      <c r="BH5" s="9" t="inlineStr"/>
      <c r="BI5" s="9" t="inlineStr"/>
      <c r="BJ5" s="9" t="inlineStr"/>
      <c r="BK5" s="9" t="inlineStr"/>
      <c r="BL5" s="9" t="inlineStr"/>
      <c r="BM5" s="9" t="inlineStr"/>
    </row>
    <row r="6" ht="19" customHeight="1">
      <c r="A6" s="6" t="inlineStr">
        <is>
          <t>Malaysia</t>
        </is>
      </c>
      <c r="B6" s="8" t="n">
        <v>5.28235609685161</v>
      </c>
      <c r="C6" s="8" t="n">
        <v>6.10850758274527</v>
      </c>
      <c r="D6" s="8" t="n">
        <v>7.76081138069063</v>
      </c>
      <c r="E6" s="8" t="n">
        <v>10.2392691429908</v>
      </c>
      <c r="F6" s="8" t="n">
        <v>13.543883348114</v>
      </c>
      <c r="G6" s="8" t="n">
        <v>15.2993502824358</v>
      </c>
      <c r="H6" s="8" t="n">
        <v>15.5056717014273</v>
      </c>
      <c r="I6" s="8" t="n">
        <v>14.1628478114335</v>
      </c>
      <c r="J6" s="8" t="n">
        <v>11.2708772696359</v>
      </c>
      <c r="K6" s="8" t="n">
        <v>9.144147023482679</v>
      </c>
      <c r="L6" s="8" t="n">
        <v>7.78265494626786</v>
      </c>
      <c r="M6" s="8" t="n">
        <v>7.18639967646048</v>
      </c>
      <c r="N6" s="8" t="n">
        <v>7.35538061784867</v>
      </c>
      <c r="O6" s="8" t="n">
        <v>7.43978098643436</v>
      </c>
      <c r="P6" s="8" t="n">
        <v>7.43960086667152</v>
      </c>
      <c r="Q6" s="8" t="n">
        <v>7.35484025834089</v>
      </c>
      <c r="R6" s="8" t="n">
        <v>7.18549907669004</v>
      </c>
      <c r="S6" s="8" t="n">
        <v>6.76518244307459</v>
      </c>
      <c r="T6" s="8" t="n">
        <v>6.09388993717384</v>
      </c>
      <c r="U6" s="8" t="n">
        <v>5.17162088771972</v>
      </c>
      <c r="V6" s="8" t="n">
        <v>3.99837437237156</v>
      </c>
      <c r="W6" s="8" t="n">
        <v>3.14714046368297</v>
      </c>
      <c r="X6" s="8" t="n">
        <v>2.61791831033497</v>
      </c>
      <c r="Y6" s="8" t="n">
        <v>2.41070738311052</v>
      </c>
      <c r="Z6" s="8" t="n">
        <v>2.52550747483262</v>
      </c>
      <c r="AA6" s="8" t="n">
        <v>2.68167788041975</v>
      </c>
      <c r="AB6" s="8" t="n">
        <v>2.87921875601842</v>
      </c>
      <c r="AC6" s="8" t="n">
        <v>3.11813029921527</v>
      </c>
      <c r="AD6" s="8" t="n">
        <v>3.39841274886436</v>
      </c>
      <c r="AE6" s="8" t="n">
        <v>4.00901592823968</v>
      </c>
      <c r="AF6" s="8" t="n">
        <v>4.94994044791227</v>
      </c>
      <c r="AG6" s="8" t="n">
        <v>6.22118724879111</v>
      </c>
      <c r="AH6" s="8" t="n">
        <v>7.82275760213973</v>
      </c>
      <c r="AI6" s="8" t="n">
        <v>8.40949207876595</v>
      </c>
      <c r="AJ6" s="8" t="n">
        <v>7.9813912653337</v>
      </c>
      <c r="AK6" s="8" t="n">
        <v>6.53845473379567</v>
      </c>
      <c r="AL6" s="8" t="n">
        <v>4.0806810411968</v>
      </c>
      <c r="AM6" s="8" t="n">
        <v>2.53518795772236</v>
      </c>
      <c r="AN6" s="8" t="n">
        <v>1.90197393788587</v>
      </c>
      <c r="AO6" s="8" t="n">
        <v>2.18103834847199</v>
      </c>
      <c r="AP6" s="8" t="n">
        <v>3.37238146853838</v>
      </c>
      <c r="AQ6" s="8" t="n">
        <v>4.33726475171064</v>
      </c>
      <c r="AR6" s="8" t="n">
        <v>5.07568916278353</v>
      </c>
      <c r="AS6" s="8" t="n">
        <v>5.58765544034321</v>
      </c>
      <c r="AT6" s="8" t="n">
        <v>5.87316409622642</v>
      </c>
      <c r="AU6" s="8" t="n">
        <v>5.86171559308929</v>
      </c>
      <c r="AV6" s="8" t="n">
        <v>5.55330991951024</v>
      </c>
      <c r="AW6" s="8" t="n">
        <v>4.94794676703945</v>
      </c>
      <c r="AX6" s="8" t="n">
        <v>4.04562553034242</v>
      </c>
      <c r="AY6" s="8" t="n">
        <v>3.66525292758574</v>
      </c>
      <c r="AZ6" s="8" t="n">
        <v>3.80682857847977</v>
      </c>
      <c r="BA6" s="8" t="n">
        <v>4.47035262455805</v>
      </c>
      <c r="BB6" s="8" t="n">
        <v>5.65582572935345</v>
      </c>
      <c r="BC6" s="8" t="n">
        <v>6.20016485971577</v>
      </c>
      <c r="BD6" s="8" t="n">
        <v>6.10337055997564</v>
      </c>
      <c r="BE6" s="8" t="n">
        <v>5.36544273336041</v>
      </c>
      <c r="BF6" s="8" t="n">
        <v>3.986380641945</v>
      </c>
      <c r="BG6" s="8" t="n">
        <v>3.15069407141987</v>
      </c>
      <c r="BH6" s="8" t="n">
        <v>2.85838218612209</v>
      </c>
      <c r="BI6" s="8" t="n">
        <v>3.10944469376372</v>
      </c>
      <c r="BJ6" s="8" t="n">
        <v>3.90388184531966</v>
      </c>
      <c r="BK6" s="8" t="n">
        <v>4.49970901389798</v>
      </c>
      <c r="BL6" s="8" t="n">
        <v>4.89692679523408</v>
      </c>
      <c r="BM6" s="8" t="n">
        <v>5.09553558660853</v>
      </c>
    </row>
    <row r="7" ht="19" customHeight="1">
      <c r="A7" s="6" t="inlineStr">
        <is>
          <t>Myanmar</t>
        </is>
      </c>
      <c r="B7" s="8" t="n">
        <v>45.4435594495843</v>
      </c>
      <c r="C7" s="8" t="n">
        <v>44.266027102569</v>
      </c>
      <c r="D7" s="8" t="n">
        <v>41.910961231004</v>
      </c>
      <c r="E7" s="8" t="n">
        <v>38.3783594797089</v>
      </c>
      <c r="F7" s="8" t="n">
        <v>33.6682183163152</v>
      </c>
      <c r="G7" s="8" t="n">
        <v>30.5574119916602</v>
      </c>
      <c r="H7" s="8" t="n">
        <v>29.0459373950388</v>
      </c>
      <c r="I7" s="8" t="n">
        <v>29.1337930147978</v>
      </c>
      <c r="J7" s="8" t="n">
        <v>30.8209789389848</v>
      </c>
      <c r="K7" s="8" t="n">
        <v>32.1910678522354</v>
      </c>
      <c r="L7" s="8" t="n">
        <v>33.2440611248187</v>
      </c>
      <c r="M7" s="8" t="n">
        <v>33.9799598094624</v>
      </c>
      <c r="N7" s="8" t="n">
        <v>34.3987646423335</v>
      </c>
      <c r="O7" s="8" t="n">
        <v>33.3768404139153</v>
      </c>
      <c r="P7" s="8" t="n">
        <v>30.9141861022378</v>
      </c>
      <c r="Q7" s="8" t="n">
        <v>27.0107992448688</v>
      </c>
      <c r="R7" s="8" t="n">
        <v>21.6666759382661</v>
      </c>
      <c r="S7" s="8" t="n">
        <v>19.2451131501825</v>
      </c>
      <c r="T7" s="8" t="n">
        <v>19.7461084591895</v>
      </c>
      <c r="U7" s="8" t="n">
        <v>23.169662366322</v>
      </c>
      <c r="V7" s="8" t="n">
        <v>29.5157782950282</v>
      </c>
      <c r="W7" s="8" t="n">
        <v>32.5170791383287</v>
      </c>
      <c r="X7" s="8" t="n">
        <v>32.1735678974986</v>
      </c>
      <c r="Y7" s="8" t="n">
        <v>28.4852442289553</v>
      </c>
      <c r="Z7" s="8" t="n">
        <v>21.4521044444896</v>
      </c>
      <c r="AA7" s="8" t="n">
        <v>17.0375581885046</v>
      </c>
      <c r="AB7" s="8" t="n">
        <v>15.2416010464976</v>
      </c>
      <c r="AC7" s="8" t="n">
        <v>16.0642312223305</v>
      </c>
      <c r="AD7" s="8" t="n">
        <v>19.5054495389001</v>
      </c>
      <c r="AE7" s="8" t="n">
        <v>21.2967252584684</v>
      </c>
      <c r="AF7" s="8" t="n">
        <v>21.4380601725076</v>
      </c>
      <c r="AG7" s="8" t="n">
        <v>19.9294544222562</v>
      </c>
      <c r="AH7" s="8" t="n">
        <v>16.77090649898</v>
      </c>
      <c r="AI7" s="8" t="n">
        <v>14.6272514072926</v>
      </c>
      <c r="AJ7" s="8" t="n">
        <v>13.4984870033038</v>
      </c>
      <c r="AK7" s="8" t="n">
        <v>13.3846121583141</v>
      </c>
      <c r="AL7" s="8" t="n">
        <v>14.2856267585535</v>
      </c>
      <c r="AM7" s="8" t="n">
        <v>15.1495519000372</v>
      </c>
      <c r="AN7" s="8" t="n">
        <v>15.9763884470235</v>
      </c>
      <c r="AO7" s="8" t="n">
        <v>16.7661372262562</v>
      </c>
      <c r="AP7" s="8" t="n">
        <v>17.5187990275012</v>
      </c>
      <c r="AQ7" s="8" t="n">
        <v>18.0832947199164</v>
      </c>
      <c r="AR7" s="8" t="n">
        <v>18.4596248679033</v>
      </c>
      <c r="AS7" s="8" t="n">
        <v>18.6477898477502</v>
      </c>
      <c r="AT7" s="9" t="inlineStr"/>
      <c r="AU7" s="9" t="inlineStr"/>
      <c r="AV7" s="9" t="inlineStr"/>
      <c r="AW7" s="9" t="inlineStr"/>
      <c r="AX7" s="9" t="inlineStr"/>
      <c r="AY7" s="9" t="inlineStr"/>
      <c r="AZ7" s="9" t="inlineStr"/>
      <c r="BA7" s="9" t="inlineStr"/>
      <c r="BB7" s="9" t="inlineStr"/>
      <c r="BC7" s="9" t="inlineStr"/>
      <c r="BD7" s="9" t="inlineStr"/>
      <c r="BE7" s="9" t="inlineStr"/>
      <c r="BF7" s="9" t="inlineStr"/>
      <c r="BG7" s="9" t="inlineStr"/>
      <c r="BH7" s="9" t="inlineStr"/>
      <c r="BI7" s="9" t="inlineStr"/>
      <c r="BJ7" s="9" t="inlineStr"/>
      <c r="BK7" s="9" t="inlineStr"/>
      <c r="BL7" s="9" t="inlineStr"/>
      <c r="BM7" s="9" t="inlineStr"/>
    </row>
    <row r="8" ht="19" customHeight="1">
      <c r="A8" s="7" t="inlineStr">
        <is>
          <t>Philippines</t>
        </is>
      </c>
      <c r="B8" s="8" t="n">
        <v>11.9740881021241</v>
      </c>
      <c r="C8" s="8" t="n">
        <v>11.5432862280476</v>
      </c>
      <c r="D8" s="8" t="n">
        <v>10.6816820489511</v>
      </c>
      <c r="E8" s="8" t="n">
        <v>9.38927470338521</v>
      </c>
      <c r="F8" s="8" t="n">
        <v>7.66606289883325</v>
      </c>
      <c r="G8" s="8" t="n">
        <v>6.03305373017807</v>
      </c>
      <c r="H8" s="8" t="n">
        <v>4.49024556412905</v>
      </c>
      <c r="I8" s="8" t="n">
        <v>3.03763685811319</v>
      </c>
      <c r="J8" s="8" t="n">
        <v>1.67522615933651</v>
      </c>
      <c r="K8" s="8" t="n">
        <v>3.25128882703777</v>
      </c>
      <c r="L8" s="8" t="n">
        <v>7.7658264370602</v>
      </c>
      <c r="M8" s="8" t="n">
        <v>15.2188435038675</v>
      </c>
      <c r="N8" s="8" t="n">
        <v>25.6103474807105</v>
      </c>
      <c r="O8" s="8" t="n">
        <v>31.2546087522171</v>
      </c>
      <c r="P8" s="8" t="n">
        <v>32.1516329624815</v>
      </c>
      <c r="Q8" s="8" t="n">
        <v>28.3014210086835</v>
      </c>
      <c r="R8" s="8" t="n">
        <v>19.7039690406712</v>
      </c>
      <c r="S8" s="8" t="n">
        <v>13.3584037785519</v>
      </c>
      <c r="T8" s="8" t="n">
        <v>9.26471887694813</v>
      </c>
      <c r="U8" s="8" t="n">
        <v>7.42291024209838</v>
      </c>
      <c r="V8" s="8" t="n">
        <v>7.83297603206431</v>
      </c>
      <c r="W8" s="8" t="n">
        <v>8.542141393010031</v>
      </c>
      <c r="X8" s="8" t="n">
        <v>9.55040703390908</v>
      </c>
      <c r="Y8" s="8" t="n">
        <v>10.8577739629605</v>
      </c>
      <c r="Z8" s="8" t="n">
        <v>12.4642434874549</v>
      </c>
      <c r="AA8" s="8" t="n">
        <v>13.4516426840826</v>
      </c>
      <c r="AB8" s="8" t="n">
        <v>13.8199725400212</v>
      </c>
      <c r="AC8" s="8" t="n">
        <v>13.569233423506</v>
      </c>
      <c r="AD8" s="8" t="n">
        <v>12.6994250839868</v>
      </c>
      <c r="AE8" s="8" t="n">
        <v>11.8409821218418</v>
      </c>
      <c r="AF8" s="8" t="n">
        <v>10.9939036785922</v>
      </c>
      <c r="AG8" s="8" t="n">
        <v>10.158188907206</v>
      </c>
      <c r="AH8" s="8" t="n">
        <v>9.33383697201984</v>
      </c>
      <c r="AI8" s="8" t="n">
        <v>8.87021990274885</v>
      </c>
      <c r="AJ8" s="8" t="n">
        <v>8.76733723592757</v>
      </c>
      <c r="AK8" s="8" t="n">
        <v>9.02518886846827</v>
      </c>
      <c r="AL8" s="8" t="n">
        <v>9.643775058428499</v>
      </c>
      <c r="AM8" s="8" t="n">
        <v>9.97126803198849</v>
      </c>
      <c r="AN8" s="8" t="n">
        <v>10.0076681167767</v>
      </c>
      <c r="AO8" s="8" t="n">
        <v>9.75297534904505</v>
      </c>
      <c r="AP8" s="8" t="n">
        <v>9.20718947413255</v>
      </c>
      <c r="AQ8" s="8" t="n">
        <v>8.76909236633</v>
      </c>
      <c r="AR8" s="8" t="n">
        <v>8.43868358755595</v>
      </c>
      <c r="AS8" s="8" t="n">
        <v>8.215962807245401</v>
      </c>
      <c r="AT8" s="8" t="n">
        <v>8.10092980283471</v>
      </c>
      <c r="AU8" s="8" t="n">
        <v>8.006652098537501</v>
      </c>
      <c r="AV8" s="8" t="n">
        <v>7.93312960011009</v>
      </c>
      <c r="AW8" s="8" t="n">
        <v>7.8803622342374</v>
      </c>
      <c r="AX8" s="8" t="n">
        <v>7.84834994775523</v>
      </c>
      <c r="AY8" s="8" t="n">
        <v>7.82434076098381</v>
      </c>
      <c r="AZ8" s="8" t="n">
        <v>7.80833464987448</v>
      </c>
      <c r="BA8" s="8" t="n">
        <v>7.80033159829504</v>
      </c>
      <c r="BB8" s="9" t="inlineStr"/>
      <c r="BC8" s="9" t="inlineStr"/>
      <c r="BD8" s="9" t="inlineStr"/>
      <c r="BE8" s="9" t="inlineStr"/>
      <c r="BF8" s="9" t="inlineStr"/>
      <c r="BG8" s="9" t="inlineStr"/>
      <c r="BH8" s="9" t="inlineStr"/>
      <c r="BI8" s="9" t="inlineStr"/>
      <c r="BJ8" s="9" t="inlineStr"/>
      <c r="BK8" s="9" t="inlineStr"/>
      <c r="BL8" s="9" t="inlineStr"/>
      <c r="BM8" s="9" t="inlineStr"/>
    </row>
    <row r="9" ht="19" customHeight="1">
      <c r="A9" s="6" t="inlineStr">
        <is>
          <t>Singapore</t>
        </is>
      </c>
      <c r="B9" s="8" t="n">
        <v>8.134683296277061</v>
      </c>
      <c r="C9" s="8" t="n">
        <v>8.316938082074801</v>
      </c>
      <c r="D9" s="8" t="n">
        <v>8.681447835913909</v>
      </c>
      <c r="E9" s="8" t="n">
        <v>9.228212922324889</v>
      </c>
      <c r="F9" s="8" t="n">
        <v>9.95723388802508</v>
      </c>
      <c r="G9" s="8" t="n">
        <v>10.2612003669535</v>
      </c>
      <c r="H9" s="8" t="n">
        <v>10.1401126630628</v>
      </c>
      <c r="I9" s="8" t="n">
        <v>9.593970655303041</v>
      </c>
      <c r="J9" s="8" t="n">
        <v>8.622773797504509</v>
      </c>
      <c r="K9" s="8" t="n">
        <v>7.6753089614702</v>
      </c>
      <c r="L9" s="8" t="n">
        <v>6.75157519970182</v>
      </c>
      <c r="M9" s="8" t="n">
        <v>5.85157158854532</v>
      </c>
      <c r="N9" s="8" t="n">
        <v>4.9752972278821</v>
      </c>
      <c r="O9" s="8" t="n">
        <v>4.36093158324164</v>
      </c>
      <c r="P9" s="8" t="n">
        <v>4.00847404023723</v>
      </c>
      <c r="Q9" s="8" t="n">
        <v>3.91792424635386</v>
      </c>
      <c r="R9" s="8" t="n">
        <v>4.08928211110333</v>
      </c>
      <c r="S9" s="8" t="n">
        <v>3.85480169898665</v>
      </c>
      <c r="T9" s="8" t="n">
        <v>3.21448277555395</v>
      </c>
      <c r="U9" s="8" t="n">
        <v>2.16832470037293</v>
      </c>
      <c r="V9" s="8" t="n">
        <v>0.716326427402953</v>
      </c>
      <c r="W9" s="8" t="n">
        <v>0.458592894437492</v>
      </c>
      <c r="X9" s="8" t="n">
        <v>1.39512384379276</v>
      </c>
      <c r="Y9" s="8" t="n">
        <v>3.5259202119911</v>
      </c>
      <c r="Z9" s="8" t="n">
        <v>6.85098412977097</v>
      </c>
      <c r="AA9" s="8" t="n">
        <v>8.65818225211981</v>
      </c>
      <c r="AB9" s="8" t="n">
        <v>8.94751638623562</v>
      </c>
      <c r="AC9" s="8" t="n">
        <v>7.71898682147112</v>
      </c>
      <c r="AD9" s="8" t="n">
        <v>4.97259232923329</v>
      </c>
      <c r="AE9" s="8" t="n">
        <v>3.16442085011264</v>
      </c>
      <c r="AF9" s="8" t="n">
        <v>2.29447057587654</v>
      </c>
      <c r="AG9" s="8" t="n">
        <v>2.3627406365907</v>
      </c>
      <c r="AH9" s="8" t="n">
        <v>3.36923110059288</v>
      </c>
      <c r="AI9" s="8" t="n">
        <v>3.98488612521664</v>
      </c>
      <c r="AJ9" s="8" t="n">
        <v>4.20970632627731</v>
      </c>
      <c r="AK9" s="8" t="n">
        <v>4.0436919284834</v>
      </c>
      <c r="AL9" s="8" t="n">
        <v>3.48684276581674</v>
      </c>
      <c r="AM9" s="8" t="n">
        <v>3.84990596300593</v>
      </c>
      <c r="AN9" s="8" t="n">
        <v>5.13288188298259</v>
      </c>
      <c r="AO9" s="8" t="n">
        <v>7.33577180879458</v>
      </c>
      <c r="AP9" s="8" t="n">
        <v>10.4585779432958</v>
      </c>
      <c r="AQ9" s="8" t="n">
        <v>12.8006798116737</v>
      </c>
      <c r="AR9" s="8" t="n">
        <v>14.3620797561054</v>
      </c>
      <c r="AS9" s="8" t="n">
        <v>15.1427793380136</v>
      </c>
      <c r="AT9" s="9" t="inlineStr"/>
      <c r="AU9" s="9" t="inlineStr"/>
      <c r="AV9" s="9" t="inlineStr"/>
      <c r="AW9" s="9" t="inlineStr"/>
      <c r="AX9" s="9" t="inlineStr"/>
      <c r="AY9" s="9" t="inlineStr"/>
      <c r="AZ9" s="9" t="inlineStr"/>
      <c r="BA9" s="9" t="inlineStr"/>
      <c r="BB9" s="9" t="inlineStr"/>
      <c r="BC9" s="9" t="inlineStr"/>
      <c r="BD9" s="9" t="inlineStr"/>
      <c r="BE9" s="9" t="inlineStr"/>
      <c r="BF9" s="9" t="inlineStr"/>
      <c r="BG9" s="9" t="inlineStr"/>
      <c r="BH9" s="9" t="inlineStr"/>
      <c r="BI9" s="9" t="inlineStr"/>
      <c r="BJ9" s="9" t="inlineStr"/>
      <c r="BK9" s="9" t="inlineStr"/>
      <c r="BL9" s="9" t="inlineStr"/>
      <c r="BM9" s="9" t="inlineStr"/>
    </row>
    <row r="10" ht="19" customHeight="1">
      <c r="A10" s="6" t="inlineStr">
        <is>
          <t>Thailand</t>
        </is>
      </c>
      <c r="B10" s="8" t="n">
        <v>9.69780352899895</v>
      </c>
      <c r="C10" s="8" t="n">
        <v>10.1958438567985</v>
      </c>
      <c r="D10" s="8" t="n">
        <v>11.1919250104253</v>
      </c>
      <c r="E10" s="8" t="n">
        <v>12.6860479859855</v>
      </c>
      <c r="F10" s="8" t="n">
        <v>14.6782142775673</v>
      </c>
      <c r="G10" s="8" t="n">
        <v>15.6521819043358</v>
      </c>
      <c r="H10" s="8" t="n">
        <v>15.6079518402495</v>
      </c>
      <c r="I10" s="8" t="n">
        <v>14.5455240410968</v>
      </c>
      <c r="J10" s="8" t="n">
        <v>12.464897444435</v>
      </c>
      <c r="K10" s="8" t="n">
        <v>10.7968677483501</v>
      </c>
      <c r="L10" s="8" t="n">
        <v>9.541433284816209</v>
      </c>
      <c r="M10" s="8" t="n">
        <v>8.698592798380449</v>
      </c>
      <c r="N10" s="8" t="n">
        <v>8.26834544620862</v>
      </c>
      <c r="O10" s="8" t="n">
        <v>7.71724874041759</v>
      </c>
      <c r="P10" s="8" t="n">
        <v>7.04530212989888</v>
      </c>
      <c r="Q10" s="8" t="n">
        <v>6.2525049427074</v>
      </c>
      <c r="R10" s="8" t="n">
        <v>5.33885638602955</v>
      </c>
      <c r="S10" s="8" t="n">
        <v>4.69699452929783</v>
      </c>
      <c r="T10" s="8" t="n">
        <v>4.32691873058616</v>
      </c>
      <c r="U10" s="8" t="n">
        <v>4.22862861989407</v>
      </c>
      <c r="V10" s="8" t="n">
        <v>4.40212409885864</v>
      </c>
      <c r="W10" s="8" t="n">
        <v>4.48492721321736</v>
      </c>
      <c r="X10" s="8" t="n">
        <v>4.47703804572955</v>
      </c>
      <c r="Y10" s="8" t="n">
        <v>4.37845658851307</v>
      </c>
      <c r="Z10" s="8" t="n">
        <v>4.18918274298891</v>
      </c>
      <c r="AA10" s="8" t="n">
        <v>4.12651472747467</v>
      </c>
      <c r="AB10" s="8" t="n">
        <v>4.19045247928746</v>
      </c>
      <c r="AC10" s="8" t="n">
        <v>4.38099606240225</v>
      </c>
      <c r="AD10" s="8" t="n">
        <v>4.69814566732828</v>
      </c>
      <c r="AE10" s="8" t="n">
        <v>4.9508555222313</v>
      </c>
      <c r="AF10" s="8" t="n">
        <v>5.13912587979719</v>
      </c>
      <c r="AG10" s="8" t="n">
        <v>5.26295692832535</v>
      </c>
      <c r="AH10" s="8" t="n">
        <v>5.32234879164889</v>
      </c>
      <c r="AI10" s="8" t="n">
        <v>5.08418522454813</v>
      </c>
      <c r="AJ10" s="8" t="n">
        <v>4.54846598887601</v>
      </c>
      <c r="AK10" s="8" t="n">
        <v>3.71519054892248</v>
      </c>
      <c r="AL10" s="8" t="n">
        <v>2.58435807138634</v>
      </c>
      <c r="AM10" s="8" t="n">
        <v>2.55304055160154</v>
      </c>
      <c r="AN10" s="8" t="n">
        <v>3.62123795824499</v>
      </c>
      <c r="AO10" s="8" t="n">
        <v>5.78895135953422</v>
      </c>
      <c r="AP10" s="8" t="n">
        <v>9.056182923130891</v>
      </c>
      <c r="AQ10" s="8" t="n">
        <v>10.8045681124474</v>
      </c>
      <c r="AR10" s="8" t="n">
        <v>11.0341086757699</v>
      </c>
      <c r="AS10" s="8" t="n">
        <v>9.74480484273284</v>
      </c>
      <c r="AT10" s="8" t="n">
        <v>6.936655323994</v>
      </c>
      <c r="AU10" s="8" t="n">
        <v>4.96077802200248</v>
      </c>
      <c r="AV10" s="8" t="n">
        <v>3.81717096091404</v>
      </c>
      <c r="AW10" s="8" t="n">
        <v>3.5058329970793</v>
      </c>
      <c r="AX10" s="8" t="n">
        <v>4.02676381918634</v>
      </c>
      <c r="AY10" s="8" t="n">
        <v>4.17473934525047</v>
      </c>
      <c r="AZ10" s="8" t="n">
        <v>3.94975972327847</v>
      </c>
      <c r="BA10" s="8" t="n">
        <v>3.35182472832199</v>
      </c>
      <c r="BB10" s="8" t="n">
        <v>2.38093376242368</v>
      </c>
      <c r="BC10" s="8" t="n">
        <v>1.82039647558257</v>
      </c>
      <c r="BD10" s="8" t="n">
        <v>1.67021230731114</v>
      </c>
      <c r="BE10" s="8" t="n">
        <v>1.93038110741529</v>
      </c>
      <c r="BF10" s="8" t="n">
        <v>2.60090313604888</v>
      </c>
      <c r="BG10" s="8" t="n">
        <v>3.17729980768973</v>
      </c>
      <c r="BH10" s="8" t="n">
        <v>3.65957169871016</v>
      </c>
      <c r="BI10" s="8" t="n">
        <v>4.04771929142163</v>
      </c>
      <c r="BJ10" s="8" t="n">
        <v>4.34174297393989</v>
      </c>
      <c r="BK10" s="8" t="n">
        <v>4.56226047857947</v>
      </c>
      <c r="BL10" s="8" t="n">
        <v>4.70927202580223</v>
      </c>
      <c r="BM10" s="8" t="n">
        <v>4.78277776265483</v>
      </c>
    </row>
    <row r="11" ht="19" customHeight="1">
      <c r="A11" s="6" t="inlineStr">
        <is>
          <t>Vietnam</t>
        </is>
      </c>
      <c r="B11" s="8" t="n">
        <v>34.7582998228526</v>
      </c>
      <c r="C11" s="8" t="n">
        <v>32.7408238407176</v>
      </c>
      <c r="D11" s="8" t="n">
        <v>28.7058698589108</v>
      </c>
      <c r="E11" s="8" t="n">
        <v>22.6534338424805</v>
      </c>
      <c r="F11" s="8" t="n">
        <v>14.5835097390397</v>
      </c>
      <c r="G11" s="8" t="n">
        <v>10.2991163817263</v>
      </c>
      <c r="H11" s="8" t="n">
        <v>9.800249486240951</v>
      </c>
      <c r="I11" s="8" t="n">
        <v>13.0869085536845</v>
      </c>
      <c r="J11" s="8" t="n">
        <v>20.1590968706612</v>
      </c>
      <c r="K11" s="8" t="n">
        <v>24.7422304862955</v>
      </c>
      <c r="L11" s="8" t="n">
        <v>26.836313983763</v>
      </c>
      <c r="M11" s="8" t="n">
        <v>26.4413494571709</v>
      </c>
      <c r="N11" s="8" t="n">
        <v>23.557336511545</v>
      </c>
      <c r="O11" s="8" t="n">
        <v>21.5405857120606</v>
      </c>
      <c r="P11" s="8" t="n">
        <v>20.3910950421512</v>
      </c>
      <c r="Q11" s="8" t="n">
        <v>20.1088633522599</v>
      </c>
      <c r="R11" s="8" t="n">
        <v>20.6938903600443</v>
      </c>
      <c r="S11" s="8" t="n">
        <v>20.5463525603942</v>
      </c>
      <c r="T11" s="8" t="n">
        <v>19.66624980556</v>
      </c>
      <c r="U11" s="8" t="n">
        <v>18.0535812155297</v>
      </c>
      <c r="V11" s="8" t="n">
        <v>15.708345177629</v>
      </c>
      <c r="W11" s="8" t="n">
        <v>14.4502891792296</v>
      </c>
      <c r="X11" s="8" t="n">
        <v>14.2794119623116</v>
      </c>
      <c r="Y11" s="8" t="n">
        <v>15.1957133559261</v>
      </c>
      <c r="Z11" s="8" t="n">
        <v>17.1991942764666</v>
      </c>
      <c r="AA11" s="8" t="n">
        <v>18.2730512323375</v>
      </c>
      <c r="AB11" s="8" t="n">
        <v>18.4172852972656</v>
      </c>
      <c r="AC11" s="8" t="n">
        <v>17.631896615859</v>
      </c>
      <c r="AD11" s="8" t="n">
        <v>15.9168844023337</v>
      </c>
      <c r="AE11" s="8" t="n">
        <v>14.5666737192353</v>
      </c>
      <c r="AF11" s="8" t="n">
        <v>13.5812632162491</v>
      </c>
      <c r="AG11" s="8" t="n">
        <v>12.9606519081272</v>
      </c>
      <c r="AH11" s="8" t="n">
        <v>12.7048391740088</v>
      </c>
      <c r="AI11" s="8" t="n">
        <v>12.5999320112181</v>
      </c>
      <c r="AJ11" s="8" t="n">
        <v>12.6459303147423</v>
      </c>
      <c r="AK11" s="8" t="n">
        <v>12.842834130579</v>
      </c>
      <c r="AL11" s="8" t="n">
        <v>13.190643655648</v>
      </c>
      <c r="AM11" s="8" t="n">
        <v>13.5020307704849</v>
      </c>
      <c r="AN11" s="8" t="n">
        <v>13.776995786344</v>
      </c>
      <c r="AO11" s="8" t="n">
        <v>14.015538978154</v>
      </c>
      <c r="AP11" s="8" t="n">
        <v>14.2176605847407</v>
      </c>
      <c r="AQ11" s="8" t="n">
        <v>14.0648411067746</v>
      </c>
      <c r="AR11" s="8" t="n">
        <v>13.5570803916512</v>
      </c>
      <c r="AS11" s="8" t="n">
        <v>12.6943779315532</v>
      </c>
      <c r="AT11" s="8" t="n">
        <v>11.4767328637378</v>
      </c>
      <c r="AU11" s="8" t="n">
        <v>10.2693628596679</v>
      </c>
      <c r="AV11" s="8" t="n">
        <v>9.072266711906179</v>
      </c>
      <c r="AW11" s="8" t="n">
        <v>7.88544322334365</v>
      </c>
      <c r="AX11" s="8" t="n">
        <v>6.70889120722992</v>
      </c>
      <c r="AY11" s="8" t="n">
        <v>5.82647822453807</v>
      </c>
      <c r="AZ11" s="8" t="n">
        <v>5.23820339301013</v>
      </c>
      <c r="BA11" s="8" t="n">
        <v>4.94406612429404</v>
      </c>
      <c r="BB11" s="9" t="inlineStr"/>
      <c r="BC11" s="9" t="inlineStr"/>
      <c r="BD11" s="9" t="inlineStr"/>
      <c r="BE11" s="9" t="inlineStr"/>
      <c r="BF11" s="9" t="inlineStr"/>
      <c r="BG11" s="9" t="inlineStr"/>
      <c r="BH11" s="9" t="inlineStr"/>
      <c r="BI11" s="9" t="inlineStr"/>
      <c r="BJ11" s="9" t="inlineStr"/>
      <c r="BK11" s="9" t="inlineStr"/>
      <c r="BL11" s="9" t="inlineStr"/>
      <c r="BM11" s="9" t="inlineStr"/>
    </row>
  </sheetData>
  <autoFilter ref="A1:BM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M1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</cols>
  <sheetData>
    <row r="1" ht="26" customHeight="1">
      <c r="A1" s="5" t="inlineStr">
        <is>
          <t>country</t>
        </is>
      </c>
      <c r="B1" s="5" t="inlineStr">
        <is>
          <t>2010 Q1</t>
        </is>
      </c>
      <c r="C1" s="5" t="inlineStr">
        <is>
          <t>2010 Q2</t>
        </is>
      </c>
      <c r="D1" s="5" t="inlineStr">
        <is>
          <t>2010 Q3</t>
        </is>
      </c>
      <c r="E1" s="5" t="inlineStr">
        <is>
          <t>2010 Q4</t>
        </is>
      </c>
      <c r="F1" s="5" t="inlineStr">
        <is>
          <t>2011 Q1</t>
        </is>
      </c>
      <c r="G1" s="5" t="inlineStr">
        <is>
          <t>2011 Q2</t>
        </is>
      </c>
      <c r="H1" s="5" t="inlineStr">
        <is>
          <t>2011 Q3</t>
        </is>
      </c>
      <c r="I1" s="5" t="inlineStr">
        <is>
          <t>2011 Q4</t>
        </is>
      </c>
      <c r="J1" s="5" t="inlineStr">
        <is>
          <t>2012 Q1</t>
        </is>
      </c>
      <c r="K1" s="5" t="inlineStr">
        <is>
          <t>2012 Q2</t>
        </is>
      </c>
      <c r="L1" s="5" t="inlineStr">
        <is>
          <t>2012 Q3</t>
        </is>
      </c>
      <c r="M1" s="5" t="inlineStr">
        <is>
          <t>2012 Q4</t>
        </is>
      </c>
      <c r="N1" s="5" t="inlineStr">
        <is>
          <t>2013 Q1</t>
        </is>
      </c>
      <c r="O1" s="5" t="inlineStr">
        <is>
          <t>2013 Q2</t>
        </is>
      </c>
      <c r="P1" s="5" t="inlineStr">
        <is>
          <t>2013 Q3</t>
        </is>
      </c>
      <c r="Q1" s="5" t="inlineStr">
        <is>
          <t>2013 Q4</t>
        </is>
      </c>
      <c r="R1" s="5" t="inlineStr">
        <is>
          <t>2014 Q1</t>
        </is>
      </c>
      <c r="S1" s="5" t="inlineStr">
        <is>
          <t>2014 Q2</t>
        </is>
      </c>
      <c r="T1" s="5" t="inlineStr">
        <is>
          <t>2014 Q3</t>
        </is>
      </c>
      <c r="U1" s="5" t="inlineStr">
        <is>
          <t>2014 Q4</t>
        </is>
      </c>
      <c r="V1" s="5" t="inlineStr">
        <is>
          <t>2015 Q1</t>
        </is>
      </c>
      <c r="W1" s="5" t="inlineStr">
        <is>
          <t>2015 Q2</t>
        </is>
      </c>
      <c r="X1" s="5" t="inlineStr">
        <is>
          <t>2015 Q3</t>
        </is>
      </c>
      <c r="Y1" s="5" t="inlineStr">
        <is>
          <t>2015 Q4</t>
        </is>
      </c>
      <c r="Z1" s="5" t="inlineStr">
        <is>
          <t>2016 Q1</t>
        </is>
      </c>
      <c r="AA1" s="5" t="inlineStr">
        <is>
          <t>2016 Q2</t>
        </is>
      </c>
      <c r="AB1" s="5" t="inlineStr">
        <is>
          <t>2016 Q3</t>
        </is>
      </c>
      <c r="AC1" s="5" t="inlineStr">
        <is>
          <t>2016 Q4</t>
        </is>
      </c>
      <c r="AD1" s="5" t="inlineStr">
        <is>
          <t>2017 Q1</t>
        </is>
      </c>
      <c r="AE1" s="5" t="inlineStr">
        <is>
          <t>2017 Q2</t>
        </is>
      </c>
      <c r="AF1" s="5" t="inlineStr">
        <is>
          <t>2017 Q3</t>
        </is>
      </c>
      <c r="AG1" s="5" t="inlineStr">
        <is>
          <t>2017 Q4</t>
        </is>
      </c>
      <c r="AH1" s="5" t="inlineStr">
        <is>
          <t>2018 Q1</t>
        </is>
      </c>
      <c r="AI1" s="5" t="inlineStr">
        <is>
          <t>2018 Q2</t>
        </is>
      </c>
      <c r="AJ1" s="5" t="inlineStr">
        <is>
          <t>2018 Q3</t>
        </is>
      </c>
      <c r="AK1" s="5" t="inlineStr">
        <is>
          <t>2018 Q4</t>
        </is>
      </c>
      <c r="AL1" s="5" t="inlineStr">
        <is>
          <t>2019 Q1</t>
        </is>
      </c>
      <c r="AM1" s="5" t="inlineStr">
        <is>
          <t>2019 Q2</t>
        </is>
      </c>
      <c r="AN1" s="5" t="inlineStr">
        <is>
          <t>2019 Q3</t>
        </is>
      </c>
      <c r="AO1" s="5" t="inlineStr">
        <is>
          <t>2019 Q4</t>
        </is>
      </c>
      <c r="AP1" s="5" t="inlineStr">
        <is>
          <t>2020 Q1</t>
        </is>
      </c>
      <c r="AQ1" s="5" t="inlineStr">
        <is>
          <t>2020 Q2</t>
        </is>
      </c>
      <c r="AR1" s="5" t="inlineStr">
        <is>
          <t>2020 Q3</t>
        </is>
      </c>
      <c r="AS1" s="5" t="inlineStr">
        <is>
          <t>2020 Q4</t>
        </is>
      </c>
      <c r="AT1" s="5" t="inlineStr">
        <is>
          <t>2021 Q1</t>
        </is>
      </c>
      <c r="AU1" s="5" t="inlineStr">
        <is>
          <t>2021 Q2</t>
        </is>
      </c>
      <c r="AV1" s="5" t="inlineStr">
        <is>
          <t>2021 Q3</t>
        </is>
      </c>
      <c r="AW1" s="5" t="inlineStr">
        <is>
          <t>2021 Q4</t>
        </is>
      </c>
      <c r="AX1" s="5" t="inlineStr">
        <is>
          <t>2022 Q1</t>
        </is>
      </c>
      <c r="AY1" s="5" t="inlineStr">
        <is>
          <t>2022 Q2</t>
        </is>
      </c>
      <c r="AZ1" s="5" t="inlineStr">
        <is>
          <t>2022 Q3</t>
        </is>
      </c>
      <c r="BA1" s="5" t="inlineStr">
        <is>
          <t>2022 Q4</t>
        </is>
      </c>
      <c r="BB1" s="5" t="inlineStr">
        <is>
          <t>2023 Q1</t>
        </is>
      </c>
      <c r="BC1" s="5" t="inlineStr">
        <is>
          <t>2023 Q2</t>
        </is>
      </c>
      <c r="BD1" s="5" t="inlineStr">
        <is>
          <t>2023 Q3</t>
        </is>
      </c>
      <c r="BE1" s="5" t="inlineStr">
        <is>
          <t>2023 Q4</t>
        </is>
      </c>
      <c r="BF1" s="5" t="inlineStr">
        <is>
          <t>2024 Q1</t>
        </is>
      </c>
      <c r="BG1" s="5" t="inlineStr">
        <is>
          <t>2024 Q2</t>
        </is>
      </c>
      <c r="BH1" s="5" t="inlineStr">
        <is>
          <t>2024 Q3</t>
        </is>
      </c>
      <c r="BI1" s="5" t="inlineStr">
        <is>
          <t>2024 Q4</t>
        </is>
      </c>
      <c r="BJ1" s="5" t="inlineStr">
        <is>
          <t>2025 Q1</t>
        </is>
      </c>
      <c r="BK1" s="5" t="inlineStr">
        <is>
          <t>2025 Q2</t>
        </is>
      </c>
      <c r="BL1" s="5" t="inlineStr">
        <is>
          <t>2025 Q3</t>
        </is>
      </c>
      <c r="BM1" s="5" t="inlineStr">
        <is>
          <t>2025 Q4</t>
        </is>
      </c>
    </row>
    <row r="2" ht="19" customHeight="1">
      <c r="A2" s="6" t="inlineStr">
        <is>
          <t>Brunei</t>
        </is>
      </c>
      <c r="B2" s="8" t="n">
        <v>104.243333333333</v>
      </c>
      <c r="C2" s="8" t="n">
        <v>106</v>
      </c>
      <c r="D2" s="8" t="n">
        <v>106.016666666667</v>
      </c>
      <c r="E2" s="8" t="n">
        <v>106.623333333333</v>
      </c>
      <c r="F2" s="8" t="n">
        <v>106.406666666667</v>
      </c>
      <c r="G2" s="8" t="n">
        <v>106.593333333333</v>
      </c>
      <c r="H2" s="8" t="n">
        <v>106.82</v>
      </c>
      <c r="I2" s="8" t="n">
        <v>103.953333333333</v>
      </c>
      <c r="J2" s="8" t="n">
        <v>104.903333333333</v>
      </c>
      <c r="K2" s="8" t="n">
        <v>104.896666666667</v>
      </c>
      <c r="L2" s="8" t="n">
        <v>105.606666666667</v>
      </c>
      <c r="M2" s="8" t="n">
        <v>105.93</v>
      </c>
      <c r="N2" s="8" t="n">
        <v>105.37</v>
      </c>
      <c r="O2" s="8" t="n">
        <v>105.556666666667</v>
      </c>
      <c r="P2" s="8" t="n">
        <v>104.533333333333</v>
      </c>
      <c r="Q2" s="8" t="n">
        <v>104.27</v>
      </c>
      <c r="R2" s="8" t="n">
        <v>102.136666666667</v>
      </c>
      <c r="S2" s="8" t="n">
        <v>102.323333333333</v>
      </c>
      <c r="T2" s="8" t="n">
        <v>102.736666666667</v>
      </c>
      <c r="U2" s="8" t="n">
        <v>102.94</v>
      </c>
      <c r="V2" s="8" t="n">
        <v>101.966666666667</v>
      </c>
      <c r="W2" s="8" t="n">
        <v>102.723333333333</v>
      </c>
      <c r="X2" s="8" t="n">
        <v>100.906666666667</v>
      </c>
      <c r="Y2" s="8" t="n">
        <v>101.036666666667</v>
      </c>
      <c r="Z2" s="8" t="n">
        <v>101.736666666667</v>
      </c>
      <c r="AA2" s="8" t="n">
        <v>102.49</v>
      </c>
      <c r="AB2" s="8" t="n">
        <v>103.416666666667</v>
      </c>
      <c r="AC2" s="8" t="n">
        <v>102.096666666667</v>
      </c>
      <c r="AD2" s="8" t="n">
        <v>100.286666666667</v>
      </c>
      <c r="AE2" s="8" t="n">
        <v>100.026666666667</v>
      </c>
      <c r="AF2" s="8" t="n">
        <v>100.163333333333</v>
      </c>
      <c r="AG2" s="8" t="n">
        <v>99.90666666666669</v>
      </c>
      <c r="AH2" s="8" t="n">
        <v>100.06</v>
      </c>
      <c r="AI2" s="8" t="n">
        <v>100.01</v>
      </c>
      <c r="AJ2" s="8" t="n">
        <v>99.5533333333333</v>
      </c>
      <c r="AK2" s="8" t="n">
        <v>99.4133333333333</v>
      </c>
      <c r="AL2" s="8" t="n">
        <v>99.4533333333333</v>
      </c>
      <c r="AM2" s="8" t="n">
        <v>98.6966666666667</v>
      </c>
      <c r="AN2" s="8" t="n">
        <v>98.69</v>
      </c>
      <c r="AO2" s="8" t="n">
        <v>98.79333333333329</v>
      </c>
      <c r="AP2" s="8" t="n">
        <v>98.7166666666667</v>
      </c>
      <c r="AQ2" s="8" t="n">
        <v>99.83</v>
      </c>
      <c r="AR2" s="8" t="n">
        <v>99.19</v>
      </c>
      <c r="AS2" s="8" t="n">
        <v>99.8</v>
      </c>
      <c r="AT2" s="8" t="n">
        <v>99.40666666666669</v>
      </c>
      <c r="AU2" s="8" t="n">
        <v>98.7766666666667</v>
      </c>
      <c r="AV2" s="8" t="n">
        <v>98.04000000000001</v>
      </c>
      <c r="AW2" s="8" t="n">
        <v>97.8633333333333</v>
      </c>
      <c r="AX2" s="8" t="n">
        <v>98.88</v>
      </c>
      <c r="AY2" s="8" t="n">
        <v>98.7833333333333</v>
      </c>
      <c r="AZ2" s="8" t="n">
        <v>99.56666666666671</v>
      </c>
      <c r="BA2" s="8" t="n">
        <v>99.09333333333331</v>
      </c>
      <c r="BB2" s="8" t="n">
        <v>98.7866666666667</v>
      </c>
      <c r="BC2" s="8" t="n">
        <v>97.7033333333333</v>
      </c>
      <c r="BD2" s="8" t="n">
        <v>96.9633333333333</v>
      </c>
      <c r="BE2" s="8" t="n">
        <v>97.2533333333333</v>
      </c>
      <c r="BF2" s="8" t="n">
        <v>96.2566666666667</v>
      </c>
      <c r="BG2" s="8" t="n">
        <v>95.6966666666667</v>
      </c>
      <c r="BH2" s="8" t="n">
        <v>95.5366666666667</v>
      </c>
      <c r="BI2" s="8" t="n">
        <v>95.1333333333333</v>
      </c>
      <c r="BJ2" s="8" t="n">
        <v>94.02</v>
      </c>
      <c r="BK2" s="8" t="n">
        <v>93.7533333333333</v>
      </c>
      <c r="BL2" s="8" t="n">
        <v>93.5233333333333</v>
      </c>
      <c r="BM2" s="8" t="n">
        <v>92.8233333333333</v>
      </c>
    </row>
    <row r="3" ht="19" customHeight="1">
      <c r="A3" s="6" t="inlineStr">
        <is>
          <t>Cambodia</t>
        </is>
      </c>
      <c r="B3" s="8" t="n">
        <v>106.542701859995</v>
      </c>
      <c r="C3" s="8" t="n">
        <v>106.290351682811</v>
      </c>
      <c r="D3" s="8" t="n">
        <v>104.888441849624</v>
      </c>
      <c r="E3" s="8" t="n">
        <v>107.013328614627</v>
      </c>
      <c r="F3" s="8" t="n">
        <v>108.08619217327</v>
      </c>
      <c r="G3" s="8" t="n">
        <v>107.218762517215</v>
      </c>
      <c r="H3" s="8" t="n">
        <v>106.828297748358</v>
      </c>
      <c r="I3" s="8" t="n">
        <v>110.454386996992</v>
      </c>
      <c r="J3" s="8" t="n">
        <v>111.762192927535</v>
      </c>
      <c r="K3" s="8" t="n">
        <v>111.680909748483</v>
      </c>
      <c r="L3" s="8" t="n">
        <v>110.997692701695</v>
      </c>
      <c r="M3" s="8" t="n">
        <v>111.584598103599</v>
      </c>
      <c r="N3" s="8" t="n">
        <v>112.526972305713</v>
      </c>
      <c r="O3" s="8" t="n">
        <v>113.03529776106</v>
      </c>
      <c r="P3" s="8" t="n">
        <v>113.739951455416</v>
      </c>
      <c r="Q3" s="8" t="n">
        <v>115.415273392935</v>
      </c>
      <c r="R3" s="8" t="n">
        <v>117.40706600003</v>
      </c>
      <c r="S3" s="8" t="n">
        <v>116.184812664881</v>
      </c>
      <c r="T3" s="8" t="n">
        <v>116.532375879956</v>
      </c>
      <c r="U3" s="8" t="n">
        <v>119.110878365259</v>
      </c>
      <c r="V3" s="8" t="n">
        <v>124.016491967445</v>
      </c>
      <c r="W3" s="8" t="n">
        <v>124.148553975916</v>
      </c>
      <c r="X3" s="8" t="n">
        <v>125.672229297792</v>
      </c>
      <c r="Y3" s="8" t="n">
        <v>129.092442169707</v>
      </c>
      <c r="Z3" s="8" t="n">
        <v>130.820892963998</v>
      </c>
      <c r="AA3" s="8" t="n">
        <v>128.657593784413</v>
      </c>
      <c r="AB3" s="8" t="n">
        <v>128.162490239394</v>
      </c>
      <c r="AC3" s="8" t="n">
        <v>133.058141805005</v>
      </c>
      <c r="AD3" s="8" t="n">
        <v>134.871343996961</v>
      </c>
      <c r="AE3" s="8" t="n">
        <v>131.816087261607</v>
      </c>
      <c r="AF3" s="8" t="n">
        <v>128.484626654735</v>
      </c>
      <c r="AG3" s="8" t="n">
        <v>129.677727753762</v>
      </c>
      <c r="AH3" s="8" t="n">
        <v>127.788389305673</v>
      </c>
      <c r="AI3" s="8" t="n">
        <v>128.57408382688</v>
      </c>
      <c r="AJ3" s="8" t="n">
        <v>130.449853164076</v>
      </c>
      <c r="AK3" s="8" t="n">
        <v>132.551105337219</v>
      </c>
      <c r="AL3" s="8" t="n">
        <v>132.873466017072</v>
      </c>
      <c r="AM3" s="8" t="n">
        <v>132.174479631562</v>
      </c>
      <c r="AN3" s="8" t="n">
        <v>131.942041014619</v>
      </c>
      <c r="AO3" s="8" t="n">
        <v>132.027181453691</v>
      </c>
      <c r="AP3" s="8" t="n">
        <v>133.701079596924</v>
      </c>
      <c r="AQ3" s="8" t="n">
        <v>135.744106057236</v>
      </c>
      <c r="AR3" s="8" t="n">
        <v>132.994207387267</v>
      </c>
      <c r="AS3" s="8" t="n">
        <v>132.701587728732</v>
      </c>
      <c r="AT3" s="8" t="n">
        <v>130.443689932052</v>
      </c>
      <c r="AU3" s="8" t="n">
        <v>129.954495610129</v>
      </c>
      <c r="AV3" s="8" t="n">
        <v>131.106049642536</v>
      </c>
      <c r="AW3" s="8" t="n">
        <v>132.401323652529</v>
      </c>
      <c r="AX3" s="8" t="n">
        <v>134.579755130317</v>
      </c>
      <c r="AY3" s="8" t="n">
        <v>138.524777933378</v>
      </c>
      <c r="AZ3" s="8" t="n">
        <v>138.636966416561</v>
      </c>
      <c r="BA3" s="8" t="n">
        <v>136.728249794449</v>
      </c>
      <c r="BB3" s="8" t="n">
        <v>134.958524731517</v>
      </c>
      <c r="BC3" s="8" t="n">
        <v>134.607481457226</v>
      </c>
      <c r="BD3" s="8" t="n">
        <v>135.603883388593</v>
      </c>
      <c r="BE3" s="8" t="n">
        <v>135.920925206889</v>
      </c>
      <c r="BF3" s="8" t="n">
        <v>133.675083218023</v>
      </c>
      <c r="BG3" s="8" t="n">
        <v>136.068568225554</v>
      </c>
      <c r="BH3" s="8" t="n">
        <v>134.703145066383</v>
      </c>
      <c r="BI3" s="8" t="n">
        <v>138.385423194917</v>
      </c>
      <c r="BJ3" s="8" t="n">
        <v>140.747209614701</v>
      </c>
      <c r="BK3" s="8" t="n">
        <v>135.405088842325</v>
      </c>
      <c r="BL3" s="8" t="n">
        <v>133.809458052223</v>
      </c>
      <c r="BM3" s="8" t="n">
        <v>133.922238751559</v>
      </c>
    </row>
    <row r="4" ht="19" customHeight="1">
      <c r="A4" s="6" t="inlineStr">
        <is>
          <t>Indonesia</t>
        </is>
      </c>
      <c r="B4" s="8" t="n">
        <v>110.583181379933</v>
      </c>
      <c r="C4" s="8" t="n">
        <v>116.158231983964</v>
      </c>
      <c r="D4" s="8" t="n">
        <v>117.733774535707</v>
      </c>
      <c r="E4" s="8" t="n">
        <v>114.96010629835</v>
      </c>
      <c r="F4" s="8" t="n">
        <v>115.575953725232</v>
      </c>
      <c r="G4" s="8" t="n">
        <v>116.934778810664</v>
      </c>
      <c r="H4" s="8" t="n">
        <v>116.842551994953</v>
      </c>
      <c r="I4" s="8" t="n">
        <v>115.024989924696</v>
      </c>
      <c r="J4" s="8" t="n">
        <v>114.70148881988</v>
      </c>
      <c r="K4" s="8" t="n">
        <v>114.445058144101</v>
      </c>
      <c r="L4" s="8" t="n">
        <v>112.949931958516</v>
      </c>
      <c r="M4" s="8" t="n">
        <v>110.930348736149</v>
      </c>
      <c r="N4" s="8" t="n">
        <v>113.272444648662</v>
      </c>
      <c r="O4" s="8" t="n">
        <v>116.271393918809</v>
      </c>
      <c r="P4" s="8" t="n">
        <v>110.855342240976</v>
      </c>
      <c r="Q4" s="8" t="n">
        <v>100.421638782695</v>
      </c>
      <c r="R4" s="8" t="n">
        <v>100.974484030713</v>
      </c>
      <c r="S4" s="8" t="n">
        <v>102.435655188035</v>
      </c>
      <c r="T4" s="8" t="n">
        <v>103.244470290238</v>
      </c>
      <c r="U4" s="8" t="n">
        <v>106.624082709753</v>
      </c>
      <c r="V4" s="8" t="n">
        <v>108.338102922705</v>
      </c>
      <c r="W4" s="8" t="n">
        <v>107.288911995918</v>
      </c>
      <c r="X4" s="8" t="n">
        <v>104.801696297751</v>
      </c>
      <c r="Y4" s="8" t="n">
        <v>107.077150048177</v>
      </c>
      <c r="Z4" s="8" t="n">
        <v>109.866532019879</v>
      </c>
      <c r="AA4" s="8" t="n">
        <v>108.609714207301</v>
      </c>
      <c r="AB4" s="8" t="n">
        <v>110.16495844208</v>
      </c>
      <c r="AC4" s="8" t="n">
        <v>113.210845679749</v>
      </c>
      <c r="AD4" s="8" t="n">
        <v>114.288729897149</v>
      </c>
      <c r="AE4" s="8" t="n">
        <v>113.421366365721</v>
      </c>
      <c r="AF4" s="8" t="n">
        <v>111.051760027838</v>
      </c>
      <c r="AG4" s="8" t="n">
        <v>109.705911392754</v>
      </c>
      <c r="AH4" s="8" t="n">
        <v>106.724717971135</v>
      </c>
      <c r="AI4" s="8" t="n">
        <v>105.946208799285</v>
      </c>
      <c r="AJ4" s="8" t="n">
        <v>103.938345622621</v>
      </c>
      <c r="AK4" s="8" t="n">
        <v>104.354701002112</v>
      </c>
      <c r="AL4" s="8" t="n">
        <v>108.655234391625</v>
      </c>
      <c r="AM4" s="8" t="n">
        <v>109.128396260806</v>
      </c>
      <c r="AN4" s="8" t="n">
        <v>111.113888239047</v>
      </c>
      <c r="AO4" s="8" t="n">
        <v>111.479790617269</v>
      </c>
      <c r="AP4" s="8" t="n">
        <v>111.309392674559</v>
      </c>
      <c r="AQ4" s="8" t="n">
        <v>107.801508102116</v>
      </c>
      <c r="AR4" s="8" t="n">
        <v>106.150979090589</v>
      </c>
      <c r="AS4" s="8" t="n">
        <v>106.928084289912</v>
      </c>
      <c r="AT4" s="8" t="n">
        <v>107.257553279899</v>
      </c>
      <c r="AU4" s="8" t="n">
        <v>105.611749595051</v>
      </c>
      <c r="AV4" s="8" t="n">
        <v>106.441997910802</v>
      </c>
      <c r="AW4" s="8" t="n">
        <v>108.412669854822</v>
      </c>
      <c r="AX4" s="8" t="n">
        <v>108.227468212291</v>
      </c>
      <c r="AY4" s="8" t="n">
        <v>110.902477541566</v>
      </c>
      <c r="AZ4" s="8" t="n">
        <v>112.722799417656</v>
      </c>
      <c r="BA4" s="8" t="n">
        <v>108.967836902893</v>
      </c>
      <c r="BB4" s="8" t="n">
        <v>107.160272312727</v>
      </c>
      <c r="BC4" s="8" t="n">
        <v>110.261343594388</v>
      </c>
      <c r="BD4" s="8" t="n">
        <v>109.196741362267</v>
      </c>
      <c r="BE4" s="8" t="n">
        <v>107.525182091176</v>
      </c>
      <c r="BF4" s="8" t="n">
        <v>107.182284989646</v>
      </c>
      <c r="BG4" s="8" t="n">
        <v>105.189264314592</v>
      </c>
      <c r="BH4" s="8" t="n">
        <v>105.129273963533</v>
      </c>
      <c r="BI4" s="8" t="n">
        <v>106.555195075595</v>
      </c>
      <c r="BJ4" s="8" t="n">
        <v>102.946950846124</v>
      </c>
      <c r="BK4" s="8" t="n">
        <v>99.1650886783668</v>
      </c>
      <c r="BL4" s="8" t="n">
        <v>99.33227673864501</v>
      </c>
      <c r="BM4" s="8" t="n">
        <v>98.8274453953623</v>
      </c>
    </row>
    <row r="5" ht="19" customHeight="1">
      <c r="A5" s="6" t="inlineStr">
        <is>
          <t>Laos</t>
        </is>
      </c>
      <c r="B5" s="8" t="n">
        <v>116.073385384143</v>
      </c>
      <c r="C5" s="8" t="n">
        <v>121.11001619704</v>
      </c>
      <c r="D5" s="8" t="n">
        <v>123.709178025132</v>
      </c>
      <c r="E5" s="8" t="n">
        <v>120.634148914246</v>
      </c>
      <c r="F5" s="8" t="n">
        <v>121.750951363481</v>
      </c>
      <c r="G5" s="8" t="n">
        <v>121.53177982122</v>
      </c>
      <c r="H5" s="8" t="n">
        <v>122.524556919425</v>
      </c>
      <c r="I5" s="8" t="n">
        <v>127.404253685878</v>
      </c>
      <c r="J5" s="8" t="n">
        <v>128.105204370981</v>
      </c>
      <c r="K5" s="8" t="n">
        <v>130.391403311613</v>
      </c>
      <c r="L5" s="8" t="n">
        <v>131.013014323257</v>
      </c>
      <c r="M5" s="8" t="n">
        <v>130.012065762626</v>
      </c>
      <c r="N5" s="8" t="n">
        <v>132.817536517934</v>
      </c>
      <c r="O5" s="8" t="n">
        <v>139.171160116821</v>
      </c>
      <c r="P5" s="8" t="n">
        <v>141.457203953917</v>
      </c>
      <c r="Q5" s="8" t="n">
        <v>139.543719946047</v>
      </c>
      <c r="R5" s="8" t="n">
        <v>140.597714118778</v>
      </c>
      <c r="S5" s="8" t="n">
        <v>139.59080740912</v>
      </c>
      <c r="T5" s="8" t="n">
        <v>141.163185015967</v>
      </c>
      <c r="U5" s="8" t="n">
        <v>147.09207161131</v>
      </c>
      <c r="V5" s="8" t="n">
        <v>152.715911605448</v>
      </c>
      <c r="W5" s="8" t="n">
        <v>154.848336134493</v>
      </c>
      <c r="X5" s="8" t="n">
        <v>158.864907292338</v>
      </c>
      <c r="Y5" s="8" t="n">
        <v>161.942420519214</v>
      </c>
      <c r="Z5" s="8" t="n">
        <v>162.425190227477</v>
      </c>
      <c r="AA5" s="8" t="n">
        <v>159.9059300339</v>
      </c>
      <c r="AB5" s="8" t="n">
        <v>161.205305533476</v>
      </c>
      <c r="AC5" s="8" t="n">
        <v>164.31033689507</v>
      </c>
      <c r="AD5" s="8" t="n">
        <v>162.860067399009</v>
      </c>
      <c r="AE5" s="8" t="n">
        <v>158.608551402304</v>
      </c>
      <c r="AF5" s="8" t="n">
        <v>151.503083820774</v>
      </c>
      <c r="AG5" s="8" t="n">
        <v>150.52305248378</v>
      </c>
      <c r="AH5" s="8" t="n">
        <v>146.338273001266</v>
      </c>
      <c r="AI5" s="8" t="n">
        <v>148.146330198269</v>
      </c>
      <c r="AJ5" s="8" t="n">
        <v>150.246960169516</v>
      </c>
      <c r="AK5" s="8" t="n">
        <v>149.783195151236</v>
      </c>
      <c r="AL5" s="8" t="n">
        <v>148.154079105405</v>
      </c>
      <c r="AM5" s="8" t="n">
        <v>148.571776044607</v>
      </c>
      <c r="AN5" s="8" t="n">
        <v>147.191215571596</v>
      </c>
      <c r="AO5" s="8" t="n">
        <v>147.529247410385</v>
      </c>
      <c r="AP5" s="8" t="n">
        <v>151.862762065351</v>
      </c>
      <c r="AQ5" s="8" t="n">
        <v>154.972074494507</v>
      </c>
      <c r="AR5" s="8" t="n">
        <v>147.497444036377</v>
      </c>
      <c r="AS5" s="8" t="n">
        <v>142.160071703334</v>
      </c>
      <c r="AT5" s="8" t="n">
        <v>140.323890726339</v>
      </c>
      <c r="AU5" s="8" t="n">
        <v>142.427000703407</v>
      </c>
      <c r="AV5" s="8" t="n">
        <v>144.085634413595</v>
      </c>
      <c r="AW5" s="8" t="n">
        <v>133.567363906585</v>
      </c>
      <c r="AX5" s="8" t="n">
        <v>126.964818193009</v>
      </c>
      <c r="AY5" s="8" t="n">
        <v>122.253021901063</v>
      </c>
      <c r="AZ5" s="8" t="n">
        <v>122.674915177071</v>
      </c>
      <c r="BA5" s="8" t="n">
        <v>120.053556815065</v>
      </c>
      <c r="BB5" s="8" t="n">
        <v>122.955243387835</v>
      </c>
      <c r="BC5" s="8" t="n">
        <v>123.796561891172</v>
      </c>
      <c r="BD5" s="8" t="n">
        <v>122.220637936048</v>
      </c>
      <c r="BE5" s="8" t="n">
        <v>124.677297903596</v>
      </c>
      <c r="BF5" s="8" t="n">
        <v>130.232567992751</v>
      </c>
      <c r="BG5" s="8" t="n">
        <v>133.888126743236</v>
      </c>
      <c r="BH5" s="8" t="n">
        <v>130.810317783145</v>
      </c>
      <c r="BI5" s="8" t="n">
        <v>134.234748613367</v>
      </c>
      <c r="BJ5" s="8" t="n">
        <v>136.506079984931</v>
      </c>
      <c r="BK5" s="8" t="n">
        <v>133.414905324366</v>
      </c>
      <c r="BL5" s="8" t="n">
        <v>131.079895788499</v>
      </c>
      <c r="BM5" s="8" t="n">
        <v>132.804849768873</v>
      </c>
    </row>
    <row r="6" ht="19" customHeight="1">
      <c r="A6" s="6" t="inlineStr">
        <is>
          <t>Malaysia</t>
        </is>
      </c>
      <c r="B6" s="8" t="n">
        <v>99.822019547134</v>
      </c>
      <c r="C6" s="8" t="n">
        <v>105.530502161132</v>
      </c>
      <c r="D6" s="8" t="n">
        <v>106.384385575019</v>
      </c>
      <c r="E6" s="8" t="n">
        <v>104.615269047893</v>
      </c>
      <c r="F6" s="8" t="n">
        <v>106.443270741147</v>
      </c>
      <c r="G6" s="8" t="n">
        <v>105.26407622927</v>
      </c>
      <c r="H6" s="8" t="n">
        <v>104.663537019912</v>
      </c>
      <c r="I6" s="8" t="n">
        <v>102.731698979332</v>
      </c>
      <c r="J6" s="8" t="n">
        <v>105.790516053725</v>
      </c>
      <c r="K6" s="8" t="n">
        <v>104.775773037983</v>
      </c>
      <c r="L6" s="8" t="n">
        <v>104.297388388786</v>
      </c>
      <c r="M6" s="8" t="n">
        <v>105.56346390379</v>
      </c>
      <c r="N6" s="8" t="n">
        <v>106.767381765714</v>
      </c>
      <c r="O6" s="8" t="n">
        <v>109.484851096628</v>
      </c>
      <c r="P6" s="8" t="n">
        <v>104.493294786101</v>
      </c>
      <c r="Q6" s="8" t="n">
        <v>105.49366386739</v>
      </c>
      <c r="R6" s="8" t="n">
        <v>104.228533621885</v>
      </c>
      <c r="S6" s="8" t="n">
        <v>105.197031164187</v>
      </c>
      <c r="T6" s="8" t="n">
        <v>107.801189067133</v>
      </c>
      <c r="U6" s="8" t="n">
        <v>107.386121818974</v>
      </c>
      <c r="V6" s="8" t="n">
        <v>102.777497483045</v>
      </c>
      <c r="W6" s="8" t="n">
        <v>103.674975878358</v>
      </c>
      <c r="X6" s="8" t="n">
        <v>96.34147451157131</v>
      </c>
      <c r="Y6" s="8" t="n">
        <v>92.03428241064481</v>
      </c>
      <c r="Z6" s="8" t="n">
        <v>93.5516063927014</v>
      </c>
      <c r="AA6" s="8" t="n">
        <v>95.6749814360342</v>
      </c>
      <c r="AB6" s="8" t="n">
        <v>94.61683258118769</v>
      </c>
      <c r="AC6" s="8" t="n">
        <v>91.2855181702069</v>
      </c>
      <c r="AD6" s="8" t="n">
        <v>91.0568449546969</v>
      </c>
      <c r="AE6" s="8" t="n">
        <v>92.02259700798621</v>
      </c>
      <c r="AF6" s="8" t="n">
        <v>91.9694464244723</v>
      </c>
      <c r="AG6" s="8" t="n">
        <v>94.3278663382565</v>
      </c>
      <c r="AH6" s="8" t="n">
        <v>97.3391624711294</v>
      </c>
      <c r="AI6" s="8" t="n">
        <v>97.624992617685</v>
      </c>
      <c r="AJ6" s="8" t="n">
        <v>95.5855200757741</v>
      </c>
      <c r="AK6" s="8" t="n">
        <v>94.7296667136137</v>
      </c>
      <c r="AL6" s="8" t="n">
        <v>95.40942656767849</v>
      </c>
      <c r="AM6" s="8" t="n">
        <v>94.7469448170425</v>
      </c>
      <c r="AN6" s="8" t="n">
        <v>94.66656595636719</v>
      </c>
      <c r="AO6" s="8" t="n">
        <v>94.21122538665431</v>
      </c>
      <c r="AP6" s="8" t="n">
        <v>93.8842945282348</v>
      </c>
      <c r="AQ6" s="8" t="n">
        <v>89.70669091294791</v>
      </c>
      <c r="AR6" s="8" t="n">
        <v>91.03573415812301</v>
      </c>
      <c r="AS6" s="8" t="n">
        <v>91.24080447308739</v>
      </c>
      <c r="AT6" s="8" t="n">
        <v>92.3310340099567</v>
      </c>
      <c r="AU6" s="8" t="n">
        <v>91.3143229883238</v>
      </c>
      <c r="AV6" s="8" t="n">
        <v>89.66964938932399</v>
      </c>
      <c r="AW6" s="8" t="n">
        <v>90.8399963137184</v>
      </c>
      <c r="AX6" s="8" t="n">
        <v>90.60589435099619</v>
      </c>
      <c r="AY6" s="8" t="n">
        <v>90.00557529717069</v>
      </c>
      <c r="AZ6" s="8" t="n">
        <v>90.2640678657512</v>
      </c>
      <c r="BA6" s="8" t="n">
        <v>88.6413054871576</v>
      </c>
      <c r="BB6" s="8" t="n">
        <v>88.9130309466845</v>
      </c>
      <c r="BC6" s="8" t="n">
        <v>86.5057585979978</v>
      </c>
      <c r="BD6" s="8" t="n">
        <v>85.3547755451647</v>
      </c>
      <c r="BE6" s="8" t="n">
        <v>84.5364752505069</v>
      </c>
      <c r="BF6" s="8" t="n">
        <v>83.75521950504</v>
      </c>
      <c r="BG6" s="8" t="n">
        <v>84.8401960611896</v>
      </c>
      <c r="BH6" s="8" t="n">
        <v>88.6555846066386</v>
      </c>
      <c r="BI6" s="8" t="n">
        <v>90.59512900887999</v>
      </c>
      <c r="BJ6" s="8" t="n">
        <v>89.9874794725602</v>
      </c>
      <c r="BK6" s="8" t="n">
        <v>89.7489177163059</v>
      </c>
      <c r="BL6" s="8" t="n">
        <v>90.69316983812119</v>
      </c>
      <c r="BM6" s="8" t="n">
        <v>93.0984517818341</v>
      </c>
    </row>
    <row r="7" ht="19" customHeight="1">
      <c r="A7" s="6" t="inlineStr">
        <is>
          <t>Myanmar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8" t="n">
        <v>99.53418163488701</v>
      </c>
      <c r="L7" s="8" t="n">
        <v>96.43672818415919</v>
      </c>
      <c r="M7" s="8" t="n">
        <v>99.5926181233188</v>
      </c>
      <c r="N7" s="8" t="n">
        <v>98.2952630191221</v>
      </c>
      <c r="O7" s="8" t="n">
        <v>94.1418449177168</v>
      </c>
      <c r="P7" s="8" t="n">
        <v>91.6711206881121</v>
      </c>
      <c r="Q7" s="8" t="n">
        <v>91.2431214421171</v>
      </c>
      <c r="R7" s="8" t="n">
        <v>92.87114472455499</v>
      </c>
      <c r="S7" s="8" t="n">
        <v>94.0186910565215</v>
      </c>
      <c r="T7" s="8" t="n">
        <v>93.4700889788228</v>
      </c>
      <c r="U7" s="8" t="n">
        <v>93.1415412643227</v>
      </c>
      <c r="V7" s="8" t="n">
        <v>97.6169899256799</v>
      </c>
      <c r="W7" s="8" t="n">
        <v>94.4661049226137</v>
      </c>
      <c r="X7" s="8" t="n">
        <v>89.8812924994191</v>
      </c>
      <c r="Y7" s="8" t="n">
        <v>89.2383911582595</v>
      </c>
      <c r="Z7" s="8" t="n">
        <v>91.0317729099708</v>
      </c>
      <c r="AA7" s="8" t="n">
        <v>97.58412177970931</v>
      </c>
      <c r="AB7" s="8" t="n">
        <v>96.0526754081462</v>
      </c>
      <c r="AC7" s="8" t="n">
        <v>91.27494356578779</v>
      </c>
      <c r="AD7" s="8" t="n">
        <v>89.4160281990774</v>
      </c>
      <c r="AE7" s="8" t="n">
        <v>87.3733788664849</v>
      </c>
      <c r="AF7" s="8" t="n">
        <v>85.4372999934992</v>
      </c>
      <c r="AG7" s="8" t="n">
        <v>86.3451304274862</v>
      </c>
      <c r="AH7" s="8" t="n">
        <v>87.19874361666319</v>
      </c>
      <c r="AI7" s="8" t="n">
        <v>88.0742854366184</v>
      </c>
      <c r="AJ7" s="8" t="n">
        <v>84.381644382282</v>
      </c>
      <c r="AK7" s="8" t="n">
        <v>82.4229036416975</v>
      </c>
      <c r="AL7" s="8" t="n">
        <v>83.7164350875277</v>
      </c>
      <c r="AM7" s="8" t="n">
        <v>86.41128585168271</v>
      </c>
      <c r="AN7" s="8" t="n">
        <v>89.2307990265798</v>
      </c>
      <c r="AO7" s="8" t="n">
        <v>90.3549536314334</v>
      </c>
      <c r="AP7" s="8" t="n">
        <v>94.5812279935721</v>
      </c>
      <c r="AQ7" s="8" t="n">
        <v>100.028550138951</v>
      </c>
      <c r="AR7" s="8" t="n">
        <v>101.44537663441</v>
      </c>
      <c r="AS7" s="8" t="n">
        <v>102.426534687491</v>
      </c>
      <c r="AT7" s="8" t="n">
        <v>98.9535464024667</v>
      </c>
      <c r="AU7" s="8" t="n">
        <v>90.1197144191072</v>
      </c>
      <c r="AV7" s="8" t="n">
        <v>87.0920874555446</v>
      </c>
      <c r="AW7" s="8" t="n">
        <v>84.30300519036319</v>
      </c>
      <c r="AX7" s="8" t="n">
        <v>90.0815253295013</v>
      </c>
      <c r="AY7" s="8" t="n">
        <v>94.88924288669099</v>
      </c>
      <c r="AZ7" s="8" t="n">
        <v>97.1044485505906</v>
      </c>
      <c r="BA7" s="8" t="n">
        <v>96.84190605546721</v>
      </c>
      <c r="BB7" s="8" t="n">
        <v>97.8357627157524</v>
      </c>
      <c r="BC7" s="8" t="n">
        <v>104.354775656822</v>
      </c>
      <c r="BD7" s="8" t="n">
        <v>111.436049020244</v>
      </c>
      <c r="BE7" s="8" t="n">
        <v>118.339739333938</v>
      </c>
      <c r="BF7" s="8" t="n">
        <v>124.864073938853</v>
      </c>
      <c r="BG7" s="8" t="n">
        <v>134.126577032233</v>
      </c>
      <c r="BH7" s="8" t="n">
        <v>138.788806281316</v>
      </c>
      <c r="BI7" s="8" t="n">
        <v>148.019946562253</v>
      </c>
      <c r="BJ7" s="8" t="n">
        <v>156.978089548239</v>
      </c>
      <c r="BK7" s="8" t="n">
        <v>159.372052549463</v>
      </c>
      <c r="BL7" s="8" t="n">
        <v>164.411071520701</v>
      </c>
      <c r="BM7" s="8" t="n">
        <v>172.335764321086</v>
      </c>
    </row>
    <row r="8" ht="19" customHeight="1">
      <c r="A8" s="7" t="inlineStr">
        <is>
          <t>Philippines</t>
        </is>
      </c>
      <c r="B8" s="8" t="n">
        <v>97.88523926842259</v>
      </c>
      <c r="C8" s="8" t="n">
        <v>101.214814648344</v>
      </c>
      <c r="D8" s="8" t="n">
        <v>100.26675611022</v>
      </c>
      <c r="E8" s="8" t="n">
        <v>101.35108505402</v>
      </c>
      <c r="F8" s="8" t="n">
        <v>101.112222412573</v>
      </c>
      <c r="G8" s="8" t="n">
        <v>100.972463939737</v>
      </c>
      <c r="H8" s="8" t="n">
        <v>101.694659637526</v>
      </c>
      <c r="I8" s="8" t="n">
        <v>102.650924522399</v>
      </c>
      <c r="J8" s="8" t="n">
        <v>103.771190580842</v>
      </c>
      <c r="K8" s="8" t="n">
        <v>105.988746703542</v>
      </c>
      <c r="L8" s="8" t="n">
        <v>108.929675789631</v>
      </c>
      <c r="M8" s="8" t="n">
        <v>110.029806602123</v>
      </c>
      <c r="N8" s="8" t="n">
        <v>113.957722079632</v>
      </c>
      <c r="O8" s="8" t="n">
        <v>113.565751094366</v>
      </c>
      <c r="P8" s="8" t="n">
        <v>109.356093276046</v>
      </c>
      <c r="Q8" s="8" t="n">
        <v>109.702483584236</v>
      </c>
      <c r="R8" s="8" t="n">
        <v>108.294595686665</v>
      </c>
      <c r="S8" s="8" t="n">
        <v>109.279011152696</v>
      </c>
      <c r="T8" s="8" t="n">
        <v>112.106860096163</v>
      </c>
      <c r="U8" s="8" t="n">
        <v>114.175758055069</v>
      </c>
      <c r="V8" s="8" t="n">
        <v>119.573277887733</v>
      </c>
      <c r="W8" s="8" t="n">
        <v>119.164682158279</v>
      </c>
      <c r="X8" s="8" t="n">
        <v>117.361133466409</v>
      </c>
      <c r="Y8" s="8" t="n">
        <v>116.499446602539</v>
      </c>
      <c r="Z8" s="8" t="n">
        <v>115.148543653966</v>
      </c>
      <c r="AA8" s="8" t="n">
        <v>114.254709314013</v>
      </c>
      <c r="AB8" s="8" t="n">
        <v>112.248385286022</v>
      </c>
      <c r="AC8" s="8" t="n">
        <v>110.8957458723</v>
      </c>
      <c r="AD8" s="8" t="n">
        <v>110.444236000095</v>
      </c>
      <c r="AE8" s="8" t="n">
        <v>109.325690894706</v>
      </c>
      <c r="AF8" s="8" t="n">
        <v>105.439358264816</v>
      </c>
      <c r="AG8" s="8" t="n">
        <v>105.991399388192</v>
      </c>
      <c r="AH8" s="8" t="n">
        <v>103.316353700286</v>
      </c>
      <c r="AI8" s="8" t="n">
        <v>103.917826323001</v>
      </c>
      <c r="AJ8" s="8" t="n">
        <v>105.656397829092</v>
      </c>
      <c r="AK8" s="8" t="n">
        <v>107.798512242035</v>
      </c>
      <c r="AL8" s="8" t="n">
        <v>107.85960833404</v>
      </c>
      <c r="AM8" s="8" t="n">
        <v>109.349839833697</v>
      </c>
      <c r="AN8" s="8" t="n">
        <v>110.205446324817</v>
      </c>
      <c r="AO8" s="8" t="n">
        <v>112.010106760914</v>
      </c>
      <c r="AP8" s="8" t="n">
        <v>113.229849009035</v>
      </c>
      <c r="AQ8" s="8" t="n">
        <v>116.106743958614</v>
      </c>
      <c r="AR8" s="8" t="n">
        <v>117.389398483989</v>
      </c>
      <c r="AS8" s="8" t="n">
        <v>118.0878685987</v>
      </c>
      <c r="AT8" s="8" t="n">
        <v>118.237204769565</v>
      </c>
      <c r="AU8" s="8" t="n">
        <v>118.791551897302</v>
      </c>
      <c r="AV8" s="8" t="n">
        <v>115.360624089267</v>
      </c>
      <c r="AW8" s="8" t="n">
        <v>115.389025813295</v>
      </c>
      <c r="AX8" s="8" t="n">
        <v>113.611876175955</v>
      </c>
      <c r="AY8" s="8" t="n">
        <v>116.657711955883</v>
      </c>
      <c r="AZ8" s="8" t="n">
        <v>113.481515471155</v>
      </c>
      <c r="BA8" s="8" t="n">
        <v>113.415648607995</v>
      </c>
      <c r="BB8" s="8" t="n">
        <v>115.389749425747</v>
      </c>
      <c r="BC8" s="8" t="n">
        <v>114.41874280086</v>
      </c>
      <c r="BD8" s="8" t="n">
        <v>115.961331597612</v>
      </c>
      <c r="BE8" s="8" t="n">
        <v>117.257666401877</v>
      </c>
      <c r="BF8" s="8" t="n">
        <v>117.115942899713</v>
      </c>
      <c r="BG8" s="8" t="n">
        <v>115.725855838831</v>
      </c>
      <c r="BH8" s="8" t="n">
        <v>114.823981364291</v>
      </c>
      <c r="BI8" s="8" t="n">
        <v>114.187205662897</v>
      </c>
      <c r="BJ8" s="8" t="n">
        <v>114.983977890931</v>
      </c>
      <c r="BK8" s="8" t="n">
        <v>114.037247580801</v>
      </c>
      <c r="BL8" s="8" t="n">
        <v>111.69124197934</v>
      </c>
      <c r="BM8" s="8" t="n">
        <v>110.122527165574</v>
      </c>
    </row>
    <row r="9" ht="19" customHeight="1">
      <c r="A9" s="6" t="inlineStr">
        <is>
          <t>Singapore</t>
        </is>
      </c>
      <c r="B9" s="8" t="n">
        <v>104.805468709456</v>
      </c>
      <c r="C9" s="8" t="n">
        <v>108.489423765313</v>
      </c>
      <c r="D9" s="8" t="n">
        <v>109.740701225659</v>
      </c>
      <c r="E9" s="8" t="n">
        <v>111.087461574039</v>
      </c>
      <c r="F9" s="8" t="n">
        <v>113.44692709045</v>
      </c>
      <c r="G9" s="8" t="n">
        <v>114.772804377246</v>
      </c>
      <c r="H9" s="8" t="n">
        <v>117.192589431241</v>
      </c>
      <c r="I9" s="8" t="n">
        <v>114.808604812319</v>
      </c>
      <c r="J9" s="8" t="n">
        <v>117.828786238105</v>
      </c>
      <c r="K9" s="8" t="n">
        <v>120.33613489321</v>
      </c>
      <c r="L9" s="8" t="n">
        <v>122.507874351232</v>
      </c>
      <c r="M9" s="8" t="n">
        <v>124.151738289872</v>
      </c>
      <c r="N9" s="8" t="n">
        <v>125.445975038906</v>
      </c>
      <c r="O9" s="8" t="n">
        <v>124.843687089308</v>
      </c>
      <c r="P9" s="8" t="n">
        <v>124.636894731972</v>
      </c>
      <c r="Q9" s="8" t="n">
        <v>126.206693550692</v>
      </c>
      <c r="R9" s="8" t="n">
        <v>124.965663028207</v>
      </c>
      <c r="S9" s="8" t="n">
        <v>124.855446504303</v>
      </c>
      <c r="T9" s="8" t="n">
        <v>125.536046383159</v>
      </c>
      <c r="U9" s="8" t="n">
        <v>125.991014263641</v>
      </c>
      <c r="V9" s="8" t="n">
        <v>125.103274918948</v>
      </c>
      <c r="W9" s="8" t="n">
        <v>126.542773213926</v>
      </c>
      <c r="X9" s="8" t="n">
        <v>124.123158343851</v>
      </c>
      <c r="Y9" s="8" t="n">
        <v>123.580780908244</v>
      </c>
      <c r="Z9" s="8" t="n">
        <v>123.18741556723</v>
      </c>
      <c r="AA9" s="8" t="n">
        <v>123.636358020705</v>
      </c>
      <c r="AB9" s="8" t="n">
        <v>123.548281756393</v>
      </c>
      <c r="AC9" s="8" t="n">
        <v>121.431843349797</v>
      </c>
      <c r="AD9" s="8" t="n">
        <v>121.669312680992</v>
      </c>
      <c r="AE9" s="8" t="n">
        <v>121.47831969838</v>
      </c>
      <c r="AF9" s="8" t="n">
        <v>121.441267358794</v>
      </c>
      <c r="AG9" s="8" t="n">
        <v>121.519266166778</v>
      </c>
      <c r="AH9" s="8" t="n">
        <v>120.729328371518</v>
      </c>
      <c r="AI9" s="8" t="n">
        <v>120.916913311677</v>
      </c>
      <c r="AJ9" s="8" t="n">
        <v>120.659172724249</v>
      </c>
      <c r="AK9" s="8" t="n">
        <v>120.838001499175</v>
      </c>
      <c r="AL9" s="8" t="n">
        <v>121.416371895118</v>
      </c>
      <c r="AM9" s="8" t="n">
        <v>121.122391568039</v>
      </c>
      <c r="AN9" s="8" t="n">
        <v>119.819043008997</v>
      </c>
      <c r="AO9" s="8" t="n">
        <v>120.395446650753</v>
      </c>
      <c r="AP9" s="8" t="n">
        <v>118.590302251151</v>
      </c>
      <c r="AQ9" s="8" t="n">
        <v>117.665215800962</v>
      </c>
      <c r="AR9" s="8" t="n">
        <v>117.550837634053</v>
      </c>
      <c r="AS9" s="8" t="n">
        <v>117.863077583461</v>
      </c>
      <c r="AT9" s="8" t="n">
        <v>118.113544112902</v>
      </c>
      <c r="AU9" s="8" t="n">
        <v>118.824351660708</v>
      </c>
      <c r="AV9" s="8" t="n">
        <v>118.213397493305</v>
      </c>
      <c r="AW9" s="8" t="n">
        <v>119.577884839659</v>
      </c>
      <c r="AX9" s="8" t="n">
        <v>121.249727875352</v>
      </c>
      <c r="AY9" s="8" t="n">
        <v>124.06321317901</v>
      </c>
      <c r="AZ9" s="8" t="n">
        <v>127.707976835236</v>
      </c>
      <c r="BA9" s="8" t="n">
        <v>129.716366930275</v>
      </c>
      <c r="BB9" s="8" t="n">
        <v>130.967686894605</v>
      </c>
      <c r="BC9" s="8" t="n">
        <v>131.684134472379</v>
      </c>
      <c r="BD9" s="8" t="n">
        <v>132.786701293934</v>
      </c>
      <c r="BE9" s="8" t="n">
        <v>134.410505502557</v>
      </c>
      <c r="BF9" s="8" t="n">
        <v>134.677170464195</v>
      </c>
      <c r="BG9" s="8" t="n">
        <v>135.471374616555</v>
      </c>
      <c r="BH9" s="8" t="n">
        <v>136.015354185704</v>
      </c>
      <c r="BI9" s="8" t="n">
        <v>135.781733927167</v>
      </c>
      <c r="BJ9" s="8" t="n">
        <v>134.80616193521</v>
      </c>
      <c r="BK9" s="8" t="n">
        <v>134.722119572556</v>
      </c>
      <c r="BL9" s="8" t="n">
        <v>134.798318751185</v>
      </c>
      <c r="BM9" s="8" t="n">
        <v>134.920653592691</v>
      </c>
    </row>
    <row r="10" ht="19" customHeight="1">
      <c r="A10" s="6" t="inlineStr">
        <is>
          <t>Thailand</t>
        </is>
      </c>
      <c r="B10" s="8" t="n">
        <v>101.554809842604</v>
      </c>
      <c r="C10" s="8" t="n">
        <v>104.979662779692</v>
      </c>
      <c r="D10" s="8" t="n">
        <v>105.612444358991</v>
      </c>
      <c r="E10" s="8" t="n">
        <v>108.052106064296</v>
      </c>
      <c r="F10" s="8" t="n">
        <v>105.288776709976</v>
      </c>
      <c r="G10" s="8" t="n">
        <v>104.704506731938</v>
      </c>
      <c r="H10" s="8" t="n">
        <v>104.857052157509</v>
      </c>
      <c r="I10" s="8" t="n">
        <v>104.366420470424</v>
      </c>
      <c r="J10" s="8" t="n">
        <v>104.794201236359</v>
      </c>
      <c r="K10" s="8" t="n">
        <v>105.214145752999</v>
      </c>
      <c r="L10" s="8" t="n">
        <v>105.802404018206</v>
      </c>
      <c r="M10" s="8" t="n">
        <v>107.813209334965</v>
      </c>
      <c r="N10" s="8" t="n">
        <v>113.787235792141</v>
      </c>
      <c r="O10" s="8" t="n">
        <v>115.556941664381</v>
      </c>
      <c r="P10" s="8" t="n">
        <v>110.169410705038</v>
      </c>
      <c r="Q10" s="8" t="n">
        <v>108.849451055062</v>
      </c>
      <c r="R10" s="8" t="n">
        <v>107.201853544888</v>
      </c>
      <c r="S10" s="8" t="n">
        <v>106.813419697291</v>
      </c>
      <c r="T10" s="8" t="n">
        <v>108.938602402541</v>
      </c>
      <c r="U10" s="8" t="n">
        <v>111.436341234083</v>
      </c>
      <c r="V10" s="8" t="n">
        <v>115.93625541826</v>
      </c>
      <c r="W10" s="8" t="n">
        <v>113.849446902647</v>
      </c>
      <c r="X10" s="8" t="n">
        <v>109.087680555417</v>
      </c>
      <c r="Y10" s="8" t="n">
        <v>107.990305624006</v>
      </c>
      <c r="Z10" s="8" t="n">
        <v>107.767940991496</v>
      </c>
      <c r="AA10" s="8" t="n">
        <v>106.262131158294</v>
      </c>
      <c r="AB10" s="8" t="n">
        <v>106.423813063627</v>
      </c>
      <c r="AC10" s="8" t="n">
        <v>107.724608197206</v>
      </c>
      <c r="AD10" s="8" t="n">
        <v>109.672449862268</v>
      </c>
      <c r="AE10" s="8" t="n">
        <v>109.708401573631</v>
      </c>
      <c r="AF10" s="8" t="n">
        <v>110.444725725224</v>
      </c>
      <c r="AG10" s="8" t="n">
        <v>112.262442529514</v>
      </c>
      <c r="AH10" s="8" t="n">
        <v>113.575005760464</v>
      </c>
      <c r="AI10" s="8" t="n">
        <v>114.069072087669</v>
      </c>
      <c r="AJ10" s="8" t="n">
        <v>112.874250624379</v>
      </c>
      <c r="AK10" s="8" t="n">
        <v>114.289468505742</v>
      </c>
      <c r="AL10" s="8" t="n">
        <v>117.494565417249</v>
      </c>
      <c r="AM10" s="8" t="n">
        <v>118.465769163992</v>
      </c>
      <c r="AN10" s="8" t="n">
        <v>121.436157892032</v>
      </c>
      <c r="AO10" s="8" t="n">
        <v>122.427744475808</v>
      </c>
      <c r="AP10" s="8" t="n">
        <v>118.83411481362</v>
      </c>
      <c r="AQ10" s="8" t="n">
        <v>115.347610604457</v>
      </c>
      <c r="AR10" s="8" t="n">
        <v>116.02103261515</v>
      </c>
      <c r="AS10" s="8" t="n">
        <v>116.651745918689</v>
      </c>
      <c r="AT10" s="8" t="n">
        <v>116.154919793441</v>
      </c>
      <c r="AU10" s="8" t="n">
        <v>112.4410074338</v>
      </c>
      <c r="AV10" s="8" t="n">
        <v>107.412069014282</v>
      </c>
      <c r="AW10" s="8" t="n">
        <v>108.337953232208</v>
      </c>
      <c r="AX10" s="8" t="n">
        <v>111.194013367968</v>
      </c>
      <c r="AY10" s="8" t="n">
        <v>111.614643270384</v>
      </c>
      <c r="AZ10" s="8" t="n">
        <v>109.018633547517</v>
      </c>
      <c r="BA10" s="8" t="n">
        <v>109.810869444561</v>
      </c>
      <c r="BB10" s="8" t="n">
        <v>112.942835895064</v>
      </c>
      <c r="BC10" s="8" t="n">
        <v>110.085186918663</v>
      </c>
      <c r="BD10" s="8" t="n">
        <v>109.22402066015</v>
      </c>
      <c r="BE10" s="8" t="n">
        <v>107.893008097873</v>
      </c>
      <c r="BF10" s="8" t="n">
        <v>106.969936653259</v>
      </c>
      <c r="BG10" s="8" t="n">
        <v>106.69990645158</v>
      </c>
      <c r="BH10" s="8" t="n">
        <v>109.775426617082</v>
      </c>
      <c r="BI10" s="8" t="n">
        <v>112.625346617446</v>
      </c>
      <c r="BJ10" s="8" t="n">
        <v>113.18523580788</v>
      </c>
      <c r="BK10" s="8" t="n">
        <v>110.078887986421</v>
      </c>
      <c r="BL10" s="8" t="n">
        <v>111.341148252785</v>
      </c>
      <c r="BM10" s="8" t="n">
        <v>113.182804935221</v>
      </c>
    </row>
    <row r="11" ht="19" customHeight="1">
      <c r="A11" s="6" t="inlineStr">
        <is>
          <t>Vietnam</t>
        </is>
      </c>
      <c r="B11" s="8" t="n">
        <v>111.17136989077</v>
      </c>
      <c r="C11" s="8" t="n">
        <v>113.591816653665</v>
      </c>
      <c r="D11" s="8" t="n">
        <v>111.361859880741</v>
      </c>
      <c r="E11" s="8" t="n">
        <v>110.012543916975</v>
      </c>
      <c r="F11" s="8" t="n">
        <v>107.45534567144</v>
      </c>
      <c r="G11" s="8" t="n">
        <v>107.61526189128</v>
      </c>
      <c r="H11" s="8" t="n">
        <v>111.636625230999</v>
      </c>
      <c r="I11" s="8" t="n">
        <v>115.782649188918</v>
      </c>
      <c r="J11" s="8" t="n">
        <v>117.238939862637</v>
      </c>
      <c r="K11" s="8" t="n">
        <v>119.173775346504</v>
      </c>
      <c r="L11" s="8" t="n">
        <v>120.473739237794</v>
      </c>
      <c r="M11" s="8" t="n">
        <v>121.85880195904</v>
      </c>
      <c r="N11" s="8" t="n">
        <v>125.502337585123</v>
      </c>
      <c r="O11" s="8" t="n">
        <v>128.392725163938</v>
      </c>
      <c r="P11" s="8" t="n">
        <v>128.758774001653</v>
      </c>
      <c r="Q11" s="8" t="n">
        <v>129.251119005968</v>
      </c>
      <c r="R11" s="8" t="n">
        <v>131.261937368617</v>
      </c>
      <c r="S11" s="8" t="n">
        <v>129.812579723777</v>
      </c>
      <c r="T11" s="8" t="n">
        <v>132.085811275897</v>
      </c>
      <c r="U11" s="8" t="n">
        <v>138.26551479132</v>
      </c>
      <c r="V11" s="8" t="n">
        <v>144.5815859563</v>
      </c>
      <c r="W11" s="8" t="n">
        <v>143.785589425353</v>
      </c>
      <c r="X11" s="8" t="n">
        <v>144.003280740013</v>
      </c>
      <c r="Y11" s="8" t="n">
        <v>143.423659835799</v>
      </c>
      <c r="Z11" s="8" t="n">
        <v>144.386524854051</v>
      </c>
      <c r="AA11" s="8" t="n">
        <v>142.128099820463</v>
      </c>
      <c r="AB11" s="8" t="n">
        <v>142.247913252962</v>
      </c>
      <c r="AC11" s="8" t="n">
        <v>146.899667224242</v>
      </c>
      <c r="AD11" s="8" t="n">
        <v>147.576180525438</v>
      </c>
      <c r="AE11" s="8" t="n">
        <v>144.245726028058</v>
      </c>
      <c r="AF11" s="8" t="n">
        <v>140.947283812123</v>
      </c>
      <c r="AG11" s="8" t="n">
        <v>141.730141023039</v>
      </c>
      <c r="AH11" s="8" t="n">
        <v>137.352727482422</v>
      </c>
      <c r="AI11" s="8" t="n">
        <v>140.843630355472</v>
      </c>
      <c r="AJ11" s="8" t="n">
        <v>143.059281592612</v>
      </c>
      <c r="AK11" s="8" t="n">
        <v>144.478249454089</v>
      </c>
      <c r="AL11" s="8" t="n">
        <v>143.789306496711</v>
      </c>
      <c r="AM11" s="8" t="n">
        <v>145.294450979194</v>
      </c>
      <c r="AN11" s="8" t="n">
        <v>146.927093993544</v>
      </c>
      <c r="AO11" s="8" t="n">
        <v>148.986292578172</v>
      </c>
      <c r="AP11" s="8" t="n">
        <v>151.671351147827</v>
      </c>
      <c r="AQ11" s="8" t="n">
        <v>151.553001046061</v>
      </c>
      <c r="AR11" s="8" t="n">
        <v>148.307482479567</v>
      </c>
      <c r="AS11" s="8" t="n">
        <v>145.266236802146</v>
      </c>
      <c r="AT11" s="8" t="n">
        <v>144.339430110621</v>
      </c>
      <c r="AU11" s="8" t="n">
        <v>145.868153672252</v>
      </c>
      <c r="AV11" s="8" t="n">
        <v>148.854572613601</v>
      </c>
      <c r="AW11" s="8" t="n">
        <v>149.810086268531</v>
      </c>
      <c r="AX11" s="8" t="n">
        <v>150.441824624785</v>
      </c>
      <c r="AY11" s="8" t="n">
        <v>155.897727924636</v>
      </c>
      <c r="AZ11" s="8" t="n">
        <v>159.768675835398</v>
      </c>
      <c r="BA11" s="8" t="n">
        <v>154.97464857241</v>
      </c>
      <c r="BB11" s="8" t="n">
        <v>152.411404771272</v>
      </c>
      <c r="BC11" s="8" t="n">
        <v>153.226850468859</v>
      </c>
      <c r="BD11" s="8" t="n">
        <v>153.975299801503</v>
      </c>
      <c r="BE11" s="8" t="n">
        <v>153.941433802159</v>
      </c>
      <c r="BF11" s="8" t="n">
        <v>152.426795833648</v>
      </c>
      <c r="BG11" s="8" t="n">
        <v>150.537819680466</v>
      </c>
      <c r="BH11" s="8" t="n">
        <v>149.463125537497</v>
      </c>
      <c r="BI11" s="8" t="n">
        <v>150.753487483309</v>
      </c>
      <c r="BJ11" s="8" t="n">
        <v>152.425439996551</v>
      </c>
      <c r="BK11" s="8" t="n">
        <v>142.664891080365</v>
      </c>
      <c r="BL11" s="8" t="n">
        <v>139.563540536343</v>
      </c>
      <c r="BM11" s="8" t="n">
        <v>141.673198845081</v>
      </c>
    </row>
  </sheetData>
  <autoFilter ref="A1:BM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9" customWidth="1" min="4" max="4"/>
    <col width="19" customWidth="1" min="5" max="5"/>
    <col width="21" customWidth="1" min="6" max="6"/>
  </cols>
  <sheetData>
    <row r="1" ht="26" customHeight="1">
      <c r="A1" s="5" t="inlineStr">
        <is>
          <t>year</t>
        </is>
      </c>
      <c r="B1" s="5" t="inlineStr">
        <is>
          <t>quarter</t>
        </is>
      </c>
      <c r="C1" s="5" t="inlineStr">
        <is>
          <t>period</t>
        </is>
      </c>
      <c r="D1" s="5" t="inlineStr">
        <is>
          <t>fao_q</t>
        </is>
      </c>
      <c r="E1" s="5" t="inlineStr">
        <is>
          <t>fao_lag4</t>
        </is>
      </c>
      <c r="F1" s="5" t="inlineStr">
        <is>
          <t>fao_yoy</t>
        </is>
      </c>
    </row>
    <row r="2" ht="19" customHeight="1">
      <c r="A2" s="10" t="n">
        <v>2010</v>
      </c>
      <c r="B2" s="10" t="n">
        <v>1</v>
      </c>
      <c r="C2" s="6" t="inlineStr">
        <is>
          <t>2010 Q1</t>
        </is>
      </c>
      <c r="D2" s="8" t="n">
        <v>99.24199528149821</v>
      </c>
      <c r="E2" s="9" t="inlineStr"/>
      <c r="F2" s="9" t="inlineStr"/>
    </row>
    <row r="3" ht="19" customHeight="1">
      <c r="A3" s="10" t="n">
        <v>2010</v>
      </c>
      <c r="B3" s="10" t="n">
        <v>2</v>
      </c>
      <c r="C3" s="6" t="inlineStr">
        <is>
          <t>2010 Q2</t>
        </is>
      </c>
      <c r="D3" s="8" t="n">
        <v>96.4984622523225</v>
      </c>
      <c r="E3" s="9" t="inlineStr"/>
      <c r="F3" s="9" t="inlineStr"/>
    </row>
    <row r="4" ht="19" customHeight="1">
      <c r="A4" s="10" t="n">
        <v>2010</v>
      </c>
      <c r="B4" s="10" t="n">
        <v>3</v>
      </c>
      <c r="C4" s="6" t="inlineStr">
        <is>
          <t>2010 Q3</t>
        </is>
      </c>
      <c r="D4" s="8" t="n">
        <v>107.356970480027</v>
      </c>
      <c r="E4" s="9" t="inlineStr"/>
      <c r="F4" s="9" t="inlineStr"/>
    </row>
    <row r="5" ht="19" customHeight="1">
      <c r="A5" s="10" t="n">
        <v>2010</v>
      </c>
      <c r="B5" s="10" t="n">
        <v>4</v>
      </c>
      <c r="C5" s="6" t="inlineStr">
        <is>
          <t>2010 Q4</t>
        </is>
      </c>
      <c r="D5" s="8" t="n">
        <v>124.608736829891</v>
      </c>
      <c r="E5" s="9" t="inlineStr"/>
      <c r="F5" s="9" t="inlineStr"/>
    </row>
    <row r="6" ht="19" customHeight="1">
      <c r="A6" s="10" t="n">
        <v>2011</v>
      </c>
      <c r="B6" s="10" t="n">
        <v>1</v>
      </c>
      <c r="C6" s="6" t="inlineStr">
        <is>
          <t>2011 Q1</t>
        </is>
      </c>
      <c r="D6" s="8" t="n">
        <v>121.875946057639</v>
      </c>
      <c r="E6" s="8" t="n">
        <v>99.24199528149821</v>
      </c>
      <c r="F6" s="8" t="n">
        <v>22.8068276055313</v>
      </c>
    </row>
    <row r="7" ht="19" customHeight="1">
      <c r="A7" s="10" t="n">
        <v>2011</v>
      </c>
      <c r="B7" s="10" t="n">
        <v>2</v>
      </c>
      <c r="C7" s="6" t="inlineStr">
        <is>
          <t>2011 Q2</t>
        </is>
      </c>
      <c r="D7" s="8" t="n">
        <v>122.00081812372</v>
      </c>
      <c r="E7" s="8" t="n">
        <v>96.4984622523225</v>
      </c>
      <c r="F7" s="8" t="n">
        <v>26.4277329152819</v>
      </c>
    </row>
    <row r="8" ht="19" customHeight="1">
      <c r="A8" s="10" t="n">
        <v>2011</v>
      </c>
      <c r="B8" s="10" t="n">
        <v>3</v>
      </c>
      <c r="C8" s="6" t="inlineStr">
        <is>
          <t>2011 Q3</t>
        </is>
      </c>
      <c r="D8" s="8" t="n">
        <v>118.888757234176</v>
      </c>
      <c r="E8" s="8" t="n">
        <v>107.356970480027</v>
      </c>
      <c r="F8" s="8" t="n">
        <v>10.7415351817278</v>
      </c>
    </row>
    <row r="9" ht="19" customHeight="1">
      <c r="A9" s="10" t="n">
        <v>2011</v>
      </c>
      <c r="B9" s="10" t="n">
        <v>4</v>
      </c>
      <c r="C9" s="6" t="inlineStr">
        <is>
          <t>2011 Q4</t>
        </is>
      </c>
      <c r="D9" s="8" t="n">
        <v>112.174119298219</v>
      </c>
      <c r="E9" s="8" t="n">
        <v>124.608736829891</v>
      </c>
      <c r="F9" s="8" t="n">
        <v>-9.978929124887189</v>
      </c>
    </row>
    <row r="10" ht="19" customHeight="1">
      <c r="A10" s="10" t="n">
        <v>2012</v>
      </c>
      <c r="B10" s="10" t="n">
        <v>1</v>
      </c>
      <c r="C10" s="6" t="inlineStr">
        <is>
          <t>2012 Q1</t>
        </is>
      </c>
      <c r="D10" s="8" t="n">
        <v>112.921025549072</v>
      </c>
      <c r="E10" s="8" t="n">
        <v>121.875946057639</v>
      </c>
      <c r="F10" s="8" t="n">
        <v>-7.3475700482622</v>
      </c>
    </row>
    <row r="11" ht="19" customHeight="1">
      <c r="A11" s="10" t="n">
        <v>2012</v>
      </c>
      <c r="B11" s="10" t="n">
        <v>2</v>
      </c>
      <c r="C11" s="6" t="inlineStr">
        <is>
          <t>2012 Q2</t>
        </is>
      </c>
      <c r="D11" s="8" t="n">
        <v>108.674540730789</v>
      </c>
      <c r="E11" s="8" t="n">
        <v>122.00081812372</v>
      </c>
      <c r="F11" s="8" t="n">
        <v>-10.9231049413272</v>
      </c>
    </row>
    <row r="12" ht="19" customHeight="1">
      <c r="A12" s="10" t="n">
        <v>2012</v>
      </c>
      <c r="B12" s="10" t="n">
        <v>3</v>
      </c>
      <c r="C12" s="6" t="inlineStr">
        <is>
          <t>2012 Q3</t>
        </is>
      </c>
      <c r="D12" s="8" t="n">
        <v>112.021404013206</v>
      </c>
      <c r="E12" s="8" t="n">
        <v>118.888757234176</v>
      </c>
      <c r="F12" s="8" t="n">
        <v>-5.77628480668088</v>
      </c>
    </row>
    <row r="13" ht="19" customHeight="1">
      <c r="A13" s="10" t="n">
        <v>2012</v>
      </c>
      <c r="B13" s="10" t="n">
        <v>4</v>
      </c>
      <c r="C13" s="6" t="inlineStr">
        <is>
          <t>2012 Q4</t>
        </is>
      </c>
      <c r="D13" s="8" t="n">
        <v>112.043606667623</v>
      </c>
      <c r="E13" s="8" t="n">
        <v>112.174119298219</v>
      </c>
      <c r="F13" s="8" t="n">
        <v>-0.116348255206267</v>
      </c>
    </row>
    <row r="14" ht="19" customHeight="1">
      <c r="A14" s="10" t="n">
        <v>2013</v>
      </c>
      <c r="B14" s="10" t="n">
        <v>1</v>
      </c>
      <c r="C14" s="6" t="inlineStr">
        <is>
          <t>2013 Q1</t>
        </is>
      </c>
      <c r="D14" s="8" t="n">
        <v>112.344264317549</v>
      </c>
      <c r="E14" s="8" t="n">
        <v>112.921025549072</v>
      </c>
      <c r="F14" s="8" t="n">
        <v>-0.510765137598079</v>
      </c>
    </row>
    <row r="15" ht="19" customHeight="1">
      <c r="A15" s="10" t="n">
        <v>2013</v>
      </c>
      <c r="B15" s="10" t="n">
        <v>2</v>
      </c>
      <c r="C15" s="6" t="inlineStr">
        <is>
          <t>2013 Q2</t>
        </is>
      </c>
      <c r="D15" s="8" t="n">
        <v>111.205746192615</v>
      </c>
      <c r="E15" s="8" t="n">
        <v>108.674540730789</v>
      </c>
      <c r="F15" s="8" t="n">
        <v>2.32916140689856</v>
      </c>
    </row>
    <row r="16" ht="19" customHeight="1">
      <c r="A16" s="10" t="n">
        <v>2013</v>
      </c>
      <c r="B16" s="10" t="n">
        <v>3</v>
      </c>
      <c r="C16" s="6" t="inlineStr">
        <is>
          <t>2013 Q3</t>
        </is>
      </c>
      <c r="D16" s="8" t="n">
        <v>106.517639660823</v>
      </c>
      <c r="E16" s="8" t="n">
        <v>112.021404013206</v>
      </c>
      <c r="F16" s="8" t="n">
        <v>-4.91313637859304</v>
      </c>
    </row>
    <row r="17" ht="19" customHeight="1">
      <c r="A17" s="10" t="n">
        <v>2013</v>
      </c>
      <c r="B17" s="10" t="n">
        <v>4</v>
      </c>
      <c r="C17" s="6" t="inlineStr">
        <is>
          <t>2013 Q4</t>
        </is>
      </c>
      <c r="D17" s="8" t="n">
        <v>108.042368791302</v>
      </c>
      <c r="E17" s="8" t="n">
        <v>112.043606667623</v>
      </c>
      <c r="F17" s="8" t="n">
        <v>-3.57114341043118</v>
      </c>
    </row>
    <row r="18" ht="19" customHeight="1">
      <c r="A18" s="10" t="n">
        <v>2014</v>
      </c>
      <c r="B18" s="10" t="n">
        <v>1</v>
      </c>
      <c r="C18" s="6" t="inlineStr">
        <is>
          <t>2014 Q1</t>
        </is>
      </c>
      <c r="D18" s="8" t="n">
        <v>109.985285302654</v>
      </c>
      <c r="E18" s="8" t="n">
        <v>112.344264317549</v>
      </c>
      <c r="F18" s="8" t="n">
        <v>-2.09977699282194</v>
      </c>
    </row>
    <row r="19" ht="19" customHeight="1">
      <c r="A19" s="10" t="n">
        <v>2014</v>
      </c>
      <c r="B19" s="10" t="n">
        <v>2</v>
      </c>
      <c r="C19" s="6" t="inlineStr">
        <is>
          <t>2014 Q2</t>
        </is>
      </c>
      <c r="D19" s="8" t="n">
        <v>111.498689744988</v>
      </c>
      <c r="E19" s="8" t="n">
        <v>111.205746192615</v>
      </c>
      <c r="F19" s="8" t="n">
        <v>0.26342483406061</v>
      </c>
    </row>
    <row r="20" ht="19" customHeight="1">
      <c r="A20" s="10" t="n">
        <v>2014</v>
      </c>
      <c r="B20" s="10" t="n">
        <v>3</v>
      </c>
      <c r="C20" s="6" t="inlineStr">
        <is>
          <t>2014 Q3</t>
        </is>
      </c>
      <c r="D20" s="8" t="n">
        <v>104.211407968198</v>
      </c>
      <c r="E20" s="8" t="n">
        <v>106.517639660823</v>
      </c>
      <c r="F20" s="8" t="n">
        <v>-2.16511715802957</v>
      </c>
    </row>
    <row r="21" ht="19" customHeight="1">
      <c r="A21" s="10" t="n">
        <v>2014</v>
      </c>
      <c r="B21" s="10" t="n">
        <v>4</v>
      </c>
      <c r="C21" s="6" t="inlineStr">
        <is>
          <t>2014 Q4</t>
        </is>
      </c>
      <c r="D21" s="8" t="n">
        <v>99.4046630544031</v>
      </c>
      <c r="E21" s="8" t="n">
        <v>108.042368791302</v>
      </c>
      <c r="F21" s="8" t="n">
        <v>-7.9947393171137</v>
      </c>
    </row>
    <row r="22" ht="19" customHeight="1">
      <c r="A22" s="10" t="n">
        <v>2015</v>
      </c>
      <c r="B22" s="10" t="n">
        <v>1</v>
      </c>
      <c r="C22" s="6" t="inlineStr">
        <is>
          <t>2015 Q1</t>
        </is>
      </c>
      <c r="D22" s="8" t="n">
        <v>100.657732001964</v>
      </c>
      <c r="E22" s="8" t="n">
        <v>109.985285302654</v>
      </c>
      <c r="F22" s="8" t="n">
        <v>-8.4807283765489</v>
      </c>
    </row>
    <row r="23" ht="19" customHeight="1">
      <c r="A23" s="10" t="n">
        <v>2015</v>
      </c>
      <c r="B23" s="10" t="n">
        <v>2</v>
      </c>
      <c r="C23" s="6" t="inlineStr">
        <is>
          <t>2015 Q2</t>
        </is>
      </c>
      <c r="D23" s="8" t="n">
        <v>96.8474817130345</v>
      </c>
      <c r="E23" s="8" t="n">
        <v>111.498689744988</v>
      </c>
      <c r="F23" s="8" t="n">
        <v>-13.1402513029193</v>
      </c>
    </row>
    <row r="24" ht="19" customHeight="1">
      <c r="A24" s="10" t="n">
        <v>2015</v>
      </c>
      <c r="B24" s="10" t="n">
        <v>3</v>
      </c>
      <c r="C24" s="6" t="inlineStr">
        <is>
          <t>2015 Q3</t>
        </is>
      </c>
      <c r="D24" s="8" t="n">
        <v>92.7459060049042</v>
      </c>
      <c r="E24" s="8" t="n">
        <v>104.211407968198</v>
      </c>
      <c r="F24" s="8" t="n">
        <v>-11.002156277164</v>
      </c>
    </row>
    <row r="25" ht="19" customHeight="1">
      <c r="A25" s="10" t="n">
        <v>2015</v>
      </c>
      <c r="B25" s="10" t="n">
        <v>4</v>
      </c>
      <c r="C25" s="6" t="inlineStr">
        <is>
          <t>2015 Q4</t>
        </is>
      </c>
      <c r="D25" s="8" t="n">
        <v>90.3005619231251</v>
      </c>
      <c r="E25" s="8" t="n">
        <v>99.4046630544031</v>
      </c>
      <c r="F25" s="8" t="n">
        <v>-9.15862581446042</v>
      </c>
    </row>
    <row r="26" ht="19" customHeight="1">
      <c r="A26" s="10" t="n">
        <v>2016</v>
      </c>
      <c r="B26" s="10" t="n">
        <v>1</v>
      </c>
      <c r="C26" s="6" t="inlineStr">
        <is>
          <t>2016 Q1</t>
        </is>
      </c>
      <c r="D26" s="8" t="n">
        <v>91.66230580090431</v>
      </c>
      <c r="E26" s="8" t="n">
        <v>100.657732001964</v>
      </c>
      <c r="F26" s="8" t="n">
        <v>-8.936647013747329</v>
      </c>
    </row>
    <row r="27" ht="19" customHeight="1">
      <c r="A27" s="10" t="n">
        <v>2016</v>
      </c>
      <c r="B27" s="10" t="n">
        <v>2</v>
      </c>
      <c r="C27" s="6" t="inlineStr">
        <is>
          <t>2016 Q2</t>
        </is>
      </c>
      <c r="D27" s="8" t="n">
        <v>96.9846126235507</v>
      </c>
      <c r="E27" s="8" t="n">
        <v>96.8474817130345</v>
      </c>
      <c r="F27" s="8" t="n">
        <v>0.141594709630688</v>
      </c>
    </row>
    <row r="28" ht="19" customHeight="1">
      <c r="A28" s="10" t="n">
        <v>2016</v>
      </c>
      <c r="B28" s="10" t="n">
        <v>3</v>
      </c>
      <c r="C28" s="6" t="inlineStr">
        <is>
          <t>2016 Q3</t>
        </is>
      </c>
      <c r="D28" s="8" t="n">
        <v>100.864699533998</v>
      </c>
      <c r="E28" s="8" t="n">
        <v>92.7459060049042</v>
      </c>
      <c r="F28" s="8" t="n">
        <v>8.75380259767431</v>
      </c>
    </row>
    <row r="29" ht="19" customHeight="1">
      <c r="A29" s="10" t="n">
        <v>2016</v>
      </c>
      <c r="B29" s="10" t="n">
        <v>4</v>
      </c>
      <c r="C29" s="6" t="inlineStr">
        <is>
          <t>2016 Q4</t>
        </is>
      </c>
      <c r="D29" s="8" t="n">
        <v>101.835604997953</v>
      </c>
      <c r="E29" s="8" t="n">
        <v>90.3005619231251</v>
      </c>
      <c r="F29" s="8" t="n">
        <v>12.7740545896579</v>
      </c>
    </row>
    <row r="30" ht="19" customHeight="1">
      <c r="A30" s="10" t="n">
        <v>2017</v>
      </c>
      <c r="B30" s="10" t="n">
        <v>1</v>
      </c>
      <c r="C30" s="6" t="inlineStr">
        <is>
          <t>2017 Q1</t>
        </is>
      </c>
      <c r="D30" s="8" t="n">
        <v>100.125779631695</v>
      </c>
      <c r="E30" s="8" t="n">
        <v>91.66230580090431</v>
      </c>
      <c r="F30" s="8" t="n">
        <v>9.23331980015236</v>
      </c>
    </row>
    <row r="31" ht="19" customHeight="1">
      <c r="A31" s="10" t="n">
        <v>2017</v>
      </c>
      <c r="B31" s="10" t="n">
        <v>2</v>
      </c>
      <c r="C31" s="6" t="inlineStr">
        <is>
          <t>2017 Q2</t>
        </is>
      </c>
      <c r="D31" s="8" t="n">
        <v>99.4605526807123</v>
      </c>
      <c r="E31" s="8" t="n">
        <v>96.9846126235507</v>
      </c>
      <c r="F31" s="8" t="n">
        <v>2.55292049963849</v>
      </c>
    </row>
    <row r="32" ht="19" customHeight="1">
      <c r="A32" s="10" t="n">
        <v>2017</v>
      </c>
      <c r="B32" s="10" t="n">
        <v>3</v>
      </c>
      <c r="C32" s="6" t="inlineStr">
        <is>
          <t>2017 Q3</t>
        </is>
      </c>
      <c r="D32" s="8" t="n">
        <v>102.480667511988</v>
      </c>
      <c r="E32" s="8" t="n">
        <v>100.864699533998</v>
      </c>
      <c r="F32" s="8" t="n">
        <v>1.60211450136303</v>
      </c>
    </row>
    <row r="33" ht="19" customHeight="1">
      <c r="A33" s="10" t="n">
        <v>2017</v>
      </c>
      <c r="B33" s="10" t="n">
        <v>4</v>
      </c>
      <c r="C33" s="6" t="inlineStr">
        <is>
          <t>2017 Q4</t>
        </is>
      </c>
      <c r="D33" s="8" t="n">
        <v>100.792675769869</v>
      </c>
      <c r="E33" s="8" t="n">
        <v>101.835604997953</v>
      </c>
      <c r="F33" s="8" t="n">
        <v>-1.0241302421728</v>
      </c>
    </row>
    <row r="34" ht="19" customHeight="1">
      <c r="A34" s="10" t="n">
        <v>2018</v>
      </c>
      <c r="B34" s="10" t="n">
        <v>1</v>
      </c>
      <c r="C34" s="6" t="inlineStr">
        <is>
          <t>2018 Q1</t>
        </is>
      </c>
      <c r="D34" s="8" t="n">
        <v>96.02404012089779</v>
      </c>
      <c r="E34" s="8" t="n">
        <v>100.125779631695</v>
      </c>
      <c r="F34" s="8" t="n">
        <v>-4.09658683895945</v>
      </c>
    </row>
    <row r="35" ht="19" customHeight="1">
      <c r="A35" s="10" t="n">
        <v>2018</v>
      </c>
      <c r="B35" s="10" t="n">
        <v>2</v>
      </c>
      <c r="C35" s="6" t="inlineStr">
        <is>
          <t>2018 Q2</t>
        </is>
      </c>
      <c r="D35" s="8" t="n">
        <v>96.1737638878632</v>
      </c>
      <c r="E35" s="8" t="n">
        <v>99.4605526807123</v>
      </c>
      <c r="F35" s="8" t="n">
        <v>-3.30461545231933</v>
      </c>
    </row>
    <row r="36" ht="19" customHeight="1">
      <c r="A36" s="10" t="n">
        <v>2018</v>
      </c>
      <c r="B36" s="10" t="n">
        <v>3</v>
      </c>
      <c r="C36" s="6" t="inlineStr">
        <is>
          <t>2018 Q3</t>
        </is>
      </c>
      <c r="D36" s="8" t="n">
        <v>93.2694805076009</v>
      </c>
      <c r="E36" s="8" t="n">
        <v>102.480667511988</v>
      </c>
      <c r="F36" s="8" t="n">
        <v>-8.98821917149397</v>
      </c>
    </row>
    <row r="37" ht="19" customHeight="1">
      <c r="A37" s="10" t="n">
        <v>2018</v>
      </c>
      <c r="B37" s="10" t="n">
        <v>4</v>
      </c>
      <c r="C37" s="6" t="inlineStr">
        <is>
          <t>2018 Q4</t>
        </is>
      </c>
      <c r="D37" s="8" t="n">
        <v>90.7369363173618</v>
      </c>
      <c r="E37" s="8" t="n">
        <v>100.792675769869</v>
      </c>
      <c r="F37" s="8" t="n">
        <v>-9.976656910534739</v>
      </c>
    </row>
    <row r="38" ht="19" customHeight="1">
      <c r="A38" s="10" t="n">
        <v>2019</v>
      </c>
      <c r="B38" s="10" t="n">
        <v>1</v>
      </c>
      <c r="C38" s="6" t="inlineStr">
        <is>
          <t>2019 Q1</t>
        </is>
      </c>
      <c r="D38" s="8" t="n">
        <v>93.8324987094736</v>
      </c>
      <c r="E38" s="8" t="n">
        <v>96.02404012089779</v>
      </c>
      <c r="F38" s="8" t="n">
        <v>-2.2822841120463</v>
      </c>
    </row>
    <row r="39" ht="19" customHeight="1">
      <c r="A39" s="10" t="n">
        <v>2019</v>
      </c>
      <c r="B39" s="10" t="n">
        <v>2</v>
      </c>
      <c r="C39" s="6" t="inlineStr">
        <is>
          <t>2019 Q2</t>
        </is>
      </c>
      <c r="D39" s="8" t="n">
        <v>94.8842784155444</v>
      </c>
      <c r="E39" s="8" t="n">
        <v>96.1737638878632</v>
      </c>
      <c r="F39" s="8" t="n">
        <v>-1.34078715461562</v>
      </c>
    </row>
    <row r="40" ht="19" customHeight="1">
      <c r="A40" s="10" t="n">
        <v>2019</v>
      </c>
      <c r="B40" s="10" t="n">
        <v>3</v>
      </c>
      <c r="C40" s="6" t="inlineStr">
        <is>
          <t>2019 Q3</t>
        </is>
      </c>
      <c r="D40" s="8" t="n">
        <v>94.5983508132319</v>
      </c>
      <c r="E40" s="8" t="n">
        <v>93.2694805076009</v>
      </c>
      <c r="F40" s="8" t="n">
        <v>1.42476434777905</v>
      </c>
    </row>
    <row r="41" ht="19" customHeight="1">
      <c r="A41" s="10" t="n">
        <v>2019</v>
      </c>
      <c r="B41" s="10" t="n">
        <v>4</v>
      </c>
      <c r="C41" s="6" t="inlineStr">
        <is>
          <t>2019 Q4</t>
        </is>
      </c>
      <c r="D41" s="8" t="n">
        <v>98.5900431134575</v>
      </c>
      <c r="E41" s="8" t="n">
        <v>90.7369363173618</v>
      </c>
      <c r="F41" s="8" t="n">
        <v>8.654807088293911</v>
      </c>
    </row>
    <row r="42" ht="19" customHeight="1">
      <c r="A42" s="10" t="n">
        <v>2020</v>
      </c>
      <c r="B42" s="10" t="n">
        <v>1</v>
      </c>
      <c r="C42" s="6" t="inlineStr">
        <is>
          <t>2020 Q1</t>
        </is>
      </c>
      <c r="D42" s="8" t="n">
        <v>101.264856657347</v>
      </c>
      <c r="E42" s="8" t="n">
        <v>93.8324987094736</v>
      </c>
      <c r="F42" s="8" t="n">
        <v>7.92087821393919</v>
      </c>
    </row>
    <row r="43" ht="19" customHeight="1">
      <c r="A43" s="10" t="n">
        <v>2020</v>
      </c>
      <c r="B43" s="10" t="n">
        <v>2</v>
      </c>
      <c r="C43" s="6" t="inlineStr">
        <is>
          <t>2020 Q2</t>
        </is>
      </c>
      <c r="D43" s="8" t="n">
        <v>94.2610802411244</v>
      </c>
      <c r="E43" s="8" t="n">
        <v>94.8842784155444</v>
      </c>
      <c r="F43" s="8" t="n">
        <v>-0.656798138560644</v>
      </c>
    </row>
    <row r="44" ht="19" customHeight="1">
      <c r="A44" s="10" t="n">
        <v>2020</v>
      </c>
      <c r="B44" s="10" t="n">
        <v>3</v>
      </c>
      <c r="C44" s="6" t="inlineStr">
        <is>
          <t>2020 Q3</t>
        </is>
      </c>
      <c r="D44" s="8" t="n">
        <v>97.88852553233011</v>
      </c>
      <c r="E44" s="8" t="n">
        <v>94.5983508132319</v>
      </c>
      <c r="F44" s="8" t="n">
        <v>3.47804659469599</v>
      </c>
    </row>
    <row r="45" ht="19" customHeight="1">
      <c r="A45" s="10" t="n">
        <v>2020</v>
      </c>
      <c r="B45" s="10" t="n">
        <v>4</v>
      </c>
      <c r="C45" s="6" t="inlineStr">
        <is>
          <t>2020 Q4</t>
        </is>
      </c>
      <c r="D45" s="8" t="n">
        <v>107.405441783652</v>
      </c>
      <c r="E45" s="8" t="n">
        <v>98.5900431134575</v>
      </c>
      <c r="F45" s="8" t="n">
        <v>8.9414695356711</v>
      </c>
    </row>
    <row r="46" ht="19" customHeight="1">
      <c r="A46" s="10" t="n">
        <v>2021</v>
      </c>
      <c r="B46" s="10" t="n">
        <v>1</v>
      </c>
      <c r="C46" s="6" t="inlineStr">
        <is>
          <t>2021 Q1</t>
        </is>
      </c>
      <c r="D46" s="8" t="n">
        <v>106.418456967928</v>
      </c>
      <c r="E46" s="8" t="n">
        <v>101.264856657347</v>
      </c>
      <c r="F46" s="8" t="n">
        <v>5.08922886053087</v>
      </c>
    </row>
    <row r="47" ht="19" customHeight="1">
      <c r="A47" s="10" t="n">
        <v>2021</v>
      </c>
      <c r="B47" s="10" t="n">
        <v>2</v>
      </c>
      <c r="C47" s="6" t="inlineStr">
        <is>
          <t>2021 Q2</t>
        </is>
      </c>
      <c r="D47" s="8" t="n">
        <v>114.551815876528</v>
      </c>
      <c r="E47" s="8" t="n">
        <v>94.2610802411244</v>
      </c>
      <c r="F47" s="8" t="n">
        <v>21.5261013172124</v>
      </c>
    </row>
    <row r="48" ht="19" customHeight="1">
      <c r="A48" s="10" t="n">
        <v>2021</v>
      </c>
      <c r="B48" s="10" t="n">
        <v>3</v>
      </c>
      <c r="C48" s="6" t="inlineStr">
        <is>
          <t>2021 Q3</t>
        </is>
      </c>
      <c r="D48" s="8" t="n">
        <v>116.298331246585</v>
      </c>
      <c r="E48" s="8" t="n">
        <v>97.88852553233011</v>
      </c>
      <c r="F48" s="8" t="n">
        <v>18.8069087915464</v>
      </c>
    </row>
    <row r="49" ht="19" customHeight="1">
      <c r="A49" s="10" t="n">
        <v>2021</v>
      </c>
      <c r="B49" s="10" t="n">
        <v>4</v>
      </c>
      <c r="C49" s="6" t="inlineStr">
        <is>
          <t>2021 Q4</t>
        </is>
      </c>
      <c r="D49" s="8" t="n">
        <v>122.679602624024</v>
      </c>
      <c r="E49" s="8" t="n">
        <v>107.405441783652</v>
      </c>
      <c r="F49" s="8" t="n">
        <v>14.2210306914792</v>
      </c>
    </row>
    <row r="50" ht="19" customHeight="1">
      <c r="A50" s="10" t="n">
        <v>2022</v>
      </c>
      <c r="B50" s="10" t="n">
        <v>1</v>
      </c>
      <c r="C50" s="6" t="inlineStr">
        <is>
          <t>2022 Q1</t>
        </is>
      </c>
      <c r="D50" s="8" t="n">
        <v>124.25343875034</v>
      </c>
      <c r="E50" s="8" t="n">
        <v>106.418456967928</v>
      </c>
      <c r="F50" s="8" t="n">
        <v>16.7592937264516</v>
      </c>
    </row>
    <row r="51" ht="19" customHeight="1">
      <c r="A51" s="10" t="n">
        <v>2022</v>
      </c>
      <c r="B51" s="10" t="n">
        <v>2</v>
      </c>
      <c r="C51" s="6" t="inlineStr">
        <is>
          <t>2022 Q2</t>
        </is>
      </c>
      <c r="D51" s="8" t="n">
        <v>134.351432934678</v>
      </c>
      <c r="E51" s="8" t="n">
        <v>114.551815876528</v>
      </c>
      <c r="F51" s="8" t="n">
        <v>17.2844200736996</v>
      </c>
    </row>
    <row r="52" ht="19" customHeight="1">
      <c r="A52" s="10" t="n">
        <v>2022</v>
      </c>
      <c r="B52" s="10" t="n">
        <v>3</v>
      </c>
      <c r="C52" s="6" t="inlineStr">
        <is>
          <t>2022 Q3</t>
        </is>
      </c>
      <c r="D52" s="8" t="n">
        <v>118.584751746656</v>
      </c>
      <c r="E52" s="8" t="n">
        <v>116.298331246585</v>
      </c>
      <c r="F52" s="8" t="n">
        <v>1.96599596534466</v>
      </c>
    </row>
    <row r="53" ht="19" customHeight="1">
      <c r="A53" s="10" t="n">
        <v>2022</v>
      </c>
      <c r="B53" s="10" t="n">
        <v>4</v>
      </c>
      <c r="C53" s="6" t="inlineStr">
        <is>
          <t>2022 Q4</t>
        </is>
      </c>
      <c r="D53" s="8" t="n">
        <v>115.210051245214</v>
      </c>
      <c r="E53" s="8" t="n">
        <v>122.679602624024</v>
      </c>
      <c r="F53" s="8" t="n">
        <v>-6.08866610181539</v>
      </c>
    </row>
    <row r="54" ht="19" customHeight="1">
      <c r="A54" s="10" t="n">
        <v>2023</v>
      </c>
      <c r="B54" s="10" t="n">
        <v>1</v>
      </c>
      <c r="C54" s="6" t="inlineStr">
        <is>
          <t>2023 Q1</t>
        </is>
      </c>
      <c r="D54" s="8" t="n">
        <v>114.034689515825</v>
      </c>
      <c r="E54" s="8" t="n">
        <v>124.25343875034</v>
      </c>
      <c r="F54" s="8" t="n">
        <v>-8.224117849203459</v>
      </c>
    </row>
    <row r="55" ht="19" customHeight="1">
      <c r="A55" s="10" t="n">
        <v>2023</v>
      </c>
      <c r="B55" s="10" t="n">
        <v>2</v>
      </c>
      <c r="C55" s="6" t="inlineStr">
        <is>
          <t>2023 Q2</t>
        </is>
      </c>
      <c r="D55" s="8" t="n">
        <v>109.857789884183</v>
      </c>
      <c r="E55" s="8" t="n">
        <v>134.351432934678</v>
      </c>
      <c r="F55" s="8" t="n">
        <v>-18.2310247948031</v>
      </c>
    </row>
    <row r="56" ht="19" customHeight="1">
      <c r="A56" s="10" t="n">
        <v>2023</v>
      </c>
      <c r="B56" s="10" t="n">
        <v>3</v>
      </c>
      <c r="C56" s="6" t="inlineStr">
        <is>
          <t>2023 Q3</t>
        </is>
      </c>
      <c r="D56" s="8" t="n">
        <v>107.510614988168</v>
      </c>
      <c r="E56" s="8" t="n">
        <v>118.584751746656</v>
      </c>
      <c r="F56" s="8" t="n">
        <v>-9.338584088911441</v>
      </c>
    </row>
    <row r="57" ht="19" customHeight="1">
      <c r="A57" s="10" t="n">
        <v>2023</v>
      </c>
      <c r="B57" s="10" t="n">
        <v>4</v>
      </c>
      <c r="C57" s="6" t="inlineStr">
        <is>
          <t>2023 Q4</t>
        </is>
      </c>
      <c r="D57" s="8" t="n">
        <v>105.339533846651</v>
      </c>
      <c r="E57" s="8" t="n">
        <v>115.210051245214</v>
      </c>
      <c r="F57" s="8" t="n">
        <v>-8.56740995414912</v>
      </c>
    </row>
    <row r="58" ht="19" customHeight="1">
      <c r="A58" s="10" t="n">
        <v>2024</v>
      </c>
      <c r="B58" s="10" t="n">
        <v>1</v>
      </c>
      <c r="C58" s="6" t="inlineStr">
        <is>
          <t>2024 Q1</t>
        </is>
      </c>
      <c r="D58" s="8" t="n">
        <v>102.582568583479</v>
      </c>
      <c r="E58" s="8" t="n">
        <v>114.034689515825</v>
      </c>
      <c r="F58" s="8" t="n">
        <v>-10.0426641936497</v>
      </c>
    </row>
    <row r="59" ht="19" customHeight="1">
      <c r="A59" s="10" t="n">
        <v>2024</v>
      </c>
      <c r="B59" s="10" t="n">
        <v>2</v>
      </c>
      <c r="C59" s="6" t="inlineStr">
        <is>
          <t>2024 Q2</t>
        </is>
      </c>
      <c r="D59" s="8" t="n">
        <v>104.519793640698</v>
      </c>
      <c r="E59" s="8" t="n">
        <v>109.857789884183</v>
      </c>
      <c r="F59" s="8" t="n">
        <v>-4.85900567371084</v>
      </c>
    </row>
    <row r="60" ht="19" customHeight="1">
      <c r="A60" s="10" t="n">
        <v>2024</v>
      </c>
      <c r="B60" s="10" t="n">
        <v>3</v>
      </c>
      <c r="C60" s="6" t="inlineStr">
        <is>
          <t>2024 Q3</t>
        </is>
      </c>
      <c r="D60" s="8" t="n">
        <v>106.377099329068</v>
      </c>
      <c r="E60" s="8" t="n">
        <v>107.510614988168</v>
      </c>
      <c r="F60" s="8" t="n">
        <v>-1.05432906250624</v>
      </c>
    </row>
    <row r="61" ht="19" customHeight="1">
      <c r="A61" s="10" t="n">
        <v>2024</v>
      </c>
      <c r="B61" s="10" t="n">
        <v>4</v>
      </c>
      <c r="C61" s="6" t="inlineStr">
        <is>
          <t>2024 Q4</t>
        </is>
      </c>
      <c r="D61" s="8" t="n">
        <v>110.645361455409</v>
      </c>
      <c r="E61" s="8" t="n">
        <v>105.339533846651</v>
      </c>
      <c r="F61" s="8" t="n">
        <v>5.03688161035707</v>
      </c>
    </row>
    <row r="62" ht="19" customHeight="1">
      <c r="A62" s="10" t="n">
        <v>2025</v>
      </c>
      <c r="B62" s="10" t="n">
        <v>1</v>
      </c>
      <c r="C62" s="6" t="inlineStr">
        <is>
          <t>2025 Q1</t>
        </is>
      </c>
      <c r="D62" s="8" t="n">
        <v>108.711496383905</v>
      </c>
      <c r="E62" s="8" t="n">
        <v>102.582568583479</v>
      </c>
      <c r="F62" s="8" t="n">
        <v>5.97462891118643</v>
      </c>
    </row>
    <row r="63" ht="19" customHeight="1">
      <c r="A63" s="10" t="n">
        <v>2025</v>
      </c>
      <c r="B63" s="10" t="n">
        <v>2</v>
      </c>
      <c r="C63" s="6" t="inlineStr">
        <is>
          <t>2025 Q2</t>
        </is>
      </c>
      <c r="D63" s="8" t="n">
        <v>110.11230408799</v>
      </c>
      <c r="E63" s="8" t="n">
        <v>104.519793640698</v>
      </c>
      <c r="F63" s="8" t="n">
        <v>5.35067115279353</v>
      </c>
    </row>
    <row r="64" ht="19" customHeight="1">
      <c r="A64" s="10" t="n">
        <v>2025</v>
      </c>
      <c r="B64" s="10" t="n">
        <v>3</v>
      </c>
      <c r="C64" s="6" t="inlineStr">
        <is>
          <t>2025 Q3</t>
        </is>
      </c>
      <c r="D64" s="8" t="n">
        <v>111.556453813275</v>
      </c>
      <c r="E64" s="8" t="n">
        <v>106.377099329068</v>
      </c>
      <c r="F64" s="8" t="n">
        <v>4.86886229919206</v>
      </c>
    </row>
    <row r="65" ht="19" customHeight="1">
      <c r="A65" s="10" t="n">
        <v>2025</v>
      </c>
      <c r="B65" s="10" t="n">
        <v>4</v>
      </c>
      <c r="C65" s="6" t="inlineStr">
        <is>
          <t>2025 Q4</t>
        </is>
      </c>
      <c r="D65" s="8" t="n">
        <v>108.04902194813</v>
      </c>
      <c r="E65" s="8" t="n">
        <v>110.645361455409</v>
      </c>
      <c r="F65" s="8" t="n">
        <v>-2.34654166530482</v>
      </c>
    </row>
  </sheetData>
  <autoFilter ref="A1:F6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1" customWidth="1" min="4" max="4"/>
    <col width="21" customWidth="1" min="5" max="5"/>
    <col width="22" customWidth="1" min="6" max="6"/>
  </cols>
  <sheetData>
    <row r="1" ht="26" customHeight="1">
      <c r="A1" s="5" t="inlineStr">
        <is>
          <t>year</t>
        </is>
      </c>
      <c r="B1" s="5" t="inlineStr">
        <is>
          <t>quarter</t>
        </is>
      </c>
      <c r="C1" s="5" t="inlineStr">
        <is>
          <t>period</t>
        </is>
      </c>
      <c r="D1" s="5" t="inlineStr">
        <is>
          <t>ffr_q</t>
        </is>
      </c>
      <c r="E1" s="5" t="inlineStr">
        <is>
          <t>ffr_lag1</t>
        </is>
      </c>
      <c r="F1" s="5" t="inlineStr">
        <is>
          <t>ffr_change</t>
        </is>
      </c>
    </row>
    <row r="2" ht="19" customHeight="1">
      <c r="A2" s="10" t="n">
        <v>2010</v>
      </c>
      <c r="B2" s="10" t="n">
        <v>1</v>
      </c>
      <c r="C2" s="6" t="inlineStr">
        <is>
          <t>2010 Q1</t>
        </is>
      </c>
      <c r="D2" s="8" t="n">
        <v>0.133333333333333</v>
      </c>
      <c r="E2" s="9" t="inlineStr"/>
      <c r="F2" s="9" t="inlineStr"/>
    </row>
    <row r="3" ht="19" customHeight="1">
      <c r="A3" s="10" t="n">
        <v>2010</v>
      </c>
      <c r="B3" s="10" t="n">
        <v>2</v>
      </c>
      <c r="C3" s="6" t="inlineStr">
        <is>
          <t>2010 Q2</t>
        </is>
      </c>
      <c r="D3" s="8" t="n">
        <v>0.193333333333333</v>
      </c>
      <c r="E3" s="8" t="n">
        <v>0.133333333333333</v>
      </c>
      <c r="F3" s="8" t="n">
        <v>0.06</v>
      </c>
    </row>
    <row r="4" ht="19" customHeight="1">
      <c r="A4" s="10" t="n">
        <v>2010</v>
      </c>
      <c r="B4" s="10" t="n">
        <v>3</v>
      </c>
      <c r="C4" s="6" t="inlineStr">
        <is>
          <t>2010 Q3</t>
        </is>
      </c>
      <c r="D4" s="8" t="n">
        <v>0.186666666666667</v>
      </c>
      <c r="E4" s="8" t="n">
        <v>0.193333333333333</v>
      </c>
      <c r="F4" s="8" t="n">
        <v>-0.0066666666666666</v>
      </c>
    </row>
    <row r="5" ht="19" customHeight="1">
      <c r="A5" s="10" t="n">
        <v>2010</v>
      </c>
      <c r="B5" s="10" t="n">
        <v>4</v>
      </c>
      <c r="C5" s="6" t="inlineStr">
        <is>
          <t>2010 Q4</t>
        </is>
      </c>
      <c r="D5" s="8" t="n">
        <v>0.186666666666667</v>
      </c>
      <c r="E5" s="8" t="n">
        <v>0.186666666666667</v>
      </c>
      <c r="F5" s="8" t="n">
        <v>0</v>
      </c>
    </row>
    <row r="6" ht="19" customHeight="1">
      <c r="A6" s="10" t="n">
        <v>2011</v>
      </c>
      <c r="B6" s="10" t="n">
        <v>1</v>
      </c>
      <c r="C6" s="6" t="inlineStr">
        <is>
          <t>2011 Q1</t>
        </is>
      </c>
      <c r="D6" s="8" t="n">
        <v>0.156666666666667</v>
      </c>
      <c r="E6" s="8" t="n">
        <v>0.186666666666667</v>
      </c>
      <c r="F6" s="8" t="n">
        <v>-0.03</v>
      </c>
    </row>
    <row r="7" ht="19" customHeight="1">
      <c r="A7" s="10" t="n">
        <v>2011</v>
      </c>
      <c r="B7" s="10" t="n">
        <v>2</v>
      </c>
      <c r="C7" s="6" t="inlineStr">
        <is>
          <t>2011 Q2</t>
        </is>
      </c>
      <c r="D7" s="8" t="n">
        <v>0.0933333333333333</v>
      </c>
      <c r="E7" s="8" t="n">
        <v>0.156666666666667</v>
      </c>
      <c r="F7" s="8" t="n">
        <v>-0.0633333333333333</v>
      </c>
    </row>
    <row r="8" ht="19" customHeight="1">
      <c r="A8" s="10" t="n">
        <v>2011</v>
      </c>
      <c r="B8" s="10" t="n">
        <v>3</v>
      </c>
      <c r="C8" s="6" t="inlineStr">
        <is>
          <t>2011 Q3</t>
        </is>
      </c>
      <c r="D8" s="8" t="n">
        <v>0.0833333333333333</v>
      </c>
      <c r="E8" s="8" t="n">
        <v>0.0933333333333333</v>
      </c>
      <c r="F8" s="8" t="n">
        <v>-0.01</v>
      </c>
    </row>
    <row r="9" ht="19" customHeight="1">
      <c r="A9" s="10" t="n">
        <v>2011</v>
      </c>
      <c r="B9" s="10" t="n">
        <v>4</v>
      </c>
      <c r="C9" s="6" t="inlineStr">
        <is>
          <t>2011 Q4</t>
        </is>
      </c>
      <c r="D9" s="8" t="n">
        <v>0.07333333333333331</v>
      </c>
      <c r="E9" s="8" t="n">
        <v>0.0833333333333333</v>
      </c>
      <c r="F9" s="8" t="n">
        <v>-0.01</v>
      </c>
    </row>
    <row r="10" ht="19" customHeight="1">
      <c r="A10" s="10" t="n">
        <v>2012</v>
      </c>
      <c r="B10" s="10" t="n">
        <v>1</v>
      </c>
      <c r="C10" s="6" t="inlineStr">
        <is>
          <t>2012 Q1</t>
        </is>
      </c>
      <c r="D10" s="8" t="n">
        <v>0.103333333333333</v>
      </c>
      <c r="E10" s="8" t="n">
        <v>0.07333333333333331</v>
      </c>
      <c r="F10" s="8" t="n">
        <v>0.03</v>
      </c>
    </row>
    <row r="11" ht="19" customHeight="1">
      <c r="A11" s="10" t="n">
        <v>2012</v>
      </c>
      <c r="B11" s="10" t="n">
        <v>2</v>
      </c>
      <c r="C11" s="6" t="inlineStr">
        <is>
          <t>2012 Q2</t>
        </is>
      </c>
      <c r="D11" s="8" t="n">
        <v>0.153333333333333</v>
      </c>
      <c r="E11" s="8" t="n">
        <v>0.103333333333333</v>
      </c>
      <c r="F11" s="8" t="n">
        <v>0.05</v>
      </c>
    </row>
    <row r="12" ht="19" customHeight="1">
      <c r="A12" s="10" t="n">
        <v>2012</v>
      </c>
      <c r="B12" s="10" t="n">
        <v>3</v>
      </c>
      <c r="C12" s="6" t="inlineStr">
        <is>
          <t>2012 Q3</t>
        </is>
      </c>
      <c r="D12" s="8" t="n">
        <v>0.143333333333333</v>
      </c>
      <c r="E12" s="8" t="n">
        <v>0.153333333333333</v>
      </c>
      <c r="F12" s="8" t="n">
        <v>-0.01</v>
      </c>
    </row>
    <row r="13" ht="19" customHeight="1">
      <c r="A13" s="10" t="n">
        <v>2012</v>
      </c>
      <c r="B13" s="10" t="n">
        <v>4</v>
      </c>
      <c r="C13" s="6" t="inlineStr">
        <is>
          <t>2012 Q4</t>
        </is>
      </c>
      <c r="D13" s="8" t="n">
        <v>0.16</v>
      </c>
      <c r="E13" s="8" t="n">
        <v>0.143333333333333</v>
      </c>
      <c r="F13" s="8" t="n">
        <v>0.0166666666666667</v>
      </c>
    </row>
    <row r="14" ht="19" customHeight="1">
      <c r="A14" s="10" t="n">
        <v>2013</v>
      </c>
      <c r="B14" s="10" t="n">
        <v>1</v>
      </c>
      <c r="C14" s="6" t="inlineStr">
        <is>
          <t>2013 Q1</t>
        </is>
      </c>
      <c r="D14" s="8" t="n">
        <v>0.143333333333333</v>
      </c>
      <c r="E14" s="8" t="n">
        <v>0.16</v>
      </c>
      <c r="F14" s="8" t="n">
        <v>-0.0166666666666667</v>
      </c>
    </row>
    <row r="15" ht="19" customHeight="1">
      <c r="A15" s="10" t="n">
        <v>2013</v>
      </c>
      <c r="B15" s="10" t="n">
        <v>2</v>
      </c>
      <c r="C15" s="6" t="inlineStr">
        <is>
          <t>2013 Q2</t>
        </is>
      </c>
      <c r="D15" s="8" t="n">
        <v>0.116666666666667</v>
      </c>
      <c r="E15" s="8" t="n">
        <v>0.143333333333333</v>
      </c>
      <c r="F15" s="8" t="n">
        <v>-0.0266666666666667</v>
      </c>
    </row>
    <row r="16" ht="19" customHeight="1">
      <c r="A16" s="10" t="n">
        <v>2013</v>
      </c>
      <c r="B16" s="10" t="n">
        <v>3</v>
      </c>
      <c r="C16" s="6" t="inlineStr">
        <is>
          <t>2013 Q3</t>
        </is>
      </c>
      <c r="D16" s="8" t="n">
        <v>0.0833333333333333</v>
      </c>
      <c r="E16" s="8" t="n">
        <v>0.116666666666667</v>
      </c>
      <c r="F16" s="8" t="n">
        <v>-0.0333333333333333</v>
      </c>
    </row>
    <row r="17" ht="19" customHeight="1">
      <c r="A17" s="10" t="n">
        <v>2013</v>
      </c>
      <c r="B17" s="10" t="n">
        <v>4</v>
      </c>
      <c r="C17" s="6" t="inlineStr">
        <is>
          <t>2013 Q4</t>
        </is>
      </c>
      <c r="D17" s="8" t="n">
        <v>0.0866666666666667</v>
      </c>
      <c r="E17" s="8" t="n">
        <v>0.0833333333333333</v>
      </c>
      <c r="F17" s="8" t="n">
        <v>0.0033333333333333</v>
      </c>
    </row>
    <row r="18" ht="19" customHeight="1">
      <c r="A18" s="10" t="n">
        <v>2014</v>
      </c>
      <c r="B18" s="10" t="n">
        <v>1</v>
      </c>
      <c r="C18" s="6" t="inlineStr">
        <is>
          <t>2014 Q1</t>
        </is>
      </c>
      <c r="D18" s="8" t="n">
        <v>0.07333333333333331</v>
      </c>
      <c r="E18" s="8" t="n">
        <v>0.0866666666666667</v>
      </c>
      <c r="F18" s="8" t="n">
        <v>-0.0133333333333333</v>
      </c>
    </row>
    <row r="19" ht="19" customHeight="1">
      <c r="A19" s="10" t="n">
        <v>2014</v>
      </c>
      <c r="B19" s="10" t="n">
        <v>2</v>
      </c>
      <c r="C19" s="6" t="inlineStr">
        <is>
          <t>2014 Q2</t>
        </is>
      </c>
      <c r="D19" s="8" t="n">
        <v>0.0933333333333333</v>
      </c>
      <c r="E19" s="8" t="n">
        <v>0.07333333333333331</v>
      </c>
      <c r="F19" s="8" t="n">
        <v>0.02</v>
      </c>
    </row>
    <row r="20" ht="19" customHeight="1">
      <c r="A20" s="10" t="n">
        <v>2014</v>
      </c>
      <c r="B20" s="10" t="n">
        <v>3</v>
      </c>
      <c r="C20" s="6" t="inlineStr">
        <is>
          <t>2014 Q3</t>
        </is>
      </c>
      <c r="D20" s="8" t="n">
        <v>0.09</v>
      </c>
      <c r="E20" s="8" t="n">
        <v>0.0933333333333333</v>
      </c>
      <c r="F20" s="8" t="n">
        <v>-0.0033333333333333</v>
      </c>
    </row>
    <row r="21" ht="19" customHeight="1">
      <c r="A21" s="10" t="n">
        <v>2014</v>
      </c>
      <c r="B21" s="10" t="n">
        <v>4</v>
      </c>
      <c r="C21" s="6" t="inlineStr">
        <is>
          <t>2014 Q4</t>
        </is>
      </c>
      <c r="D21" s="8" t="n">
        <v>0.1</v>
      </c>
      <c r="E21" s="8" t="n">
        <v>0.09</v>
      </c>
      <c r="F21" s="8" t="n">
        <v>0.01</v>
      </c>
    </row>
    <row r="22" ht="19" customHeight="1">
      <c r="A22" s="10" t="n">
        <v>2015</v>
      </c>
      <c r="B22" s="10" t="n">
        <v>1</v>
      </c>
      <c r="C22" s="6" t="inlineStr">
        <is>
          <t>2015 Q1</t>
        </is>
      </c>
      <c r="D22" s="8" t="n">
        <v>0.11</v>
      </c>
      <c r="E22" s="8" t="n">
        <v>0.1</v>
      </c>
      <c r="F22" s="8" t="n">
        <v>0.01</v>
      </c>
    </row>
    <row r="23" ht="19" customHeight="1">
      <c r="A23" s="10" t="n">
        <v>2015</v>
      </c>
      <c r="B23" s="10" t="n">
        <v>2</v>
      </c>
      <c r="C23" s="6" t="inlineStr">
        <is>
          <t>2015 Q2</t>
        </is>
      </c>
      <c r="D23" s="8" t="n">
        <v>0.123333333333333</v>
      </c>
      <c r="E23" s="8" t="n">
        <v>0.11</v>
      </c>
      <c r="F23" s="8" t="n">
        <v>0.0133333333333333</v>
      </c>
    </row>
    <row r="24" ht="19" customHeight="1">
      <c r="A24" s="10" t="n">
        <v>2015</v>
      </c>
      <c r="B24" s="10" t="n">
        <v>3</v>
      </c>
      <c r="C24" s="6" t="inlineStr">
        <is>
          <t>2015 Q3</t>
        </is>
      </c>
      <c r="D24" s="8" t="n">
        <v>0.136666666666667</v>
      </c>
      <c r="E24" s="8" t="n">
        <v>0.123333333333333</v>
      </c>
      <c r="F24" s="8" t="n">
        <v>0.0133333333333333</v>
      </c>
    </row>
    <row r="25" ht="19" customHeight="1">
      <c r="A25" s="10" t="n">
        <v>2015</v>
      </c>
      <c r="B25" s="10" t="n">
        <v>4</v>
      </c>
      <c r="C25" s="6" t="inlineStr">
        <is>
          <t>2015 Q4</t>
        </is>
      </c>
      <c r="D25" s="8" t="n">
        <v>0.16</v>
      </c>
      <c r="E25" s="8" t="n">
        <v>0.136666666666667</v>
      </c>
      <c r="F25" s="8" t="n">
        <v>0.0233333333333333</v>
      </c>
    </row>
    <row r="26" ht="19" customHeight="1">
      <c r="A26" s="10" t="n">
        <v>2016</v>
      </c>
      <c r="B26" s="10" t="n">
        <v>1</v>
      </c>
      <c r="C26" s="6" t="inlineStr">
        <is>
          <t>2016 Q1</t>
        </is>
      </c>
      <c r="D26" s="8" t="n">
        <v>0.36</v>
      </c>
      <c r="E26" s="8" t="n">
        <v>0.16</v>
      </c>
      <c r="F26" s="8" t="n">
        <v>0.2</v>
      </c>
    </row>
    <row r="27" ht="19" customHeight="1">
      <c r="A27" s="10" t="n">
        <v>2016</v>
      </c>
      <c r="B27" s="10" t="n">
        <v>2</v>
      </c>
      <c r="C27" s="6" t="inlineStr">
        <is>
          <t>2016 Q2</t>
        </is>
      </c>
      <c r="D27" s="8" t="n">
        <v>0.373333333333333</v>
      </c>
      <c r="E27" s="8" t="n">
        <v>0.36</v>
      </c>
      <c r="F27" s="8" t="n">
        <v>0.0133333333333334</v>
      </c>
    </row>
    <row r="28" ht="19" customHeight="1">
      <c r="A28" s="10" t="n">
        <v>2016</v>
      </c>
      <c r="B28" s="10" t="n">
        <v>3</v>
      </c>
      <c r="C28" s="6" t="inlineStr">
        <is>
          <t>2016 Q3</t>
        </is>
      </c>
      <c r="D28" s="8" t="n">
        <v>0.396666666666667</v>
      </c>
      <c r="E28" s="8" t="n">
        <v>0.373333333333333</v>
      </c>
      <c r="F28" s="8" t="n">
        <v>0.0233333333333333</v>
      </c>
    </row>
    <row r="29" ht="19" customHeight="1">
      <c r="A29" s="10" t="n">
        <v>2016</v>
      </c>
      <c r="B29" s="10" t="n">
        <v>4</v>
      </c>
      <c r="C29" s="6" t="inlineStr">
        <is>
          <t>2016 Q4</t>
        </is>
      </c>
      <c r="D29" s="8" t="n">
        <v>0.45</v>
      </c>
      <c r="E29" s="8" t="n">
        <v>0.396666666666667</v>
      </c>
      <c r="F29" s="8" t="n">
        <v>0.0533333333333333</v>
      </c>
    </row>
    <row r="30" ht="19" customHeight="1">
      <c r="A30" s="10" t="n">
        <v>2017</v>
      </c>
      <c r="B30" s="10" t="n">
        <v>1</v>
      </c>
      <c r="C30" s="6" t="inlineStr">
        <is>
          <t>2017 Q1</t>
        </is>
      </c>
      <c r="D30" s="8" t="n">
        <v>0.7</v>
      </c>
      <c r="E30" s="8" t="n">
        <v>0.45</v>
      </c>
      <c r="F30" s="8" t="n">
        <v>0.25</v>
      </c>
    </row>
    <row r="31" ht="19" customHeight="1">
      <c r="A31" s="10" t="n">
        <v>2017</v>
      </c>
      <c r="B31" s="10" t="n">
        <v>2</v>
      </c>
      <c r="C31" s="6" t="inlineStr">
        <is>
          <t>2017 Q2</t>
        </is>
      </c>
      <c r="D31" s="8" t="n">
        <v>0.95</v>
      </c>
      <c r="E31" s="8" t="n">
        <v>0.7</v>
      </c>
      <c r="F31" s="8" t="n">
        <v>0.25</v>
      </c>
    </row>
    <row r="32" ht="19" customHeight="1">
      <c r="A32" s="10" t="n">
        <v>2017</v>
      </c>
      <c r="B32" s="10" t="n">
        <v>3</v>
      </c>
      <c r="C32" s="6" t="inlineStr">
        <is>
          <t>2017 Q3</t>
        </is>
      </c>
      <c r="D32" s="8" t="n">
        <v>1.15333333333333</v>
      </c>
      <c r="E32" s="8" t="n">
        <v>0.95</v>
      </c>
      <c r="F32" s="8" t="n">
        <v>0.203333333333333</v>
      </c>
    </row>
    <row r="33" ht="19" customHeight="1">
      <c r="A33" s="10" t="n">
        <v>2017</v>
      </c>
      <c r="B33" s="10" t="n">
        <v>4</v>
      </c>
      <c r="C33" s="6" t="inlineStr">
        <is>
          <t>2017 Q4</t>
        </is>
      </c>
      <c r="D33" s="8" t="n">
        <v>1.20333333333333</v>
      </c>
      <c r="E33" s="8" t="n">
        <v>1.15333333333333</v>
      </c>
      <c r="F33" s="8" t="n">
        <v>0.05</v>
      </c>
    </row>
    <row r="34" ht="19" customHeight="1">
      <c r="A34" s="10" t="n">
        <v>2018</v>
      </c>
      <c r="B34" s="10" t="n">
        <v>1</v>
      </c>
      <c r="C34" s="6" t="inlineStr">
        <is>
          <t>2018 Q1</t>
        </is>
      </c>
      <c r="D34" s="8" t="n">
        <v>1.44666666666667</v>
      </c>
      <c r="E34" s="8" t="n">
        <v>1.20333333333333</v>
      </c>
      <c r="F34" s="8" t="n">
        <v>0.243333333333333</v>
      </c>
    </row>
    <row r="35" ht="19" customHeight="1">
      <c r="A35" s="10" t="n">
        <v>2018</v>
      </c>
      <c r="B35" s="10" t="n">
        <v>2</v>
      </c>
      <c r="C35" s="6" t="inlineStr">
        <is>
          <t>2018 Q2</t>
        </is>
      </c>
      <c r="D35" s="8" t="n">
        <v>1.73666666666667</v>
      </c>
      <c r="E35" s="8" t="n">
        <v>1.44666666666667</v>
      </c>
      <c r="F35" s="8" t="n">
        <v>0.29</v>
      </c>
    </row>
    <row r="36" ht="19" customHeight="1">
      <c r="A36" s="10" t="n">
        <v>2018</v>
      </c>
      <c r="B36" s="10" t="n">
        <v>3</v>
      </c>
      <c r="C36" s="6" t="inlineStr">
        <is>
          <t>2018 Q3</t>
        </is>
      </c>
      <c r="D36" s="8" t="n">
        <v>1.92333333333333</v>
      </c>
      <c r="E36" s="8" t="n">
        <v>1.73666666666667</v>
      </c>
      <c r="F36" s="8" t="n">
        <v>0.186666666666667</v>
      </c>
    </row>
    <row r="37" ht="19" customHeight="1">
      <c r="A37" s="10" t="n">
        <v>2018</v>
      </c>
      <c r="B37" s="10" t="n">
        <v>4</v>
      </c>
      <c r="C37" s="6" t="inlineStr">
        <is>
          <t>2018 Q4</t>
        </is>
      </c>
      <c r="D37" s="8" t="n">
        <v>2.22</v>
      </c>
      <c r="E37" s="8" t="n">
        <v>1.92333333333333</v>
      </c>
      <c r="F37" s="8" t="n">
        <v>0.296666666666667</v>
      </c>
    </row>
    <row r="38" ht="19" customHeight="1">
      <c r="A38" s="10" t="n">
        <v>2019</v>
      </c>
      <c r="B38" s="10" t="n">
        <v>1</v>
      </c>
      <c r="C38" s="6" t="inlineStr">
        <is>
          <t>2019 Q1</t>
        </is>
      </c>
      <c r="D38" s="8" t="n">
        <v>2.40333333333333</v>
      </c>
      <c r="E38" s="8" t="n">
        <v>2.22</v>
      </c>
      <c r="F38" s="8" t="n">
        <v>0.183333333333333</v>
      </c>
    </row>
    <row r="39" ht="19" customHeight="1">
      <c r="A39" s="10" t="n">
        <v>2019</v>
      </c>
      <c r="B39" s="10" t="n">
        <v>2</v>
      </c>
      <c r="C39" s="6" t="inlineStr">
        <is>
          <t>2019 Q2</t>
        </is>
      </c>
      <c r="D39" s="8" t="n">
        <v>2.39666666666667</v>
      </c>
      <c r="E39" s="8" t="n">
        <v>2.40333333333333</v>
      </c>
      <c r="F39" s="8" t="n">
        <v>-0.0066666666666668</v>
      </c>
    </row>
    <row r="40" ht="19" customHeight="1">
      <c r="A40" s="10" t="n">
        <v>2019</v>
      </c>
      <c r="B40" s="10" t="n">
        <v>3</v>
      </c>
      <c r="C40" s="6" t="inlineStr">
        <is>
          <t>2019 Q3</t>
        </is>
      </c>
      <c r="D40" s="8" t="n">
        <v>2.19</v>
      </c>
      <c r="E40" s="8" t="n">
        <v>2.39666666666667</v>
      </c>
      <c r="F40" s="8" t="n">
        <v>-0.206666666666667</v>
      </c>
    </row>
    <row r="41" ht="19" customHeight="1">
      <c r="A41" s="10" t="n">
        <v>2019</v>
      </c>
      <c r="B41" s="10" t="n">
        <v>4</v>
      </c>
      <c r="C41" s="6" t="inlineStr">
        <is>
          <t>2019 Q4</t>
        </is>
      </c>
      <c r="D41" s="8" t="n">
        <v>1.64333333333333</v>
      </c>
      <c r="E41" s="8" t="n">
        <v>2.19</v>
      </c>
      <c r="F41" s="8" t="n">
        <v>-0.546666666666667</v>
      </c>
    </row>
    <row r="42" ht="19" customHeight="1">
      <c r="A42" s="10" t="n">
        <v>2020</v>
      </c>
      <c r="B42" s="10" t="n">
        <v>1</v>
      </c>
      <c r="C42" s="6" t="inlineStr">
        <is>
          <t>2020 Q1</t>
        </is>
      </c>
      <c r="D42" s="8" t="n">
        <v>1.26</v>
      </c>
      <c r="E42" s="8" t="n">
        <v>1.64333333333333</v>
      </c>
      <c r="F42" s="8" t="n">
        <v>-0.383333333333333</v>
      </c>
    </row>
    <row r="43" ht="19" customHeight="1">
      <c r="A43" s="10" t="n">
        <v>2020</v>
      </c>
      <c r="B43" s="10" t="n">
        <v>2</v>
      </c>
      <c r="C43" s="6" t="inlineStr">
        <is>
          <t>2020 Q2</t>
        </is>
      </c>
      <c r="D43" s="8" t="n">
        <v>0.06</v>
      </c>
      <c r="E43" s="8" t="n">
        <v>1.26</v>
      </c>
      <c r="F43" s="8" t="n">
        <v>-1.2</v>
      </c>
    </row>
    <row r="44" ht="19" customHeight="1">
      <c r="A44" s="10" t="n">
        <v>2020</v>
      </c>
      <c r="B44" s="10" t="n">
        <v>3</v>
      </c>
      <c r="C44" s="6" t="inlineStr">
        <is>
          <t>2020 Q3</t>
        </is>
      </c>
      <c r="D44" s="8" t="n">
        <v>0.0933333333333333</v>
      </c>
      <c r="E44" s="8" t="n">
        <v>0.06</v>
      </c>
      <c r="F44" s="8" t="n">
        <v>0.0333333333333333</v>
      </c>
    </row>
    <row r="45" ht="19" customHeight="1">
      <c r="A45" s="10" t="n">
        <v>2020</v>
      </c>
      <c r="B45" s="10" t="n">
        <v>4</v>
      </c>
      <c r="C45" s="6" t="inlineStr">
        <is>
          <t>2020 Q4</t>
        </is>
      </c>
      <c r="D45" s="8" t="n">
        <v>0.09</v>
      </c>
      <c r="E45" s="8" t="n">
        <v>0.0933333333333333</v>
      </c>
      <c r="F45" s="8" t="n">
        <v>-0.0033333333333333</v>
      </c>
    </row>
    <row r="46" ht="19" customHeight="1">
      <c r="A46" s="10" t="n">
        <v>2021</v>
      </c>
      <c r="B46" s="10" t="n">
        <v>1</v>
      </c>
      <c r="C46" s="6" t="inlineStr">
        <is>
          <t>2021 Q1</t>
        </is>
      </c>
      <c r="D46" s="8" t="n">
        <v>0.08</v>
      </c>
      <c r="E46" s="8" t="n">
        <v>0.09</v>
      </c>
      <c r="F46" s="8" t="n">
        <v>-0.01</v>
      </c>
    </row>
    <row r="47" ht="19" customHeight="1">
      <c r="A47" s="10" t="n">
        <v>2021</v>
      </c>
      <c r="B47" s="10" t="n">
        <v>2</v>
      </c>
      <c r="C47" s="6" t="inlineStr">
        <is>
          <t>2021 Q2</t>
        </is>
      </c>
      <c r="D47" s="8" t="n">
        <v>0.07000000000000001</v>
      </c>
      <c r="E47" s="8" t="n">
        <v>0.08</v>
      </c>
      <c r="F47" s="8" t="n">
        <v>-0.01</v>
      </c>
    </row>
    <row r="48" ht="19" customHeight="1">
      <c r="A48" s="10" t="n">
        <v>2021</v>
      </c>
      <c r="B48" s="10" t="n">
        <v>3</v>
      </c>
      <c r="C48" s="6" t="inlineStr">
        <is>
          <t>2021 Q3</t>
        </is>
      </c>
      <c r="D48" s="8" t="n">
        <v>0.09</v>
      </c>
      <c r="E48" s="8" t="n">
        <v>0.07000000000000001</v>
      </c>
      <c r="F48" s="8" t="n">
        <v>0.02</v>
      </c>
    </row>
    <row r="49" ht="19" customHeight="1">
      <c r="A49" s="10" t="n">
        <v>2021</v>
      </c>
      <c r="B49" s="10" t="n">
        <v>4</v>
      </c>
      <c r="C49" s="6" t="inlineStr">
        <is>
          <t>2021 Q4</t>
        </is>
      </c>
      <c r="D49" s="8" t="n">
        <v>0.08</v>
      </c>
      <c r="E49" s="8" t="n">
        <v>0.09</v>
      </c>
      <c r="F49" s="8" t="n">
        <v>-0.01</v>
      </c>
    </row>
    <row r="50" ht="19" customHeight="1">
      <c r="A50" s="10" t="n">
        <v>2022</v>
      </c>
      <c r="B50" s="10" t="n">
        <v>1</v>
      </c>
      <c r="C50" s="6" t="inlineStr">
        <is>
          <t>2022 Q1</t>
        </is>
      </c>
      <c r="D50" s="8" t="n">
        <v>0.12</v>
      </c>
      <c r="E50" s="8" t="n">
        <v>0.08</v>
      </c>
      <c r="F50" s="8" t="n">
        <v>0.04</v>
      </c>
    </row>
    <row r="51" ht="19" customHeight="1">
      <c r="A51" s="10" t="n">
        <v>2022</v>
      </c>
      <c r="B51" s="10" t="n">
        <v>2</v>
      </c>
      <c r="C51" s="6" t="inlineStr">
        <is>
          <t>2022 Q2</t>
        </is>
      </c>
      <c r="D51" s="8" t="n">
        <v>0.77</v>
      </c>
      <c r="E51" s="8" t="n">
        <v>0.12</v>
      </c>
      <c r="F51" s="8" t="n">
        <v>0.65</v>
      </c>
    </row>
    <row r="52" ht="19" customHeight="1">
      <c r="A52" s="10" t="n">
        <v>2022</v>
      </c>
      <c r="B52" s="10" t="n">
        <v>3</v>
      </c>
      <c r="C52" s="6" t="inlineStr">
        <is>
          <t>2022 Q3</t>
        </is>
      </c>
      <c r="D52" s="8" t="n">
        <v>2.19</v>
      </c>
      <c r="E52" s="8" t="n">
        <v>0.77</v>
      </c>
      <c r="F52" s="8" t="n">
        <v>1.42</v>
      </c>
    </row>
    <row r="53" ht="19" customHeight="1">
      <c r="A53" s="10" t="n">
        <v>2022</v>
      </c>
      <c r="B53" s="10" t="n">
        <v>4</v>
      </c>
      <c r="C53" s="6" t="inlineStr">
        <is>
          <t>2022 Q4</t>
        </is>
      </c>
      <c r="D53" s="8" t="n">
        <v>3.65333333333333</v>
      </c>
      <c r="E53" s="8" t="n">
        <v>2.19</v>
      </c>
      <c r="F53" s="8" t="n">
        <v>1.46333333333333</v>
      </c>
    </row>
    <row r="54" ht="19" customHeight="1">
      <c r="A54" s="10" t="n">
        <v>2023</v>
      </c>
      <c r="B54" s="10" t="n">
        <v>1</v>
      </c>
      <c r="C54" s="6" t="inlineStr">
        <is>
          <t>2023 Q1</t>
        </is>
      </c>
      <c r="D54" s="8" t="n">
        <v>4.51666666666667</v>
      </c>
      <c r="E54" s="8" t="n">
        <v>3.65333333333333</v>
      </c>
      <c r="F54" s="8" t="n">
        <v>0.863333333333333</v>
      </c>
    </row>
    <row r="55" ht="19" customHeight="1">
      <c r="A55" s="10" t="n">
        <v>2023</v>
      </c>
      <c r="B55" s="10" t="n">
        <v>2</v>
      </c>
      <c r="C55" s="6" t="inlineStr">
        <is>
          <t>2023 Q2</t>
        </is>
      </c>
      <c r="D55" s="8" t="n">
        <v>4.99</v>
      </c>
      <c r="E55" s="8" t="n">
        <v>4.51666666666667</v>
      </c>
      <c r="F55" s="8" t="n">
        <v>0.473333333333334</v>
      </c>
    </row>
    <row r="56" ht="19" customHeight="1">
      <c r="A56" s="10" t="n">
        <v>2023</v>
      </c>
      <c r="B56" s="10" t="n">
        <v>3</v>
      </c>
      <c r="C56" s="6" t="inlineStr">
        <is>
          <t>2023 Q3</t>
        </is>
      </c>
      <c r="D56" s="8" t="n">
        <v>5.26</v>
      </c>
      <c r="E56" s="8" t="n">
        <v>4.99</v>
      </c>
      <c r="F56" s="8" t="n">
        <v>0.27</v>
      </c>
    </row>
    <row r="57" ht="19" customHeight="1">
      <c r="A57" s="10" t="n">
        <v>2023</v>
      </c>
      <c r="B57" s="10" t="n">
        <v>4</v>
      </c>
      <c r="C57" s="6" t="inlineStr">
        <is>
          <t>2023 Q4</t>
        </is>
      </c>
      <c r="D57" s="8" t="n">
        <v>5.33</v>
      </c>
      <c r="E57" s="8" t="n">
        <v>5.26</v>
      </c>
      <c r="F57" s="8" t="n">
        <v>0.0700000000000003</v>
      </c>
    </row>
    <row r="58" ht="19" customHeight="1">
      <c r="A58" s="10" t="n">
        <v>2024</v>
      </c>
      <c r="B58" s="10" t="n">
        <v>1</v>
      </c>
      <c r="C58" s="6" t="inlineStr">
        <is>
          <t>2024 Q1</t>
        </is>
      </c>
      <c r="D58" s="8" t="n">
        <v>5.33</v>
      </c>
      <c r="E58" s="8" t="n">
        <v>5.33</v>
      </c>
      <c r="F58" s="8" t="n">
        <v>0</v>
      </c>
    </row>
    <row r="59" ht="19" customHeight="1">
      <c r="A59" s="10" t="n">
        <v>2024</v>
      </c>
      <c r="B59" s="10" t="n">
        <v>2</v>
      </c>
      <c r="C59" s="6" t="inlineStr">
        <is>
          <t>2024 Q2</t>
        </is>
      </c>
      <c r="D59" s="8" t="n">
        <v>5.33</v>
      </c>
      <c r="E59" s="8" t="n">
        <v>5.33</v>
      </c>
      <c r="F59" s="8" t="n">
        <v>0</v>
      </c>
    </row>
    <row r="60" ht="19" customHeight="1">
      <c r="A60" s="10" t="n">
        <v>2024</v>
      </c>
      <c r="B60" s="10" t="n">
        <v>3</v>
      </c>
      <c r="C60" s="6" t="inlineStr">
        <is>
          <t>2024 Q3</t>
        </is>
      </c>
      <c r="D60" s="8" t="n">
        <v>5.26333333333333</v>
      </c>
      <c r="E60" s="8" t="n">
        <v>5.33</v>
      </c>
      <c r="F60" s="8" t="n">
        <v>-0.0666666666666664</v>
      </c>
    </row>
    <row r="61" ht="19" customHeight="1">
      <c r="A61" s="10" t="n">
        <v>2024</v>
      </c>
      <c r="B61" s="10" t="n">
        <v>4</v>
      </c>
      <c r="C61" s="6" t="inlineStr">
        <is>
          <t>2024 Q4</t>
        </is>
      </c>
      <c r="D61" s="8" t="n">
        <v>4.65</v>
      </c>
      <c r="E61" s="8" t="n">
        <v>5.26333333333333</v>
      </c>
      <c r="F61" s="8" t="n">
        <v>-0.613333333333333</v>
      </c>
    </row>
    <row r="62" ht="19" customHeight="1">
      <c r="A62" s="10" t="n">
        <v>2025</v>
      </c>
      <c r="B62" s="10" t="n">
        <v>1</v>
      </c>
      <c r="C62" s="6" t="inlineStr">
        <is>
          <t>2025 Q1</t>
        </is>
      </c>
      <c r="D62" s="8" t="n">
        <v>4.33</v>
      </c>
      <c r="E62" s="8" t="n">
        <v>4.65</v>
      </c>
      <c r="F62" s="8" t="n">
        <v>-0.32</v>
      </c>
    </row>
    <row r="63" ht="19" customHeight="1">
      <c r="A63" s="10" t="n">
        <v>2025</v>
      </c>
      <c r="B63" s="10" t="n">
        <v>2</v>
      </c>
      <c r="C63" s="6" t="inlineStr">
        <is>
          <t>2025 Q2</t>
        </is>
      </c>
      <c r="D63" s="8" t="n">
        <v>4.33</v>
      </c>
      <c r="E63" s="8" t="n">
        <v>4.33</v>
      </c>
      <c r="F63" s="8" t="n">
        <v>0</v>
      </c>
    </row>
    <row r="64" ht="19" customHeight="1">
      <c r="A64" s="10" t="n">
        <v>2025</v>
      </c>
      <c r="B64" s="10" t="n">
        <v>3</v>
      </c>
      <c r="C64" s="6" t="inlineStr">
        <is>
          <t>2025 Q3</t>
        </is>
      </c>
      <c r="D64" s="8" t="n">
        <v>4.29333333333333</v>
      </c>
      <c r="E64" s="8" t="n">
        <v>4.33</v>
      </c>
      <c r="F64" s="8" t="n">
        <v>-0.0366666666666671</v>
      </c>
    </row>
    <row r="65" ht="19" customHeight="1">
      <c r="A65" s="10" t="n">
        <v>2025</v>
      </c>
      <c r="B65" s="10" t="n">
        <v>4</v>
      </c>
      <c r="C65" s="6" t="inlineStr">
        <is>
          <t>2025 Q4</t>
        </is>
      </c>
      <c r="D65" s="8" t="n">
        <v>3.89666666666667</v>
      </c>
      <c r="E65" s="8" t="n">
        <v>4.29333333333333</v>
      </c>
      <c r="F65" s="8" t="n">
        <v>-0.396666666666667</v>
      </c>
    </row>
  </sheetData>
  <autoFilter ref="A1:F6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9" customWidth="1" min="4" max="4"/>
    <col width="19" customWidth="1" min="5" max="5"/>
    <col width="21" customWidth="1" min="6" max="6"/>
  </cols>
  <sheetData>
    <row r="1" ht="26" customHeight="1">
      <c r="A1" s="5" t="inlineStr">
        <is>
          <t>year</t>
        </is>
      </c>
      <c r="B1" s="5" t="inlineStr">
        <is>
          <t>quarter</t>
        </is>
      </c>
      <c r="C1" s="5" t="inlineStr">
        <is>
          <t>period</t>
        </is>
      </c>
      <c r="D1" s="5" t="inlineStr">
        <is>
          <t>oil_q</t>
        </is>
      </c>
      <c r="E1" s="5" t="inlineStr">
        <is>
          <t>oil_lag4</t>
        </is>
      </c>
      <c r="F1" s="5" t="inlineStr">
        <is>
          <t>oil_yoy</t>
        </is>
      </c>
    </row>
    <row r="2" ht="19" customHeight="1">
      <c r="A2" s="10" t="n">
        <v>2010</v>
      </c>
      <c r="B2" s="10" t="n">
        <v>1</v>
      </c>
      <c r="C2" s="6" t="inlineStr">
        <is>
          <t>2010 Q1</t>
        </is>
      </c>
      <c r="D2" s="8" t="n">
        <v>76.25</v>
      </c>
      <c r="E2" s="9" t="inlineStr"/>
      <c r="F2" s="9" t="inlineStr"/>
    </row>
    <row r="3" ht="19" customHeight="1">
      <c r="A3" s="10" t="n">
        <v>2010</v>
      </c>
      <c r="B3" s="10" t="n">
        <v>2</v>
      </c>
      <c r="C3" s="6" t="inlineStr">
        <is>
          <t>2010 Q2</t>
        </is>
      </c>
      <c r="D3" s="8" t="n">
        <v>78.51000000000001</v>
      </c>
      <c r="E3" s="9" t="inlineStr"/>
      <c r="F3" s="9" t="inlineStr"/>
    </row>
    <row r="4" ht="19" customHeight="1">
      <c r="A4" s="10" t="n">
        <v>2010</v>
      </c>
      <c r="B4" s="10" t="n">
        <v>3</v>
      </c>
      <c r="C4" s="6" t="inlineStr">
        <is>
          <t>2010 Q3</t>
        </is>
      </c>
      <c r="D4" s="8" t="n">
        <v>76.81999999999999</v>
      </c>
      <c r="E4" s="9" t="inlineStr"/>
      <c r="F4" s="9" t="inlineStr"/>
    </row>
    <row r="5" ht="19" customHeight="1">
      <c r="A5" s="10" t="n">
        <v>2010</v>
      </c>
      <c r="B5" s="10" t="n">
        <v>4</v>
      </c>
      <c r="C5" s="6" t="inlineStr">
        <is>
          <t>2010 Q4</t>
        </is>
      </c>
      <c r="D5" s="8" t="n">
        <v>86.4666666666667</v>
      </c>
      <c r="E5" s="9" t="inlineStr"/>
      <c r="F5" s="9" t="inlineStr"/>
    </row>
    <row r="6" ht="19" customHeight="1">
      <c r="A6" s="10" t="n">
        <v>2011</v>
      </c>
      <c r="B6" s="10" t="n">
        <v>1</v>
      </c>
      <c r="C6" s="6" t="inlineStr">
        <is>
          <t>2011 Q1</t>
        </is>
      </c>
      <c r="D6" s="8" t="n">
        <v>104.96</v>
      </c>
      <c r="E6" s="8" t="n">
        <v>76.25</v>
      </c>
      <c r="F6" s="8" t="n">
        <v>37.6524590163934</v>
      </c>
    </row>
    <row r="7" ht="19" customHeight="1">
      <c r="A7" s="10" t="n">
        <v>2011</v>
      </c>
      <c r="B7" s="10" t="n">
        <v>2</v>
      </c>
      <c r="C7" s="6" t="inlineStr">
        <is>
          <t>2011 Q2</t>
        </is>
      </c>
      <c r="D7" s="8" t="n">
        <v>117.36</v>
      </c>
      <c r="E7" s="8" t="n">
        <v>78.51000000000001</v>
      </c>
      <c r="F7" s="8" t="n">
        <v>49.4841421474971</v>
      </c>
    </row>
    <row r="8" ht="19" customHeight="1">
      <c r="A8" s="10" t="n">
        <v>2011</v>
      </c>
      <c r="B8" s="10" t="n">
        <v>3</v>
      </c>
      <c r="C8" s="6" t="inlineStr">
        <is>
          <t>2011 Q3</t>
        </is>
      </c>
      <c r="D8" s="8" t="n">
        <v>113.34</v>
      </c>
      <c r="E8" s="8" t="n">
        <v>76.81999999999999</v>
      </c>
      <c r="F8" s="8" t="n">
        <v>47.5397032022911</v>
      </c>
    </row>
    <row r="9" ht="19" customHeight="1">
      <c r="A9" s="10" t="n">
        <v>2011</v>
      </c>
      <c r="B9" s="10" t="n">
        <v>4</v>
      </c>
      <c r="C9" s="6" t="inlineStr">
        <is>
          <t>2011 Q4</t>
        </is>
      </c>
      <c r="D9" s="8" t="n">
        <v>109.396666666667</v>
      </c>
      <c r="E9" s="8" t="n">
        <v>86.4666666666667</v>
      </c>
      <c r="F9" s="8" t="n">
        <v>26.5188897455667</v>
      </c>
    </row>
    <row r="10" ht="19" customHeight="1">
      <c r="A10" s="10" t="n">
        <v>2012</v>
      </c>
      <c r="B10" s="10" t="n">
        <v>1</v>
      </c>
      <c r="C10" s="6" t="inlineStr">
        <is>
          <t>2012 Q1</t>
        </is>
      </c>
      <c r="D10" s="8" t="n">
        <v>118.49</v>
      </c>
      <c r="E10" s="8" t="n">
        <v>104.96</v>
      </c>
      <c r="F10" s="8" t="n">
        <v>12.890625</v>
      </c>
    </row>
    <row r="11" ht="19" customHeight="1">
      <c r="A11" s="10" t="n">
        <v>2012</v>
      </c>
      <c r="B11" s="10" t="n">
        <v>2</v>
      </c>
      <c r="C11" s="6" t="inlineStr">
        <is>
          <t>2012 Q2</t>
        </is>
      </c>
      <c r="D11" s="8" t="n">
        <v>108.416666666667</v>
      </c>
      <c r="E11" s="8" t="n">
        <v>117.36</v>
      </c>
      <c r="F11" s="8" t="n">
        <v>-7.6204271756419</v>
      </c>
    </row>
    <row r="12" ht="19" customHeight="1">
      <c r="A12" s="10" t="n">
        <v>2012</v>
      </c>
      <c r="B12" s="10" t="n">
        <v>3</v>
      </c>
      <c r="C12" s="6" t="inlineStr">
        <is>
          <t>2012 Q3</t>
        </is>
      </c>
      <c r="D12" s="8" t="n">
        <v>109.613333333333</v>
      </c>
      <c r="E12" s="8" t="n">
        <v>113.34</v>
      </c>
      <c r="F12" s="8" t="n">
        <v>-3.28804187988943</v>
      </c>
    </row>
    <row r="13" ht="19" customHeight="1">
      <c r="A13" s="10" t="n">
        <v>2012</v>
      </c>
      <c r="B13" s="10" t="n">
        <v>4</v>
      </c>
      <c r="C13" s="6" t="inlineStr">
        <is>
          <t>2012 Q4</t>
        </is>
      </c>
      <c r="D13" s="8" t="n">
        <v>110.086666666667</v>
      </c>
      <c r="E13" s="8" t="n">
        <v>109.396666666667</v>
      </c>
      <c r="F13" s="8" t="n">
        <v>0.630732197812245</v>
      </c>
    </row>
    <row r="14" ht="19" customHeight="1">
      <c r="A14" s="10" t="n">
        <v>2013</v>
      </c>
      <c r="B14" s="10" t="n">
        <v>1</v>
      </c>
      <c r="C14" s="6" t="inlineStr">
        <is>
          <t>2013 Q1</t>
        </is>
      </c>
      <c r="D14" s="8" t="n">
        <v>112.493333333333</v>
      </c>
      <c r="E14" s="8" t="n">
        <v>118.49</v>
      </c>
      <c r="F14" s="8" t="n">
        <v>-5.06090528033308</v>
      </c>
    </row>
    <row r="15" ht="19" customHeight="1">
      <c r="A15" s="10" t="n">
        <v>2013</v>
      </c>
      <c r="B15" s="10" t="n">
        <v>2</v>
      </c>
      <c r="C15" s="6" t="inlineStr">
        <is>
          <t>2013 Q2</t>
        </is>
      </c>
      <c r="D15" s="8" t="n">
        <v>102.576666666667</v>
      </c>
      <c r="E15" s="8" t="n">
        <v>108.416666666667</v>
      </c>
      <c r="F15" s="8" t="n">
        <v>-5.38662567255957</v>
      </c>
    </row>
    <row r="16" ht="19" customHeight="1">
      <c r="A16" s="10" t="n">
        <v>2013</v>
      </c>
      <c r="B16" s="10" t="n">
        <v>3</v>
      </c>
      <c r="C16" s="6" t="inlineStr">
        <is>
          <t>2013 Q3</t>
        </is>
      </c>
      <c r="D16" s="8" t="n">
        <v>110.27</v>
      </c>
      <c r="E16" s="8" t="n">
        <v>109.613333333333</v>
      </c>
      <c r="F16" s="8" t="n">
        <v>0.599075538255689</v>
      </c>
    </row>
    <row r="17" ht="19" customHeight="1">
      <c r="A17" s="10" t="n">
        <v>2013</v>
      </c>
      <c r="B17" s="10" t="n">
        <v>4</v>
      </c>
      <c r="C17" s="6" t="inlineStr">
        <is>
          <t>2013 Q4</t>
        </is>
      </c>
      <c r="D17" s="8" t="n">
        <v>109.21</v>
      </c>
      <c r="E17" s="8" t="n">
        <v>110.086666666667</v>
      </c>
      <c r="F17" s="8" t="n">
        <v>-0.796342275782702</v>
      </c>
    </row>
    <row r="18" ht="19" customHeight="1">
      <c r="A18" s="10" t="n">
        <v>2014</v>
      </c>
      <c r="B18" s="10" t="n">
        <v>1</v>
      </c>
      <c r="C18" s="6" t="inlineStr">
        <is>
          <t>2014 Q1</t>
        </is>
      </c>
      <c r="D18" s="8" t="n">
        <v>108.166666666667</v>
      </c>
      <c r="E18" s="8" t="n">
        <v>112.493333333333</v>
      </c>
      <c r="F18" s="8" t="n">
        <v>-3.84615384615383</v>
      </c>
    </row>
    <row r="19" ht="19" customHeight="1">
      <c r="A19" s="10" t="n">
        <v>2014</v>
      </c>
      <c r="B19" s="10" t="n">
        <v>2</v>
      </c>
      <c r="C19" s="6" t="inlineStr">
        <is>
          <t>2014 Q2</t>
        </is>
      </c>
      <c r="D19" s="8" t="n">
        <v>109.7</v>
      </c>
      <c r="E19" s="8" t="n">
        <v>102.576666666667</v>
      </c>
      <c r="F19" s="8" t="n">
        <v>6.94439931108439</v>
      </c>
    </row>
    <row r="20" ht="19" customHeight="1">
      <c r="A20" s="10" t="n">
        <v>2014</v>
      </c>
      <c r="B20" s="10" t="n">
        <v>3</v>
      </c>
      <c r="C20" s="6" t="inlineStr">
        <is>
          <t>2014 Q3</t>
        </is>
      </c>
      <c r="D20" s="8" t="n">
        <v>101.823333333333</v>
      </c>
      <c r="E20" s="8" t="n">
        <v>110.27</v>
      </c>
      <c r="F20" s="8" t="n">
        <v>-7.65998609473715</v>
      </c>
    </row>
    <row r="21" ht="19" customHeight="1">
      <c r="A21" s="10" t="n">
        <v>2014</v>
      </c>
      <c r="B21" s="10" t="n">
        <v>4</v>
      </c>
      <c r="C21" s="6" t="inlineStr">
        <is>
          <t>2014 Q4</t>
        </is>
      </c>
      <c r="D21" s="8" t="n">
        <v>76.40333333333329</v>
      </c>
      <c r="E21" s="8" t="n">
        <v>109.21</v>
      </c>
      <c r="F21" s="8" t="n">
        <v>-30.0399841284376</v>
      </c>
    </row>
    <row r="22" ht="19" customHeight="1">
      <c r="A22" s="10" t="n">
        <v>2015</v>
      </c>
      <c r="B22" s="10" t="n">
        <v>1</v>
      </c>
      <c r="C22" s="6" t="inlineStr">
        <is>
          <t>2015 Q1</t>
        </is>
      </c>
      <c r="D22" s="8" t="n">
        <v>53.9166666666667</v>
      </c>
      <c r="E22" s="8" t="n">
        <v>108.166666666667</v>
      </c>
      <c r="F22" s="8" t="n">
        <v>-50.1540832049307</v>
      </c>
    </row>
    <row r="23" ht="19" customHeight="1">
      <c r="A23" s="10" t="n">
        <v>2015</v>
      </c>
      <c r="B23" s="10" t="n">
        <v>2</v>
      </c>
      <c r="C23" s="6" t="inlineStr">
        <is>
          <t>2015 Q2</t>
        </is>
      </c>
      <c r="D23" s="8" t="n">
        <v>61.6933333333333</v>
      </c>
      <c r="E23" s="8" t="n">
        <v>109.7</v>
      </c>
      <c r="F23" s="8" t="n">
        <v>-43.761774536615</v>
      </c>
    </row>
    <row r="24" ht="19" customHeight="1">
      <c r="A24" s="10" t="n">
        <v>2015</v>
      </c>
      <c r="B24" s="10" t="n">
        <v>3</v>
      </c>
      <c r="C24" s="6" t="inlineStr">
        <is>
          <t>2015 Q3</t>
        </is>
      </c>
      <c r="D24" s="8" t="n">
        <v>50.2333333333333</v>
      </c>
      <c r="E24" s="8" t="n">
        <v>101.823333333333</v>
      </c>
      <c r="F24" s="8" t="n">
        <v>-50.666186532229</v>
      </c>
    </row>
    <row r="25" ht="19" customHeight="1">
      <c r="A25" s="10" t="n">
        <v>2015</v>
      </c>
      <c r="B25" s="10" t="n">
        <v>4</v>
      </c>
      <c r="C25" s="6" t="inlineStr">
        <is>
          <t>2015 Q4</t>
        </is>
      </c>
      <c r="D25" s="8" t="n">
        <v>43.57</v>
      </c>
      <c r="E25" s="8" t="n">
        <v>76.40333333333329</v>
      </c>
      <c r="F25" s="8" t="n">
        <v>-42.9736922472842</v>
      </c>
    </row>
    <row r="26" ht="19" customHeight="1">
      <c r="A26" s="10" t="n">
        <v>2016</v>
      </c>
      <c r="B26" s="10" t="n">
        <v>1</v>
      </c>
      <c r="C26" s="6" t="inlineStr">
        <is>
          <t>2016 Q1</t>
        </is>
      </c>
      <c r="D26" s="8" t="n">
        <v>33.6966666666667</v>
      </c>
      <c r="E26" s="8" t="n">
        <v>53.9166666666667</v>
      </c>
      <c r="F26" s="8" t="n">
        <v>-37.5023183925811</v>
      </c>
    </row>
    <row r="27" ht="19" customHeight="1">
      <c r="A27" s="10" t="n">
        <v>2016</v>
      </c>
      <c r="B27" s="10" t="n">
        <v>2</v>
      </c>
      <c r="C27" s="6" t="inlineStr">
        <is>
          <t>2016 Q2</t>
        </is>
      </c>
      <c r="D27" s="8" t="n">
        <v>45.5233333333333</v>
      </c>
      <c r="E27" s="8" t="n">
        <v>61.6933333333333</v>
      </c>
      <c r="F27" s="8" t="n">
        <v>-26.2102874432678</v>
      </c>
    </row>
    <row r="28" ht="19" customHeight="1">
      <c r="A28" s="10" t="n">
        <v>2016</v>
      </c>
      <c r="B28" s="10" t="n">
        <v>3</v>
      </c>
      <c r="C28" s="6" t="inlineStr">
        <is>
          <t>2016 Q3</t>
        </is>
      </c>
      <c r="D28" s="8" t="n">
        <v>45.7866666666667</v>
      </c>
      <c r="E28" s="8" t="n">
        <v>50.2333333333333</v>
      </c>
      <c r="F28" s="8" t="n">
        <v>-8.852023888520231</v>
      </c>
    </row>
    <row r="29" ht="19" customHeight="1">
      <c r="A29" s="10" t="n">
        <v>2016</v>
      </c>
      <c r="B29" s="10" t="n">
        <v>4</v>
      </c>
      <c r="C29" s="6" t="inlineStr">
        <is>
          <t>2016 Q4</t>
        </is>
      </c>
      <c r="D29" s="8" t="n">
        <v>49.1866666666667</v>
      </c>
      <c r="E29" s="8" t="n">
        <v>43.57</v>
      </c>
      <c r="F29" s="8" t="n">
        <v>12.8911330426134</v>
      </c>
    </row>
    <row r="30" ht="19" customHeight="1">
      <c r="A30" s="10" t="n">
        <v>2017</v>
      </c>
      <c r="B30" s="10" t="n">
        <v>1</v>
      </c>
      <c r="C30" s="6" t="inlineStr">
        <is>
          <t>2017 Q1</t>
        </is>
      </c>
      <c r="D30" s="8" t="n">
        <v>53.68</v>
      </c>
      <c r="E30" s="8" t="n">
        <v>33.6966666666667</v>
      </c>
      <c r="F30" s="8" t="n">
        <v>59.30359085963</v>
      </c>
    </row>
    <row r="31" ht="19" customHeight="1">
      <c r="A31" s="10" t="n">
        <v>2017</v>
      </c>
      <c r="B31" s="10" t="n">
        <v>2</v>
      </c>
      <c r="C31" s="6" t="inlineStr">
        <is>
          <t>2017 Q2</t>
        </is>
      </c>
      <c r="D31" s="8" t="n">
        <v>49.67</v>
      </c>
      <c r="E31" s="8" t="n">
        <v>45.5233333333333</v>
      </c>
      <c r="F31" s="8" t="n">
        <v>9.10888189207</v>
      </c>
    </row>
    <row r="32" ht="19" customHeight="1">
      <c r="A32" s="10" t="n">
        <v>2017</v>
      </c>
      <c r="B32" s="10" t="n">
        <v>3</v>
      </c>
      <c r="C32" s="6" t="inlineStr">
        <is>
          <t>2017 Q3</t>
        </is>
      </c>
      <c r="D32" s="8" t="n">
        <v>52.11</v>
      </c>
      <c r="E32" s="8" t="n">
        <v>45.7866666666667</v>
      </c>
      <c r="F32" s="8" t="n">
        <v>13.8104251601631</v>
      </c>
    </row>
    <row r="33" ht="19" customHeight="1">
      <c r="A33" s="10" t="n">
        <v>2017</v>
      </c>
      <c r="B33" s="10" t="n">
        <v>4</v>
      </c>
      <c r="C33" s="6" t="inlineStr">
        <is>
          <t>2017 Q4</t>
        </is>
      </c>
      <c r="D33" s="8" t="n">
        <v>61.53</v>
      </c>
      <c r="E33" s="8" t="n">
        <v>49.1866666666667</v>
      </c>
      <c r="F33" s="8" t="n">
        <v>25.0948766603416</v>
      </c>
    </row>
    <row r="34" ht="19" customHeight="1">
      <c r="A34" s="10" t="n">
        <v>2018</v>
      </c>
      <c r="B34" s="10" t="n">
        <v>1</v>
      </c>
      <c r="C34" s="6" t="inlineStr">
        <is>
          <t>2018 Q1</t>
        </is>
      </c>
      <c r="D34" s="8" t="n">
        <v>66.8066666666667</v>
      </c>
      <c r="E34" s="8" t="n">
        <v>53.68</v>
      </c>
      <c r="F34" s="8" t="n">
        <v>24.4535519125683</v>
      </c>
    </row>
    <row r="35" ht="19" customHeight="1">
      <c r="A35" s="10" t="n">
        <v>2018</v>
      </c>
      <c r="B35" s="10" t="n">
        <v>2</v>
      </c>
      <c r="C35" s="6" t="inlineStr">
        <is>
          <t>2018 Q2</t>
        </is>
      </c>
      <c r="D35" s="8" t="n">
        <v>74.5</v>
      </c>
      <c r="E35" s="8" t="n">
        <v>49.67</v>
      </c>
      <c r="F35" s="8" t="n">
        <v>49.9899335615059</v>
      </c>
    </row>
    <row r="36" ht="19" customHeight="1">
      <c r="A36" s="10" t="n">
        <v>2018</v>
      </c>
      <c r="B36" s="10" t="n">
        <v>3</v>
      </c>
      <c r="C36" s="6" t="inlineStr">
        <is>
          <t>2018 Q3</t>
        </is>
      </c>
      <c r="D36" s="8" t="n">
        <v>75.2233333333333</v>
      </c>
      <c r="E36" s="8" t="n">
        <v>52.11</v>
      </c>
      <c r="F36" s="8" t="n">
        <v>44.3548902961683</v>
      </c>
    </row>
    <row r="37" ht="19" customHeight="1">
      <c r="A37" s="10" t="n">
        <v>2018</v>
      </c>
      <c r="B37" s="10" t="n">
        <v>4</v>
      </c>
      <c r="C37" s="6" t="inlineStr">
        <is>
          <t>2018 Q4</t>
        </is>
      </c>
      <c r="D37" s="8" t="n">
        <v>67.7133333333333</v>
      </c>
      <c r="E37" s="8" t="n">
        <v>61.53</v>
      </c>
      <c r="F37" s="8" t="n">
        <v>10.0492984452029</v>
      </c>
    </row>
    <row r="38" ht="19" customHeight="1">
      <c r="A38" s="10" t="n">
        <v>2019</v>
      </c>
      <c r="B38" s="10" t="n">
        <v>1</v>
      </c>
      <c r="C38" s="6" t="inlineStr">
        <is>
          <t>2019 Q1</t>
        </is>
      </c>
      <c r="D38" s="8" t="n">
        <v>63.17</v>
      </c>
      <c r="E38" s="8" t="n">
        <v>66.8066666666667</v>
      </c>
      <c r="F38" s="8" t="n">
        <v>-5.4435685061371</v>
      </c>
    </row>
    <row r="39" ht="19" customHeight="1">
      <c r="A39" s="10" t="n">
        <v>2019</v>
      </c>
      <c r="B39" s="10" t="n">
        <v>2</v>
      </c>
      <c r="C39" s="6" t="inlineStr">
        <is>
          <t>2019 Q2</t>
        </is>
      </c>
      <c r="D39" s="8" t="n">
        <v>68.9233333333333</v>
      </c>
      <c r="E39" s="8" t="n">
        <v>74.5</v>
      </c>
      <c r="F39" s="8" t="n">
        <v>-7.48545861297539</v>
      </c>
    </row>
    <row r="40" ht="19" customHeight="1">
      <c r="A40" s="10" t="n">
        <v>2019</v>
      </c>
      <c r="B40" s="10" t="n">
        <v>3</v>
      </c>
      <c r="C40" s="6" t="inlineStr">
        <is>
          <t>2019 Q3</t>
        </is>
      </c>
      <c r="D40" s="8" t="n">
        <v>61.93</v>
      </c>
      <c r="E40" s="8" t="n">
        <v>75.2233333333333</v>
      </c>
      <c r="F40" s="8" t="n">
        <v>-17.6718216865334</v>
      </c>
    </row>
    <row r="41" ht="19" customHeight="1">
      <c r="A41" s="10" t="n">
        <v>2019</v>
      </c>
      <c r="B41" s="10" t="n">
        <v>4</v>
      </c>
      <c r="C41" s="6" t="inlineStr">
        <is>
          <t>2019 Q4</t>
        </is>
      </c>
      <c r="D41" s="8" t="n">
        <v>63.41</v>
      </c>
      <c r="E41" s="8" t="n">
        <v>67.7133333333333</v>
      </c>
      <c r="F41" s="8" t="n">
        <v>-6.35522299891701</v>
      </c>
    </row>
    <row r="42" ht="19" customHeight="1">
      <c r="A42" s="10" t="n">
        <v>2020</v>
      </c>
      <c r="B42" s="10" t="n">
        <v>1</v>
      </c>
      <c r="C42" s="6" t="inlineStr">
        <is>
          <t>2020 Q1</t>
        </is>
      </c>
      <c r="D42" s="8" t="n">
        <v>50.44</v>
      </c>
      <c r="E42" s="8" t="n">
        <v>63.17</v>
      </c>
      <c r="F42" s="8" t="n">
        <v>-20.1519708722495</v>
      </c>
    </row>
    <row r="43" ht="19" customHeight="1">
      <c r="A43" s="10" t="n">
        <v>2020</v>
      </c>
      <c r="B43" s="10" t="n">
        <v>2</v>
      </c>
      <c r="C43" s="6" t="inlineStr">
        <is>
          <t>2020 Q2</t>
        </is>
      </c>
      <c r="D43" s="8" t="n">
        <v>29.3433333333333</v>
      </c>
      <c r="E43" s="8" t="n">
        <v>68.9233333333333</v>
      </c>
      <c r="F43" s="8" t="n">
        <v>-57.426125646854</v>
      </c>
    </row>
    <row r="44" ht="19" customHeight="1">
      <c r="A44" s="10" t="n">
        <v>2020</v>
      </c>
      <c r="B44" s="10" t="n">
        <v>3</v>
      </c>
      <c r="C44" s="6" t="inlineStr">
        <is>
          <t>2020 Q3</t>
        </is>
      </c>
      <c r="D44" s="8" t="n">
        <v>42.9633333333333</v>
      </c>
      <c r="E44" s="8" t="n">
        <v>61.93</v>
      </c>
      <c r="F44" s="8" t="n">
        <v>-30.6259755638086</v>
      </c>
    </row>
    <row r="45" ht="19" customHeight="1">
      <c r="A45" s="10" t="n">
        <v>2020</v>
      </c>
      <c r="B45" s="10" t="n">
        <v>4</v>
      </c>
      <c r="C45" s="6" t="inlineStr">
        <is>
          <t>2020 Q4</t>
        </is>
      </c>
      <c r="D45" s="8" t="n">
        <v>44.29</v>
      </c>
      <c r="E45" s="8" t="n">
        <v>63.41</v>
      </c>
      <c r="F45" s="8" t="n">
        <v>-30.152972717237</v>
      </c>
    </row>
    <row r="46" ht="19" customHeight="1">
      <c r="A46" s="10" t="n">
        <v>2021</v>
      </c>
      <c r="B46" s="10" t="n">
        <v>1</v>
      </c>
      <c r="C46" s="6" t="inlineStr">
        <is>
          <t>2021 Q1</t>
        </is>
      </c>
      <c r="D46" s="8" t="n">
        <v>60.82</v>
      </c>
      <c r="E46" s="8" t="n">
        <v>50.44</v>
      </c>
      <c r="F46" s="8" t="n">
        <v>20.578905630452</v>
      </c>
    </row>
    <row r="47" ht="19" customHeight="1">
      <c r="A47" s="10" t="n">
        <v>2021</v>
      </c>
      <c r="B47" s="10" t="n">
        <v>2</v>
      </c>
      <c r="C47" s="6" t="inlineStr">
        <is>
          <t>2021 Q2</t>
        </is>
      </c>
      <c r="D47" s="8" t="n">
        <v>68.8333333333333</v>
      </c>
      <c r="E47" s="8" t="n">
        <v>29.3433333333333</v>
      </c>
      <c r="F47" s="8" t="n">
        <v>134.579120754288</v>
      </c>
    </row>
    <row r="48" ht="19" customHeight="1">
      <c r="A48" s="10" t="n">
        <v>2021</v>
      </c>
      <c r="B48" s="10" t="n">
        <v>3</v>
      </c>
      <c r="C48" s="6" t="inlineStr">
        <is>
          <t>2021 Q3</t>
        </is>
      </c>
      <c r="D48" s="8" t="n">
        <v>73.47</v>
      </c>
      <c r="E48" s="8" t="n">
        <v>42.9633333333333</v>
      </c>
      <c r="F48" s="8" t="n">
        <v>71.0062844285825</v>
      </c>
    </row>
    <row r="49" ht="19" customHeight="1">
      <c r="A49" s="10" t="n">
        <v>2021</v>
      </c>
      <c r="B49" s="10" t="n">
        <v>4</v>
      </c>
      <c r="C49" s="6" t="inlineStr">
        <is>
          <t>2021 Q4</t>
        </is>
      </c>
      <c r="D49" s="8" t="n">
        <v>79.5866666666667</v>
      </c>
      <c r="E49" s="8" t="n">
        <v>44.29</v>
      </c>
      <c r="F49" s="8" t="n">
        <v>79.69443817265</v>
      </c>
    </row>
    <row r="50" ht="19" customHeight="1">
      <c r="A50" s="10" t="n">
        <v>2022</v>
      </c>
      <c r="B50" s="10" t="n">
        <v>1</v>
      </c>
      <c r="C50" s="6" t="inlineStr">
        <is>
          <t>2022 Q1</t>
        </is>
      </c>
      <c r="D50" s="8" t="n">
        <v>100.296666666667</v>
      </c>
      <c r="E50" s="8" t="n">
        <v>60.82</v>
      </c>
      <c r="F50" s="8" t="n">
        <v>64.9073769593335</v>
      </c>
    </row>
    <row r="51" ht="19" customHeight="1">
      <c r="A51" s="10" t="n">
        <v>2022</v>
      </c>
      <c r="B51" s="10" t="n">
        <v>2</v>
      </c>
      <c r="C51" s="6" t="inlineStr">
        <is>
          <t>2022 Q2</t>
        </is>
      </c>
      <c r="D51" s="8" t="n">
        <v>113.543333333333</v>
      </c>
      <c r="E51" s="8" t="n">
        <v>68.8333333333333</v>
      </c>
      <c r="F51" s="8" t="n">
        <v>64.95399515738499</v>
      </c>
    </row>
    <row r="52" ht="19" customHeight="1">
      <c r="A52" s="10" t="n">
        <v>2022</v>
      </c>
      <c r="B52" s="10" t="n">
        <v>3</v>
      </c>
      <c r="C52" s="6" t="inlineStr">
        <is>
          <t>2022 Q3</t>
        </is>
      </c>
      <c r="D52" s="8" t="n">
        <v>100.713333333333</v>
      </c>
      <c r="E52" s="8" t="n">
        <v>73.47</v>
      </c>
      <c r="F52" s="8" t="n">
        <v>37.0808946962479</v>
      </c>
    </row>
    <row r="53" ht="19" customHeight="1">
      <c r="A53" s="10" t="n">
        <v>2022</v>
      </c>
      <c r="B53" s="10" t="n">
        <v>4</v>
      </c>
      <c r="C53" s="6" t="inlineStr">
        <is>
          <t>2022 Q4</t>
        </is>
      </c>
      <c r="D53" s="8" t="n">
        <v>88.5566666666667</v>
      </c>
      <c r="E53" s="8" t="n">
        <v>79.5866666666667</v>
      </c>
      <c r="F53" s="8" t="n">
        <v>11.2707321159323</v>
      </c>
    </row>
    <row r="54" ht="19" customHeight="1">
      <c r="A54" s="10" t="n">
        <v>2023</v>
      </c>
      <c r="B54" s="10" t="n">
        <v>1</v>
      </c>
      <c r="C54" s="6" t="inlineStr">
        <is>
          <t>2023 Q1</t>
        </is>
      </c>
      <c r="D54" s="8" t="n">
        <v>81.1733333333333</v>
      </c>
      <c r="E54" s="8" t="n">
        <v>100.296666666667</v>
      </c>
      <c r="F54" s="8" t="n">
        <v>-19.0667685865266</v>
      </c>
    </row>
    <row r="55" ht="19" customHeight="1">
      <c r="A55" s="10" t="n">
        <v>2023</v>
      </c>
      <c r="B55" s="10" t="n">
        <v>2</v>
      </c>
      <c r="C55" s="6" t="inlineStr">
        <is>
          <t>2023 Q2</t>
        </is>
      </c>
      <c r="D55" s="8" t="n">
        <v>78.31666666666671</v>
      </c>
      <c r="E55" s="8" t="n">
        <v>113.543333333333</v>
      </c>
      <c r="F55" s="8" t="n">
        <v>-31.0248656900449</v>
      </c>
    </row>
    <row r="56" ht="19" customHeight="1">
      <c r="A56" s="10" t="n">
        <v>2023</v>
      </c>
      <c r="B56" s="10" t="n">
        <v>3</v>
      </c>
      <c r="C56" s="6" t="inlineStr">
        <is>
          <t>2023 Q3</t>
        </is>
      </c>
      <c r="D56" s="8" t="n">
        <v>86.66</v>
      </c>
      <c r="E56" s="8" t="n">
        <v>100.713333333333</v>
      </c>
      <c r="F56" s="8" t="n">
        <v>-13.9537962533925</v>
      </c>
    </row>
    <row r="57" ht="19" customHeight="1">
      <c r="A57" s="10" t="n">
        <v>2023</v>
      </c>
      <c r="B57" s="10" t="n">
        <v>4</v>
      </c>
      <c r="C57" s="6" t="inlineStr">
        <is>
          <t>2023 Q4</t>
        </is>
      </c>
      <c r="D57" s="8" t="n">
        <v>83.7233333333333</v>
      </c>
      <c r="E57" s="8" t="n">
        <v>88.5566666666667</v>
      </c>
      <c r="F57" s="8" t="n">
        <v>-5.45789889712802</v>
      </c>
    </row>
    <row r="58" ht="19" customHeight="1">
      <c r="A58" s="10" t="n">
        <v>2024</v>
      </c>
      <c r="B58" s="10" t="n">
        <v>1</v>
      </c>
      <c r="C58" s="6" t="inlineStr">
        <is>
          <t>2024 Q1</t>
        </is>
      </c>
      <c r="D58" s="8" t="n">
        <v>83.0033333333333</v>
      </c>
      <c r="E58" s="8" t="n">
        <v>81.1733333333333</v>
      </c>
      <c r="F58" s="8" t="n">
        <v>2.25443495400788</v>
      </c>
    </row>
    <row r="59" ht="19" customHeight="1">
      <c r="A59" s="10" t="n">
        <v>2024</v>
      </c>
      <c r="B59" s="10" t="n">
        <v>2</v>
      </c>
      <c r="C59" s="6" t="inlineStr">
        <is>
          <t>2024 Q2</t>
        </is>
      </c>
      <c r="D59" s="8" t="n">
        <v>84.6466666666667</v>
      </c>
      <c r="E59" s="8" t="n">
        <v>78.31666666666671</v>
      </c>
      <c r="F59" s="8" t="n">
        <v>8.082570759736109</v>
      </c>
    </row>
    <row r="60" ht="19" customHeight="1">
      <c r="A60" s="10" t="n">
        <v>2024</v>
      </c>
      <c r="B60" s="10" t="n">
        <v>3</v>
      </c>
      <c r="C60" s="6" t="inlineStr">
        <is>
          <t>2024 Q3</t>
        </is>
      </c>
      <c r="D60" s="8" t="n">
        <v>79.84333333333331</v>
      </c>
      <c r="E60" s="8" t="n">
        <v>86.66</v>
      </c>
      <c r="F60" s="8" t="n">
        <v>-7.86598969151473</v>
      </c>
    </row>
    <row r="61" ht="19" customHeight="1">
      <c r="A61" s="10" t="n">
        <v>2024</v>
      </c>
      <c r="B61" s="10" t="n">
        <v>4</v>
      </c>
      <c r="C61" s="6" t="inlineStr">
        <is>
          <t>2024 Q4</t>
        </is>
      </c>
      <c r="D61" s="8" t="n">
        <v>74.6133333333333</v>
      </c>
      <c r="E61" s="8" t="n">
        <v>83.7233333333333</v>
      </c>
      <c r="F61" s="8" t="n">
        <v>-10.8810765616913</v>
      </c>
    </row>
    <row r="62" ht="19" customHeight="1">
      <c r="A62" s="10" t="n">
        <v>2025</v>
      </c>
      <c r="B62" s="10" t="n">
        <v>1</v>
      </c>
      <c r="C62" s="6" t="inlineStr">
        <is>
          <t>2025 Q1</t>
        </is>
      </c>
      <c r="D62" s="8" t="n">
        <v>75.8133333333333</v>
      </c>
      <c r="E62" s="8" t="n">
        <v>83.0033333333333</v>
      </c>
      <c r="F62" s="8" t="n">
        <v>-8.662302718766311</v>
      </c>
    </row>
    <row r="63" ht="19" customHeight="1">
      <c r="A63" s="10" t="n">
        <v>2025</v>
      </c>
      <c r="B63" s="10" t="n">
        <v>2</v>
      </c>
      <c r="C63" s="6" t="inlineStr">
        <is>
          <t>2025 Q2</t>
        </is>
      </c>
      <c r="D63" s="8" t="n">
        <v>68.0066666666667</v>
      </c>
      <c r="E63" s="8" t="n">
        <v>84.6466666666667</v>
      </c>
      <c r="F63" s="8" t="n">
        <v>-19.6581869733008</v>
      </c>
    </row>
    <row r="64" ht="19" customHeight="1">
      <c r="A64" s="10" t="n">
        <v>2025</v>
      </c>
      <c r="B64" s="10" t="n">
        <v>3</v>
      </c>
      <c r="C64" s="6" t="inlineStr">
        <is>
          <t>2025 Q3</t>
        </is>
      </c>
      <c r="D64" s="8" t="n">
        <v>68.9666666666667</v>
      </c>
      <c r="E64" s="8" t="n">
        <v>79.84333333333331</v>
      </c>
      <c r="F64" s="8" t="n">
        <v>-13.6225107502192</v>
      </c>
    </row>
    <row r="65" ht="19" customHeight="1">
      <c r="A65" s="10" t="n">
        <v>2025</v>
      </c>
      <c r="B65" s="10" t="n">
        <v>4</v>
      </c>
      <c r="C65" s="6" t="inlineStr">
        <is>
          <t>2025 Q4</t>
        </is>
      </c>
      <c r="D65" s="8" t="n">
        <v>63.6266666666667</v>
      </c>
      <c r="E65" s="8" t="n">
        <v>74.6133333333333</v>
      </c>
      <c r="F65" s="8" t="n">
        <v>-14.7248034310222</v>
      </c>
    </row>
  </sheetData>
  <autoFilter ref="A1:F6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611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9" customWidth="1" min="5" max="5"/>
    <col width="21" customWidth="1" min="6" max="6"/>
    <col width="22" customWidth="1" min="7" max="7"/>
    <col width="21" customWidth="1" min="8" max="8"/>
    <col width="21" customWidth="1" min="9" max="9"/>
    <col width="19" customWidth="1" min="10" max="10"/>
    <col width="20" customWidth="1" min="11" max="11"/>
    <col width="19" customWidth="1" min="12" max="12"/>
    <col width="21" customWidth="1" min="13" max="13"/>
    <col width="21" customWidth="1" min="14" max="14"/>
    <col width="22" customWidth="1" min="15" max="15"/>
    <col width="19" customWidth="1" min="16" max="16"/>
    <col width="21" customWidth="1" min="17" max="17"/>
  </cols>
  <sheetData>
    <row r="1" ht="26" customHeight="1">
      <c r="A1" s="5" t="inlineStr">
        <is>
          <t>country</t>
        </is>
      </c>
      <c r="B1" s="5" t="inlineStr">
        <is>
          <t>year</t>
        </is>
      </c>
      <c r="C1" s="5" t="inlineStr">
        <is>
          <t>quarter</t>
        </is>
      </c>
      <c r="D1" s="5" t="inlineStr">
        <is>
          <t>period</t>
        </is>
      </c>
      <c r="E1" s="5" t="inlineStr">
        <is>
          <t>hcpi_q</t>
        </is>
      </c>
      <c r="F1" s="5" t="inlineStr">
        <is>
          <t>inflation_yoy</t>
        </is>
      </c>
      <c r="G1" s="5" t="inlineStr">
        <is>
          <t>inflation_qoq</t>
        </is>
      </c>
      <c r="H1" s="5" t="inlineStr">
        <is>
          <t>gdp_growth</t>
        </is>
      </c>
      <c r="I1" s="5" t="inlineStr">
        <is>
          <t>money_growth</t>
        </is>
      </c>
      <c r="J1" s="5" t="inlineStr">
        <is>
          <t>reer_q</t>
        </is>
      </c>
      <c r="K1" s="5" t="inlineStr">
        <is>
          <t>reer_yoy</t>
        </is>
      </c>
      <c r="L1" s="5" t="inlineStr">
        <is>
          <t>fao_q</t>
        </is>
      </c>
      <c r="M1" s="5" t="inlineStr">
        <is>
          <t>fao_yoy</t>
        </is>
      </c>
      <c r="N1" s="5" t="inlineStr">
        <is>
          <t>ffr_q</t>
        </is>
      </c>
      <c r="O1" s="5" t="inlineStr">
        <is>
          <t>ffr_change</t>
        </is>
      </c>
      <c r="P1" s="5" t="inlineStr">
        <is>
          <t>oil_q</t>
        </is>
      </c>
      <c r="Q1" s="5" t="inlineStr">
        <is>
          <t>oil_yoy</t>
        </is>
      </c>
    </row>
    <row r="2" ht="19" customHeight="1">
      <c r="A2" s="6" t="inlineStr">
        <is>
          <t>Brunei</t>
        </is>
      </c>
      <c r="B2" s="10" t="n">
        <v>2010</v>
      </c>
      <c r="C2" s="10" t="n">
        <v>1</v>
      </c>
      <c r="D2" s="6" t="inlineStr">
        <is>
          <t>2010 Q1</t>
        </is>
      </c>
      <c r="E2" s="8" t="n">
        <v>99.966474294278</v>
      </c>
      <c r="F2" s="9" t="inlineStr"/>
      <c r="G2" s="9" t="inlineStr"/>
      <c r="H2" s="8" t="n">
        <v>2.37521603660103</v>
      </c>
      <c r="I2" s="8" t="n">
        <v>3.01898390622982</v>
      </c>
      <c r="J2" s="8" t="n">
        <v>104.243333333333</v>
      </c>
      <c r="K2" s="9" t="inlineStr"/>
      <c r="L2" s="8" t="n">
        <v>99.24199528149821</v>
      </c>
      <c r="M2" s="9" t="inlineStr"/>
      <c r="N2" s="8" t="n">
        <v>0.133333333333333</v>
      </c>
      <c r="O2" s="9" t="inlineStr"/>
      <c r="P2" s="8" t="n">
        <v>76.25</v>
      </c>
      <c r="Q2" s="9" t="inlineStr"/>
    </row>
    <row r="3" ht="19" customHeight="1">
      <c r="A3" s="6" t="inlineStr">
        <is>
          <t>Brunei</t>
        </is>
      </c>
      <c r="B3" s="10" t="n">
        <v>2010</v>
      </c>
      <c r="C3" s="10" t="n">
        <v>2</v>
      </c>
      <c r="D3" s="6" t="inlineStr">
        <is>
          <t>2010 Q2</t>
        </is>
      </c>
      <c r="E3" s="8" t="n">
        <v>99.94719000000001</v>
      </c>
      <c r="F3" s="9" t="inlineStr"/>
      <c r="G3" s="10" t="n">
        <v>-0.0192907616419991</v>
      </c>
      <c r="H3" s="8" t="n">
        <v>2.52167529189561</v>
      </c>
      <c r="I3" s="8" t="n">
        <v>3.73420818947302</v>
      </c>
      <c r="J3" s="8" t="n">
        <v>106</v>
      </c>
      <c r="K3" s="9" t="inlineStr"/>
      <c r="L3" s="8" t="n">
        <v>96.4984622523225</v>
      </c>
      <c r="M3" s="9" t="inlineStr"/>
      <c r="N3" s="8" t="n">
        <v>0.193333333333333</v>
      </c>
      <c r="O3" s="8" t="n">
        <v>0.06</v>
      </c>
      <c r="P3" s="8" t="n">
        <v>78.51000000000001</v>
      </c>
      <c r="Q3" s="9" t="inlineStr"/>
    </row>
    <row r="4" ht="19" customHeight="1">
      <c r="A4" s="6" t="inlineStr">
        <is>
          <t>Brunei</t>
        </is>
      </c>
      <c r="B4" s="10" t="n">
        <v>2010</v>
      </c>
      <c r="C4" s="10" t="n">
        <v>3</v>
      </c>
      <c r="D4" s="6" t="inlineStr">
        <is>
          <t>2010 Q3</t>
        </is>
      </c>
      <c r="E4" s="8" t="n">
        <v>99.88317000000001</v>
      </c>
      <c r="F4" s="9" t="inlineStr"/>
      <c r="G4" s="10" t="n">
        <v>-0.0640538268259605</v>
      </c>
      <c r="H4" s="8" t="n">
        <v>2.81459394896587</v>
      </c>
      <c r="I4" s="8" t="n">
        <v>5.16465747117585</v>
      </c>
      <c r="J4" s="8" t="n">
        <v>106.016666666667</v>
      </c>
      <c r="K4" s="9" t="inlineStr"/>
      <c r="L4" s="8" t="n">
        <v>107.356970480027</v>
      </c>
      <c r="M4" s="9" t="inlineStr"/>
      <c r="N4" s="8" t="n">
        <v>0.186666666666667</v>
      </c>
      <c r="O4" s="8" t="n">
        <v>-0.0066666666666666</v>
      </c>
      <c r="P4" s="8" t="n">
        <v>76.81999999999999</v>
      </c>
      <c r="Q4" s="9" t="inlineStr"/>
    </row>
    <row r="5" ht="19" customHeight="1">
      <c r="A5" s="6" t="inlineStr">
        <is>
          <t>Brunei</t>
        </is>
      </c>
      <c r="B5" s="10" t="n">
        <v>2010</v>
      </c>
      <c r="C5" s="10" t="n">
        <v>4</v>
      </c>
      <c r="D5" s="6" t="inlineStr">
        <is>
          <t>2010 Q4</t>
        </is>
      </c>
      <c r="E5" s="8" t="n">
        <v>100.020056666667</v>
      </c>
      <c r="F5" s="9" t="inlineStr"/>
      <c r="G5" s="10" t="n">
        <v>0.137046778417904</v>
      </c>
      <c r="H5" s="8" t="n">
        <v>3.25397230075231</v>
      </c>
      <c r="I5" s="8" t="n">
        <v>7.31033318181011</v>
      </c>
      <c r="J5" s="8" t="n">
        <v>106.623333333333</v>
      </c>
      <c r="K5" s="9" t="inlineStr"/>
      <c r="L5" s="8" t="n">
        <v>124.608736829891</v>
      </c>
      <c r="M5" s="9" t="inlineStr"/>
      <c r="N5" s="8" t="n">
        <v>0.186666666666667</v>
      </c>
      <c r="O5" s="8" t="n">
        <v>0</v>
      </c>
      <c r="P5" s="8" t="n">
        <v>86.4666666666667</v>
      </c>
      <c r="Q5" s="9" t="inlineStr"/>
    </row>
    <row r="6" ht="19" customHeight="1">
      <c r="A6" s="6" t="inlineStr">
        <is>
          <t>Brunei</t>
        </is>
      </c>
      <c r="B6" s="10" t="n">
        <v>2011</v>
      </c>
      <c r="C6" s="10" t="n">
        <v>1</v>
      </c>
      <c r="D6" s="6" t="inlineStr">
        <is>
          <t>2011 Q1</t>
        </is>
      </c>
      <c r="E6" s="8" t="n">
        <v>100.10139</v>
      </c>
      <c r="F6" s="10" t="n">
        <v>0.134960952333696</v>
      </c>
      <c r="G6" s="10" t="n">
        <v>0.08131702384892581</v>
      </c>
      <c r="H6" s="8" t="n">
        <v>3.83981078657831</v>
      </c>
      <c r="I6" s="8" t="n">
        <v>10.1712374670677</v>
      </c>
      <c r="J6" s="8" t="n">
        <v>106.406666666667</v>
      </c>
      <c r="K6" s="8" t="n">
        <v>2.07527259936686</v>
      </c>
      <c r="L6" s="8" t="n">
        <v>121.875946057639</v>
      </c>
      <c r="M6" s="8" t="n">
        <v>22.8068276055313</v>
      </c>
      <c r="N6" s="8" t="n">
        <v>0.156666666666667</v>
      </c>
      <c r="O6" s="8" t="n">
        <v>-0.03</v>
      </c>
      <c r="P6" s="8" t="n">
        <v>104.96</v>
      </c>
      <c r="Q6" s="8" t="n">
        <v>37.6524590163934</v>
      </c>
    </row>
    <row r="7" ht="19" customHeight="1">
      <c r="A7" s="6" t="inlineStr">
        <is>
          <t>Brunei</t>
        </is>
      </c>
      <c r="B7" s="10" t="n">
        <v>2011</v>
      </c>
      <c r="C7" s="10" t="n">
        <v>2</v>
      </c>
      <c r="D7" s="6" t="inlineStr">
        <is>
          <t>2011 Q2</t>
        </is>
      </c>
      <c r="E7" s="8" t="n">
        <v>100.106943333333</v>
      </c>
      <c r="F7" s="10" t="n">
        <v>0.159837743645741</v>
      </c>
      <c r="G7" s="10" t="n">
        <v>0.0055477085116661</v>
      </c>
      <c r="H7" s="8" t="n">
        <v>4.03598430924564</v>
      </c>
      <c r="I7" s="8" t="n">
        <v>11.2690605442687</v>
      </c>
      <c r="J7" s="8" t="n">
        <v>106.593333333333</v>
      </c>
      <c r="K7" s="8" t="n">
        <v>0.559748427672946</v>
      </c>
      <c r="L7" s="8" t="n">
        <v>122.00081812372</v>
      </c>
      <c r="M7" s="8" t="n">
        <v>26.4277329152819</v>
      </c>
      <c r="N7" s="8" t="n">
        <v>0.0933333333333333</v>
      </c>
      <c r="O7" s="8" t="n">
        <v>-0.0633333333333333</v>
      </c>
      <c r="P7" s="8" t="n">
        <v>117.36</v>
      </c>
      <c r="Q7" s="8" t="n">
        <v>49.4841421474971</v>
      </c>
    </row>
    <row r="8" ht="19" customHeight="1">
      <c r="A8" s="6" t="inlineStr">
        <is>
          <t>Brunei</t>
        </is>
      </c>
      <c r="B8" s="10" t="n">
        <v>2011</v>
      </c>
      <c r="C8" s="10" t="n">
        <v>3</v>
      </c>
      <c r="D8" s="6" t="inlineStr">
        <is>
          <t>2011 Q3</t>
        </is>
      </c>
      <c r="E8" s="8" t="n">
        <v>99.98531333333329</v>
      </c>
      <c r="F8" s="10" t="n">
        <v>0.102262806970721</v>
      </c>
      <c r="G8" s="10" t="n">
        <v>-0.121500063781788</v>
      </c>
      <c r="H8" s="8" t="n">
        <v>3.84249306497655</v>
      </c>
      <c r="I8" s="8" t="n">
        <v>10.6038035112293</v>
      </c>
      <c r="J8" s="8" t="n">
        <v>106.82</v>
      </c>
      <c r="K8" s="8" t="n">
        <v>0.757742493318658</v>
      </c>
      <c r="L8" s="8" t="n">
        <v>118.888757234176</v>
      </c>
      <c r="M8" s="8" t="n">
        <v>10.7415351817278</v>
      </c>
      <c r="N8" s="8" t="n">
        <v>0.0833333333333333</v>
      </c>
      <c r="O8" s="8" t="n">
        <v>-0.01</v>
      </c>
      <c r="P8" s="8" t="n">
        <v>113.34</v>
      </c>
      <c r="Q8" s="8" t="n">
        <v>47.5397032022911</v>
      </c>
    </row>
    <row r="9" ht="19" customHeight="1">
      <c r="A9" s="6" t="inlineStr">
        <is>
          <t>Brunei</t>
        </is>
      </c>
      <c r="B9" s="10" t="n">
        <v>2011</v>
      </c>
      <c r="C9" s="10" t="n">
        <v>4</v>
      </c>
      <c r="D9" s="6" t="inlineStr">
        <is>
          <t>2011 Q4</t>
        </is>
      </c>
      <c r="E9" s="8" t="n">
        <v>100.174636666667</v>
      </c>
      <c r="F9" s="10" t="n">
        <v>0.154549002621707</v>
      </c>
      <c r="G9" s="10" t="n">
        <v>0.189351142704486</v>
      </c>
      <c r="H9" s="8" t="n">
        <v>3.25933686020544</v>
      </c>
      <c r="I9" s="8" t="n">
        <v>8.1754657027421</v>
      </c>
      <c r="J9" s="8" t="n">
        <v>103.953333333333</v>
      </c>
      <c r="K9" s="8" t="n">
        <v>-2.50414230781255</v>
      </c>
      <c r="L9" s="8" t="n">
        <v>112.174119298219</v>
      </c>
      <c r="M9" s="8" t="n">
        <v>-9.978929124887189</v>
      </c>
      <c r="N9" s="8" t="n">
        <v>0.07333333333333331</v>
      </c>
      <c r="O9" s="8" t="n">
        <v>-0.01</v>
      </c>
      <c r="P9" s="8" t="n">
        <v>109.396666666667</v>
      </c>
      <c r="Q9" s="8" t="n">
        <v>26.5188897455667</v>
      </c>
    </row>
    <row r="10" ht="19" customHeight="1">
      <c r="A10" s="6" t="inlineStr">
        <is>
          <t>Brunei</t>
        </is>
      </c>
      <c r="B10" s="10" t="n">
        <v>2012</v>
      </c>
      <c r="C10" s="10" t="n">
        <v>1</v>
      </c>
      <c r="D10" s="6" t="inlineStr">
        <is>
          <t>2012 Q1</t>
        </is>
      </c>
      <c r="E10" s="8" t="n">
        <v>100.273496666667</v>
      </c>
      <c r="F10" s="10" t="n">
        <v>0.171932344462622</v>
      </c>
      <c r="G10" s="10" t="n">
        <v>0.0986876551686056</v>
      </c>
      <c r="H10" s="8" t="n">
        <v>2.28651511181898</v>
      </c>
      <c r="I10" s="8" t="n">
        <v>3.98404469042164</v>
      </c>
      <c r="J10" s="8" t="n">
        <v>104.903333333333</v>
      </c>
      <c r="K10" s="8" t="n">
        <v>-1.41281874569262</v>
      </c>
      <c r="L10" s="8" t="n">
        <v>112.921025549072</v>
      </c>
      <c r="M10" s="8" t="n">
        <v>-7.3475700482622</v>
      </c>
      <c r="N10" s="8" t="n">
        <v>0.103333333333333</v>
      </c>
      <c r="O10" s="8" t="n">
        <v>0.03</v>
      </c>
      <c r="P10" s="8" t="n">
        <v>118.49</v>
      </c>
      <c r="Q10" s="8" t="n">
        <v>12.890625</v>
      </c>
    </row>
    <row r="11" ht="19" customHeight="1">
      <c r="A11" s="6" t="inlineStr">
        <is>
          <t>Brunei</t>
        </is>
      </c>
      <c r="B11" s="10" t="n">
        <v>2012</v>
      </c>
      <c r="C11" s="10" t="n">
        <v>2</v>
      </c>
      <c r="D11" s="6" t="inlineStr">
        <is>
          <t>2012 Q2</t>
        </is>
      </c>
      <c r="E11" s="8" t="n">
        <v>100.185816666667</v>
      </c>
      <c r="F11" s="10" t="n">
        <v>0.07878907367164791</v>
      </c>
      <c r="G11" s="10" t="n">
        <v>-0.0874408521839731</v>
      </c>
      <c r="H11" s="8" t="n">
        <v>1.3480349094265</v>
      </c>
      <c r="I11" s="8" t="n">
        <v>1.0734913195324</v>
      </c>
      <c r="J11" s="8" t="n">
        <v>104.896666666667</v>
      </c>
      <c r="K11" s="8" t="n">
        <v>-1.59171930702358</v>
      </c>
      <c r="L11" s="8" t="n">
        <v>108.674540730789</v>
      </c>
      <c r="M11" s="8" t="n">
        <v>-10.9231049413272</v>
      </c>
      <c r="N11" s="8" t="n">
        <v>0.153333333333333</v>
      </c>
      <c r="O11" s="8" t="n">
        <v>0.05</v>
      </c>
      <c r="P11" s="8" t="n">
        <v>108.416666666667</v>
      </c>
      <c r="Q11" s="8" t="n">
        <v>-7.6204271756419</v>
      </c>
    </row>
    <row r="12" ht="19" customHeight="1">
      <c r="A12" s="6" t="inlineStr">
        <is>
          <t>Brunei</t>
        </is>
      </c>
      <c r="B12" s="10" t="n">
        <v>2012</v>
      </c>
      <c r="C12" s="10" t="n">
        <v>3</v>
      </c>
      <c r="D12" s="6" t="inlineStr">
        <is>
          <t>2012 Q3</t>
        </is>
      </c>
      <c r="E12" s="8" t="n">
        <v>100.0935</v>
      </c>
      <c r="F12" s="10" t="n">
        <v>0.108202558015691</v>
      </c>
      <c r="G12" s="10" t="n">
        <v>-0.0921454450721448</v>
      </c>
      <c r="H12" s="8" t="n">
        <v>0.443895314487284</v>
      </c>
      <c r="I12" s="8" t="n">
        <v>-0.556197320477498</v>
      </c>
      <c r="J12" s="8" t="n">
        <v>105.606666666667</v>
      </c>
      <c r="K12" s="8" t="n">
        <v>-1.13586719091306</v>
      </c>
      <c r="L12" s="8" t="n">
        <v>112.021404013206</v>
      </c>
      <c r="M12" s="8" t="n">
        <v>-5.77628480668088</v>
      </c>
      <c r="N12" s="8" t="n">
        <v>0.143333333333333</v>
      </c>
      <c r="O12" s="8" t="n">
        <v>-0.01</v>
      </c>
      <c r="P12" s="8" t="n">
        <v>109.613333333333</v>
      </c>
      <c r="Q12" s="8" t="n">
        <v>-3.28804187988943</v>
      </c>
    </row>
    <row r="13" ht="19" customHeight="1">
      <c r="A13" s="6" t="inlineStr">
        <is>
          <t>Brunei</t>
        </is>
      </c>
      <c r="B13" s="10" t="n">
        <v>2012</v>
      </c>
      <c r="C13" s="10" t="n">
        <v>4</v>
      </c>
      <c r="D13" s="6" t="inlineStr">
        <is>
          <t>2012 Q4</t>
        </is>
      </c>
      <c r="E13" s="8" t="n">
        <v>100.262946666667</v>
      </c>
      <c r="F13" s="10" t="n">
        <v>0.08815604721765791</v>
      </c>
      <c r="G13" s="10" t="n">
        <v>0.169288382029453</v>
      </c>
      <c r="H13" s="8" t="n">
        <v>-0.425904577061583</v>
      </c>
      <c r="I13" s="8" t="n">
        <v>-0.905022859356739</v>
      </c>
      <c r="J13" s="8" t="n">
        <v>105.93</v>
      </c>
      <c r="K13" s="8" t="n">
        <v>1.90149426024497</v>
      </c>
      <c r="L13" s="8" t="n">
        <v>112.043606667623</v>
      </c>
      <c r="M13" s="8" t="n">
        <v>-0.116348255206267</v>
      </c>
      <c r="N13" s="8" t="n">
        <v>0.16</v>
      </c>
      <c r="O13" s="8" t="n">
        <v>0.0166666666666667</v>
      </c>
      <c r="P13" s="8" t="n">
        <v>110.086666666667</v>
      </c>
      <c r="Q13" s="8" t="n">
        <v>0.630732197812245</v>
      </c>
    </row>
    <row r="14" ht="19" customHeight="1">
      <c r="A14" s="6" t="inlineStr">
        <is>
          <t>Brunei</t>
        </is>
      </c>
      <c r="B14" s="10" t="n">
        <v>2013</v>
      </c>
      <c r="C14" s="10" t="n">
        <v>1</v>
      </c>
      <c r="D14" s="6" t="inlineStr">
        <is>
          <t>2013 Q1</t>
        </is>
      </c>
      <c r="E14" s="8" t="n">
        <v>100.340556666667</v>
      </c>
      <c r="F14" s="10" t="n">
        <v>0.0668770933788476</v>
      </c>
      <c r="G14" s="10" t="n">
        <v>0.0774064622876436</v>
      </c>
      <c r="H14" s="8" t="n">
        <v>-1.261365635079</v>
      </c>
      <c r="I14" s="8" t="n">
        <v>0.0270143541576325</v>
      </c>
      <c r="J14" s="8" t="n">
        <v>105.37</v>
      </c>
      <c r="K14" s="8" t="n">
        <v>0.444853992564576</v>
      </c>
      <c r="L14" s="8" t="n">
        <v>112.344264317549</v>
      </c>
      <c r="M14" s="8" t="n">
        <v>-0.510765137598079</v>
      </c>
      <c r="N14" s="8" t="n">
        <v>0.143333333333333</v>
      </c>
      <c r="O14" s="8" t="n">
        <v>-0.0166666666666667</v>
      </c>
      <c r="P14" s="8" t="n">
        <v>112.493333333333</v>
      </c>
      <c r="Q14" s="8" t="n">
        <v>-5.06090528033308</v>
      </c>
    </row>
    <row r="15" ht="19" customHeight="1">
      <c r="A15" s="6" t="inlineStr">
        <is>
          <t>Brunei</t>
        </is>
      </c>
      <c r="B15" s="10" t="n">
        <v>2013</v>
      </c>
      <c r="C15" s="10" t="n">
        <v>2</v>
      </c>
      <c r="D15" s="6" t="inlineStr">
        <is>
          <t>2013 Q2</t>
        </is>
      </c>
      <c r="E15" s="8" t="n">
        <v>100.333106666667</v>
      </c>
      <c r="F15" s="10" t="n">
        <v>0.147016818248891</v>
      </c>
      <c r="G15" s="10" t="n">
        <v>-0.0074247146393258</v>
      </c>
      <c r="H15" s="8" t="n">
        <v>-1.94091665070825</v>
      </c>
      <c r="I15" s="8" t="n">
        <v>0.975530608293105</v>
      </c>
      <c r="J15" s="8" t="n">
        <v>105.556666666667</v>
      </c>
      <c r="K15" s="8" t="n">
        <v>0.62919063205058</v>
      </c>
      <c r="L15" s="8" t="n">
        <v>111.205746192615</v>
      </c>
      <c r="M15" s="8" t="n">
        <v>2.32916140689856</v>
      </c>
      <c r="N15" s="8" t="n">
        <v>0.116666666666667</v>
      </c>
      <c r="O15" s="8" t="n">
        <v>-0.0266666666666667</v>
      </c>
      <c r="P15" s="8" t="n">
        <v>102.576666666667</v>
      </c>
      <c r="Q15" s="8" t="n">
        <v>-5.38662567255957</v>
      </c>
    </row>
    <row r="16" ht="19" customHeight="1">
      <c r="A16" s="6" t="inlineStr">
        <is>
          <t>Brunei</t>
        </is>
      </c>
      <c r="B16" s="10" t="n">
        <v>2013</v>
      </c>
      <c r="C16" s="10" t="n">
        <v>3</v>
      </c>
      <c r="D16" s="6" t="inlineStr">
        <is>
          <t>2013 Q3</t>
        </is>
      </c>
      <c r="E16" s="8" t="n">
        <v>100.776963333333</v>
      </c>
      <c r="F16" s="10" t="n">
        <v>0.682824892059264</v>
      </c>
      <c r="G16" s="10" t="n">
        <v>0.442383059204254</v>
      </c>
      <c r="H16" s="8" t="n">
        <v>-2.46455830357063</v>
      </c>
      <c r="I16" s="8" t="n">
        <v>1.94052685154965</v>
      </c>
      <c r="J16" s="8" t="n">
        <v>104.533333333333</v>
      </c>
      <c r="K16" s="8" t="n">
        <v>-1.01634997790544</v>
      </c>
      <c r="L16" s="8" t="n">
        <v>106.517639660823</v>
      </c>
      <c r="M16" s="8" t="n">
        <v>-4.91313637859304</v>
      </c>
      <c r="N16" s="8" t="n">
        <v>0.0833333333333333</v>
      </c>
      <c r="O16" s="8" t="n">
        <v>-0.0333333333333333</v>
      </c>
      <c r="P16" s="8" t="n">
        <v>110.27</v>
      </c>
      <c r="Q16" s="8" t="n">
        <v>0.599075538255689</v>
      </c>
    </row>
    <row r="17" ht="19" customHeight="1">
      <c r="A17" s="6" t="inlineStr">
        <is>
          <t>Brunei</t>
        </is>
      </c>
      <c r="B17" s="10" t="n">
        <v>2013</v>
      </c>
      <c r="C17" s="10" t="n">
        <v>4</v>
      </c>
      <c r="D17" s="6" t="inlineStr">
        <is>
          <t>2013 Q4</t>
        </is>
      </c>
      <c r="E17" s="8" t="n">
        <v>100.925126666667</v>
      </c>
      <c r="F17" s="10" t="n">
        <v>0.66044338613096</v>
      </c>
      <c r="G17" s="10" t="n">
        <v>0.147021033808348</v>
      </c>
      <c r="H17" s="8" t="n">
        <v>-2.83229111726115</v>
      </c>
      <c r="I17" s="8" t="n">
        <v>2.92200404895638</v>
      </c>
      <c r="J17" s="8" t="n">
        <v>104.27</v>
      </c>
      <c r="K17" s="8" t="n">
        <v>-1.56707259510998</v>
      </c>
      <c r="L17" s="8" t="n">
        <v>108.042368791302</v>
      </c>
      <c r="M17" s="8" t="n">
        <v>-3.57114341043118</v>
      </c>
      <c r="N17" s="8" t="n">
        <v>0.0866666666666667</v>
      </c>
      <c r="O17" s="8" t="n">
        <v>0.0033333333333333</v>
      </c>
      <c r="P17" s="8" t="n">
        <v>109.21</v>
      </c>
      <c r="Q17" s="8" t="n">
        <v>-0.796342275782702</v>
      </c>
    </row>
    <row r="18" ht="19" customHeight="1">
      <c r="A18" s="6" t="inlineStr">
        <is>
          <t>Brunei</t>
        </is>
      </c>
      <c r="B18" s="10" t="n">
        <v>2014</v>
      </c>
      <c r="C18" s="10" t="n">
        <v>1</v>
      </c>
      <c r="D18" s="6" t="inlineStr">
        <is>
          <t>2014 Q1</t>
        </is>
      </c>
      <c r="E18" s="8" t="n">
        <v>100.03382</v>
      </c>
      <c r="F18" s="10" t="n">
        <v>-0.30569559992143</v>
      </c>
      <c r="G18" s="10" t="n">
        <v>-0.883136535077589</v>
      </c>
      <c r="H18" s="8" t="n">
        <v>-3.04411545950135</v>
      </c>
      <c r="I18" s="8" t="n">
        <v>3.91996318198423</v>
      </c>
      <c r="J18" s="8" t="n">
        <v>102.136666666667</v>
      </c>
      <c r="K18" s="8" t="n">
        <v>-3.06855208629907</v>
      </c>
      <c r="L18" s="8" t="n">
        <v>109.985285302654</v>
      </c>
      <c r="M18" s="8" t="n">
        <v>-2.09977699282194</v>
      </c>
      <c r="N18" s="8" t="n">
        <v>0.07333333333333331</v>
      </c>
      <c r="O18" s="8" t="n">
        <v>-0.0133333333333333</v>
      </c>
      <c r="P18" s="8" t="n">
        <v>108.166666666667</v>
      </c>
      <c r="Q18" s="8" t="n">
        <v>-3.84615384615383</v>
      </c>
    </row>
    <row r="19" ht="19" customHeight="1">
      <c r="A19" s="6" t="inlineStr">
        <is>
          <t>Brunei</t>
        </is>
      </c>
      <c r="B19" s="10" t="n">
        <v>2014</v>
      </c>
      <c r="C19" s="10" t="n">
        <v>2</v>
      </c>
      <c r="D19" s="6" t="inlineStr">
        <is>
          <t>2014 Q2</t>
        </is>
      </c>
      <c r="E19" s="8" t="n">
        <v>100.414143333333</v>
      </c>
      <c r="F19" s="10" t="n">
        <v>0.0807676243255173</v>
      </c>
      <c r="G19" s="10" t="n">
        <v>0.380194751468377</v>
      </c>
      <c r="H19" s="8" t="n">
        <v>-2.91435402200432</v>
      </c>
      <c r="I19" s="8" t="n">
        <v>4.03961203700055</v>
      </c>
      <c r="J19" s="8" t="n">
        <v>102.323333333333</v>
      </c>
      <c r="K19" s="8" t="n">
        <v>-3.06312565130895</v>
      </c>
      <c r="L19" s="8" t="n">
        <v>111.498689744988</v>
      </c>
      <c r="M19" s="8" t="n">
        <v>0.26342483406061</v>
      </c>
      <c r="N19" s="8" t="n">
        <v>0.0933333333333333</v>
      </c>
      <c r="O19" s="8" t="n">
        <v>0.02</v>
      </c>
      <c r="P19" s="8" t="n">
        <v>109.7</v>
      </c>
      <c r="Q19" s="8" t="n">
        <v>6.94439931108439</v>
      </c>
    </row>
    <row r="20" ht="19" customHeight="1">
      <c r="A20" s="6" t="inlineStr">
        <is>
          <t>Brunei</t>
        </is>
      </c>
      <c r="B20" s="10" t="n">
        <v>2014</v>
      </c>
      <c r="C20" s="10" t="n">
        <v>3</v>
      </c>
      <c r="D20" s="6" t="inlineStr">
        <is>
          <t>2014 Q3</t>
        </is>
      </c>
      <c r="E20" s="8" t="n">
        <v>100.44861</v>
      </c>
      <c r="F20" s="10" t="n">
        <v>-0.325821817281069</v>
      </c>
      <c r="G20" s="10" t="n">
        <v>0.0343245139803328</v>
      </c>
      <c r="H20" s="8" t="n">
        <v>-2.44300667498765</v>
      </c>
      <c r="I20" s="8" t="n">
        <v>3.28095073366048</v>
      </c>
      <c r="J20" s="8" t="n">
        <v>102.736666666667</v>
      </c>
      <c r="K20" s="8" t="n">
        <v>-1.71875</v>
      </c>
      <c r="L20" s="8" t="n">
        <v>104.211407968198</v>
      </c>
      <c r="M20" s="8" t="n">
        <v>-2.16511715802957</v>
      </c>
      <c r="N20" s="8" t="n">
        <v>0.09</v>
      </c>
      <c r="O20" s="8" t="n">
        <v>-0.0033333333333333</v>
      </c>
      <c r="P20" s="8" t="n">
        <v>101.823333333333</v>
      </c>
      <c r="Q20" s="8" t="n">
        <v>-7.65998609473715</v>
      </c>
    </row>
    <row r="21" ht="19" customHeight="1">
      <c r="A21" s="6" t="inlineStr">
        <is>
          <t>Brunei</t>
        </is>
      </c>
      <c r="B21" s="10" t="n">
        <v>2014</v>
      </c>
      <c r="C21" s="10" t="n">
        <v>4</v>
      </c>
      <c r="D21" s="6" t="inlineStr">
        <is>
          <t>2014 Q4</t>
        </is>
      </c>
      <c r="E21" s="8" t="n">
        <v>100.645823333333</v>
      </c>
      <c r="F21" s="10" t="n">
        <v>-0.276743109033495</v>
      </c>
      <c r="G21" s="10" t="n">
        <v>0.196332565809865</v>
      </c>
      <c r="H21" s="8" t="n">
        <v>-1.63007294707288</v>
      </c>
      <c r="I21" s="8" t="n">
        <v>1.64397851330274</v>
      </c>
      <c r="J21" s="8" t="n">
        <v>102.94</v>
      </c>
      <c r="K21" s="8" t="n">
        <v>-1.27553466960775</v>
      </c>
      <c r="L21" s="8" t="n">
        <v>99.4046630544031</v>
      </c>
      <c r="M21" s="8" t="n">
        <v>-7.9947393171137</v>
      </c>
      <c r="N21" s="8" t="n">
        <v>0.1</v>
      </c>
      <c r="O21" s="8" t="n">
        <v>0.01</v>
      </c>
      <c r="P21" s="8" t="n">
        <v>76.40333333333329</v>
      </c>
      <c r="Q21" s="8" t="n">
        <v>-30.0399841284376</v>
      </c>
    </row>
    <row r="22" ht="19" customHeight="1">
      <c r="A22" s="6" t="inlineStr">
        <is>
          <t>Brunei</t>
        </is>
      </c>
      <c r="B22" s="10" t="n">
        <v>2015</v>
      </c>
      <c r="C22" s="10" t="n">
        <v>1</v>
      </c>
      <c r="D22" s="6" t="inlineStr">
        <is>
          <t>2015 Q1</t>
        </is>
      </c>
      <c r="E22" s="8" t="n">
        <v>99.80821</v>
      </c>
      <c r="F22" s="10" t="n">
        <v>-0.225533724494376</v>
      </c>
      <c r="G22" s="10" t="n">
        <v>-0.8322385426359989</v>
      </c>
      <c r="H22" s="8" t="n">
        <v>-0.475552025372131</v>
      </c>
      <c r="I22" s="8" t="n">
        <v>-0.8713062610476759</v>
      </c>
      <c r="J22" s="8" t="n">
        <v>101.966666666667</v>
      </c>
      <c r="K22" s="8" t="n">
        <v>-0.16644365392775</v>
      </c>
      <c r="L22" s="8" t="n">
        <v>100.657732001964</v>
      </c>
      <c r="M22" s="8" t="n">
        <v>-8.4807283765489</v>
      </c>
      <c r="N22" s="8" t="n">
        <v>0.11</v>
      </c>
      <c r="O22" s="8" t="n">
        <v>0.01</v>
      </c>
      <c r="P22" s="8" t="n">
        <v>53.9166666666667</v>
      </c>
      <c r="Q22" s="8" t="n">
        <v>-50.1540832049307</v>
      </c>
    </row>
    <row r="23" ht="19" customHeight="1">
      <c r="A23" s="6" t="inlineStr">
        <is>
          <t>Brunei</t>
        </is>
      </c>
      <c r="B23" s="10" t="n">
        <v>2015</v>
      </c>
      <c r="C23" s="10" t="n">
        <v>2</v>
      </c>
      <c r="D23" s="6" t="inlineStr">
        <is>
          <t>2015 Q2</t>
        </is>
      </c>
      <c r="E23" s="8" t="n">
        <v>99.9428266666667</v>
      </c>
      <c r="F23" s="10" t="n">
        <v>-0.469372790546141</v>
      </c>
      <c r="G23" s="10" t="n">
        <v>0.134875344089092</v>
      </c>
      <c r="H23" s="8" t="n">
        <v>0.0195234720613583</v>
      </c>
      <c r="I23" s="8" t="n">
        <v>-2.23264312359659</v>
      </c>
      <c r="J23" s="8" t="n">
        <v>102.723333333333</v>
      </c>
      <c r="K23" s="8" t="n">
        <v>0.390917679252056</v>
      </c>
      <c r="L23" s="8" t="n">
        <v>96.8474817130345</v>
      </c>
      <c r="M23" s="8" t="n">
        <v>-13.1402513029193</v>
      </c>
      <c r="N23" s="8" t="n">
        <v>0.123333333333333</v>
      </c>
      <c r="O23" s="8" t="n">
        <v>0.0133333333333333</v>
      </c>
      <c r="P23" s="8" t="n">
        <v>61.6933333333333</v>
      </c>
      <c r="Q23" s="8" t="n">
        <v>-43.761774536615</v>
      </c>
    </row>
    <row r="24" ht="19" customHeight="1">
      <c r="A24" s="6" t="inlineStr">
        <is>
          <t>Brunei</t>
        </is>
      </c>
      <c r="B24" s="10" t="n">
        <v>2015</v>
      </c>
      <c r="C24" s="10" t="n">
        <v>3</v>
      </c>
      <c r="D24" s="6" t="inlineStr">
        <is>
          <t>2015 Q3</t>
        </is>
      </c>
      <c r="E24" s="8" t="n">
        <v>99.8995333333333</v>
      </c>
      <c r="F24" s="10" t="n">
        <v>-0.546624454700428</v>
      </c>
      <c r="G24" s="10" t="n">
        <v>-0.0433180997348792</v>
      </c>
      <c r="H24" s="8" t="n">
        <v>-0.14484595969254</v>
      </c>
      <c r="I24" s="8" t="n">
        <v>-2.44003343571231</v>
      </c>
      <c r="J24" s="8" t="n">
        <v>100.906666666667</v>
      </c>
      <c r="K24" s="8" t="n">
        <v>-1.78125304175725</v>
      </c>
      <c r="L24" s="8" t="n">
        <v>92.7459060049042</v>
      </c>
      <c r="M24" s="8" t="n">
        <v>-11.002156277164</v>
      </c>
      <c r="N24" s="8" t="n">
        <v>0.136666666666667</v>
      </c>
      <c r="O24" s="8" t="n">
        <v>0.0133333333333333</v>
      </c>
      <c r="P24" s="8" t="n">
        <v>50.2333333333333</v>
      </c>
      <c r="Q24" s="8" t="n">
        <v>-50.666186532229</v>
      </c>
    </row>
    <row r="25" ht="19" customHeight="1">
      <c r="A25" s="6" t="inlineStr">
        <is>
          <t>Brunei</t>
        </is>
      </c>
      <c r="B25" s="10" t="n">
        <v>2015</v>
      </c>
      <c r="C25" s="10" t="n">
        <v>4</v>
      </c>
      <c r="D25" s="6" t="inlineStr">
        <is>
          <t>2015 Q4</t>
        </is>
      </c>
      <c r="E25" s="8" t="n">
        <v>99.9309066666667</v>
      </c>
      <c r="F25" s="10" t="n">
        <v>-0.710329194981996</v>
      </c>
      <c r="G25" s="10" t="n">
        <v>0.0314048847742443</v>
      </c>
      <c r="H25" s="8" t="n">
        <v>-0.968660484969706</v>
      </c>
      <c r="I25" s="8" t="n">
        <v>-1.49347740478541</v>
      </c>
      <c r="J25" s="8" t="n">
        <v>101.036666666667</v>
      </c>
      <c r="K25" s="8" t="n">
        <v>-1.84897351207823</v>
      </c>
      <c r="L25" s="8" t="n">
        <v>90.3005619231251</v>
      </c>
      <c r="M25" s="8" t="n">
        <v>-9.15862581446042</v>
      </c>
      <c r="N25" s="8" t="n">
        <v>0.16</v>
      </c>
      <c r="O25" s="8" t="n">
        <v>0.0233333333333333</v>
      </c>
      <c r="P25" s="8" t="n">
        <v>43.57</v>
      </c>
      <c r="Q25" s="8" t="n">
        <v>-42.9736922472842</v>
      </c>
    </row>
    <row r="26" ht="19" customHeight="1">
      <c r="A26" s="6" t="inlineStr">
        <is>
          <t>Brunei</t>
        </is>
      </c>
      <c r="B26" s="10" t="n">
        <v>2016</v>
      </c>
      <c r="C26" s="10" t="n">
        <v>1</v>
      </c>
      <c r="D26" s="6" t="inlineStr">
        <is>
          <t>2016 Q1</t>
        </is>
      </c>
      <c r="E26" s="8" t="n">
        <v>99.67609</v>
      </c>
      <c r="F26" s="10" t="n">
        <v>-0.132373879864189</v>
      </c>
      <c r="G26" s="10" t="n">
        <v>-0.25499284972631</v>
      </c>
      <c r="H26" s="8" t="n">
        <v>-2.45192092762</v>
      </c>
      <c r="I26" s="8" t="n">
        <v>0.607025915760425</v>
      </c>
      <c r="J26" s="8" t="n">
        <v>101.736666666667</v>
      </c>
      <c r="K26" s="8" t="n">
        <v>-0.22556390977444</v>
      </c>
      <c r="L26" s="8" t="n">
        <v>91.66230580090431</v>
      </c>
      <c r="M26" s="8" t="n">
        <v>-8.936647013747329</v>
      </c>
      <c r="N26" s="8" t="n">
        <v>0.36</v>
      </c>
      <c r="O26" s="8" t="n">
        <v>0.2</v>
      </c>
      <c r="P26" s="8" t="n">
        <v>33.6966666666667</v>
      </c>
      <c r="Q26" s="8" t="n">
        <v>-37.5023183925811</v>
      </c>
    </row>
    <row r="27" ht="19" customHeight="1">
      <c r="A27" s="6" t="inlineStr">
        <is>
          <t>Brunei</t>
        </is>
      </c>
      <c r="B27" s="10" t="n">
        <v>2016</v>
      </c>
      <c r="C27" s="10" t="n">
        <v>2</v>
      </c>
      <c r="D27" s="6" t="inlineStr">
        <is>
          <t>2016 Q2</t>
        </is>
      </c>
      <c r="E27" s="8" t="n">
        <v>99.55277333333331</v>
      </c>
      <c r="F27" s="10" t="n">
        <v>-0.390276467398953</v>
      </c>
      <c r="G27" s="10" t="n">
        <v>-0.123717399696022</v>
      </c>
      <c r="H27" s="8" t="n">
        <v>-3.05562360707687</v>
      </c>
      <c r="I27" s="8" t="n">
        <v>1.80812396421194</v>
      </c>
      <c r="J27" s="8" t="n">
        <v>102.49</v>
      </c>
      <c r="K27" s="8" t="n">
        <v>-0.227147353733326</v>
      </c>
      <c r="L27" s="8" t="n">
        <v>96.9846126235507</v>
      </c>
      <c r="M27" s="8" t="n">
        <v>0.141594709630688</v>
      </c>
      <c r="N27" s="8" t="n">
        <v>0.373333333333333</v>
      </c>
      <c r="O27" s="8" t="n">
        <v>0.0133333333333334</v>
      </c>
      <c r="P27" s="8" t="n">
        <v>45.5233333333333</v>
      </c>
      <c r="Q27" s="8" t="n">
        <v>-26.2102874432678</v>
      </c>
    </row>
    <row r="28" ht="19" customHeight="1">
      <c r="A28" s="6" t="inlineStr">
        <is>
          <t>Brunei</t>
        </is>
      </c>
      <c r="B28" s="10" t="n">
        <v>2016</v>
      </c>
      <c r="C28" s="10" t="n">
        <v>3</v>
      </c>
      <c r="D28" s="6" t="inlineStr">
        <is>
          <t>2016 Q3</t>
        </is>
      </c>
      <c r="E28" s="8" t="n">
        <v>99.5748066666667</v>
      </c>
      <c r="F28" s="10" t="n">
        <v>-0.325053236818607</v>
      </c>
      <c r="G28" s="10" t="n">
        <v>0.0221323149477204</v>
      </c>
      <c r="H28" s="8" t="n">
        <v>-2.77976912700927</v>
      </c>
      <c r="I28" s="8" t="n">
        <v>2.10981794166607</v>
      </c>
      <c r="J28" s="8" t="n">
        <v>103.416666666667</v>
      </c>
      <c r="K28" s="8" t="n">
        <v>2.48744714587739</v>
      </c>
      <c r="L28" s="8" t="n">
        <v>100.864699533998</v>
      </c>
      <c r="M28" s="8" t="n">
        <v>8.75380259767431</v>
      </c>
      <c r="N28" s="8" t="n">
        <v>0.396666666666667</v>
      </c>
      <c r="O28" s="8" t="n">
        <v>0.0233333333333333</v>
      </c>
      <c r="P28" s="8" t="n">
        <v>45.7866666666667</v>
      </c>
      <c r="Q28" s="8" t="n">
        <v>-8.852023888520231</v>
      </c>
    </row>
    <row r="29" ht="19" customHeight="1">
      <c r="A29" s="6" t="inlineStr">
        <is>
          <t>Brunei</t>
        </is>
      </c>
      <c r="B29" s="10" t="n">
        <v>2016</v>
      </c>
      <c r="C29" s="10" t="n">
        <v>4</v>
      </c>
      <c r="D29" s="6" t="inlineStr">
        <is>
          <t>2016 Q4</t>
        </is>
      </c>
      <c r="E29" s="8" t="n">
        <v>99.66419999999999</v>
      </c>
      <c r="F29" s="10" t="n">
        <v>-0.266891070603725</v>
      </c>
      <c r="G29" s="10" t="n">
        <v>0.08977505086460449</v>
      </c>
      <c r="H29" s="8" t="n">
        <v>-1.62435721157891</v>
      </c>
      <c r="I29" s="8" t="n">
        <v>1.51210814977619</v>
      </c>
      <c r="J29" s="8" t="n">
        <v>102.096666666667</v>
      </c>
      <c r="K29" s="8" t="n">
        <v>1.04912408036686</v>
      </c>
      <c r="L29" s="8" t="n">
        <v>101.835604997953</v>
      </c>
      <c r="M29" s="8" t="n">
        <v>12.7740545896579</v>
      </c>
      <c r="N29" s="8" t="n">
        <v>0.45</v>
      </c>
      <c r="O29" s="8" t="n">
        <v>0.0533333333333333</v>
      </c>
      <c r="P29" s="8" t="n">
        <v>49.1866666666667</v>
      </c>
      <c r="Q29" s="8" t="n">
        <v>12.8911330426134</v>
      </c>
    </row>
    <row r="30" ht="19" customHeight="1">
      <c r="A30" s="6" t="inlineStr">
        <is>
          <t>Brunei</t>
        </is>
      </c>
      <c r="B30" s="10" t="n">
        <v>2017</v>
      </c>
      <c r="C30" s="10" t="n">
        <v>1</v>
      </c>
      <c r="D30" s="6" t="inlineStr">
        <is>
          <t>2017 Q1</t>
        </is>
      </c>
      <c r="E30" s="8" t="n">
        <v>98.2702033333333</v>
      </c>
      <c r="F30" s="10" t="n">
        <v>-1.4104552723393</v>
      </c>
      <c r="G30" s="10" t="n">
        <v>-1.39869347937038</v>
      </c>
      <c r="H30" s="8" t="n">
        <v>0.410613294640954</v>
      </c>
      <c r="I30" s="8" t="n">
        <v>0.0149939908232842</v>
      </c>
      <c r="J30" s="8" t="n">
        <v>100.286666666667</v>
      </c>
      <c r="K30" s="8" t="n">
        <v>-1.42524818977098</v>
      </c>
      <c r="L30" s="8" t="n">
        <v>100.125779631695</v>
      </c>
      <c r="M30" s="8" t="n">
        <v>9.23331980015236</v>
      </c>
      <c r="N30" s="8" t="n">
        <v>0.7</v>
      </c>
      <c r="O30" s="8" t="n">
        <v>0.25</v>
      </c>
      <c r="P30" s="8" t="n">
        <v>53.68</v>
      </c>
      <c r="Q30" s="8" t="n">
        <v>59.30359085963</v>
      </c>
    </row>
    <row r="31" ht="19" customHeight="1">
      <c r="A31" s="6" t="inlineStr">
        <is>
          <t>Brunei</t>
        </is>
      </c>
      <c r="B31" s="10" t="n">
        <v>2017</v>
      </c>
      <c r="C31" s="10" t="n">
        <v>2</v>
      </c>
      <c r="D31" s="6" t="inlineStr">
        <is>
          <t>2017 Q2</t>
        </is>
      </c>
      <c r="E31" s="8" t="n">
        <v>98.2079333333333</v>
      </c>
      <c r="F31" s="10" t="n">
        <v>-1.35088150231342</v>
      </c>
      <c r="G31" s="10" t="n">
        <v>-0.06336610476809219</v>
      </c>
      <c r="H31" s="8" t="n">
        <v>1.59184631825447</v>
      </c>
      <c r="I31" s="8" t="n">
        <v>-0.76648297213365</v>
      </c>
      <c r="J31" s="8" t="n">
        <v>100.026666666667</v>
      </c>
      <c r="K31" s="8" t="n">
        <v>-2.40348651900998</v>
      </c>
      <c r="L31" s="8" t="n">
        <v>99.4605526807123</v>
      </c>
      <c r="M31" s="8" t="n">
        <v>2.55292049963849</v>
      </c>
      <c r="N31" s="8" t="n">
        <v>0.95</v>
      </c>
      <c r="O31" s="8" t="n">
        <v>0.25</v>
      </c>
      <c r="P31" s="8" t="n">
        <v>49.67</v>
      </c>
      <c r="Q31" s="8" t="n">
        <v>9.10888189207</v>
      </c>
    </row>
    <row r="32" ht="19" customHeight="1">
      <c r="A32" s="6" t="inlineStr">
        <is>
          <t>Brunei</t>
        </is>
      </c>
      <c r="B32" s="10" t="n">
        <v>2017</v>
      </c>
      <c r="C32" s="10" t="n">
        <v>3</v>
      </c>
      <c r="D32" s="6" t="inlineStr">
        <is>
          <t>2017 Q3</t>
        </is>
      </c>
      <c r="E32" s="8" t="n">
        <v>98.3660366666667</v>
      </c>
      <c r="F32" s="10" t="n">
        <v>-1.21393155604753</v>
      </c>
      <c r="G32" s="10" t="n">
        <v>0.160988351925417</v>
      </c>
      <c r="H32" s="8" t="n">
        <v>1.91934304050647</v>
      </c>
      <c r="I32" s="8" t="n">
        <v>-0.832323520618285</v>
      </c>
      <c r="J32" s="8" t="n">
        <v>100.163333333333</v>
      </c>
      <c r="K32" s="8" t="n">
        <v>-3.14585012087026</v>
      </c>
      <c r="L32" s="8" t="n">
        <v>102.480667511988</v>
      </c>
      <c r="M32" s="8" t="n">
        <v>1.60211450136303</v>
      </c>
      <c r="N32" s="8" t="n">
        <v>1.15333333333333</v>
      </c>
      <c r="O32" s="8" t="n">
        <v>0.203333333333333</v>
      </c>
      <c r="P32" s="8" t="n">
        <v>52.11</v>
      </c>
      <c r="Q32" s="8" t="n">
        <v>13.8104251601631</v>
      </c>
    </row>
    <row r="33" ht="19" customHeight="1">
      <c r="A33" s="6" t="inlineStr">
        <is>
          <t>Brunei</t>
        </is>
      </c>
      <c r="B33" s="10" t="n">
        <v>2017</v>
      </c>
      <c r="C33" s="10" t="n">
        <v>4</v>
      </c>
      <c r="D33" s="6" t="inlineStr">
        <is>
          <t>2017 Q4</t>
        </is>
      </c>
      <c r="E33" s="8" t="n">
        <v>98.6009866666667</v>
      </c>
      <c r="F33" s="10" t="n">
        <v>-1.06679563306917</v>
      </c>
      <c r="G33" s="10" t="n">
        <v>0.23885276662734</v>
      </c>
      <c r="H33" s="8" t="n">
        <v>1.39310378891523</v>
      </c>
      <c r="I33" s="8" t="n">
        <v>-0.182527720484952</v>
      </c>
      <c r="J33" s="8" t="n">
        <v>99.90666666666669</v>
      </c>
      <c r="K33" s="8" t="n">
        <v>-2.14502595579352</v>
      </c>
      <c r="L33" s="8" t="n">
        <v>100.792675769869</v>
      </c>
      <c r="M33" s="8" t="n">
        <v>-1.0241302421728</v>
      </c>
      <c r="N33" s="8" t="n">
        <v>1.20333333333333</v>
      </c>
      <c r="O33" s="8" t="n">
        <v>0.05</v>
      </c>
      <c r="P33" s="8" t="n">
        <v>61.53</v>
      </c>
      <c r="Q33" s="8" t="n">
        <v>25.0948766603416</v>
      </c>
    </row>
    <row r="34" ht="19" customHeight="1">
      <c r="A34" s="6" t="inlineStr">
        <is>
          <t>Brunei</t>
        </is>
      </c>
      <c r="B34" s="10" t="n">
        <v>2018</v>
      </c>
      <c r="C34" s="10" t="n">
        <v>1</v>
      </c>
      <c r="D34" s="6" t="inlineStr">
        <is>
          <t>2018 Q1</t>
        </is>
      </c>
      <c r="E34" s="8" t="n">
        <v>99.3541433333333</v>
      </c>
      <c r="F34" s="10" t="n">
        <v>1.10302000324887</v>
      </c>
      <c r="G34" s="10" t="n">
        <v>0.763842931118752</v>
      </c>
      <c r="H34" s="8" t="n">
        <v>0.013128037243991</v>
      </c>
      <c r="I34" s="8" t="n">
        <v>1.18290507807134</v>
      </c>
      <c r="J34" s="8" t="n">
        <v>100.06</v>
      </c>
      <c r="K34" s="8" t="n">
        <v>-0.226018746260714</v>
      </c>
      <c r="L34" s="8" t="n">
        <v>96.02404012089779</v>
      </c>
      <c r="M34" s="8" t="n">
        <v>-4.09658683895945</v>
      </c>
      <c r="N34" s="8" t="n">
        <v>1.44666666666667</v>
      </c>
      <c r="O34" s="8" t="n">
        <v>0.243333333333333</v>
      </c>
      <c r="P34" s="8" t="n">
        <v>66.8066666666667</v>
      </c>
      <c r="Q34" s="8" t="n">
        <v>24.4535519125683</v>
      </c>
    </row>
    <row r="35" ht="19" customHeight="1">
      <c r="A35" s="6" t="inlineStr">
        <is>
          <t>Brunei</t>
        </is>
      </c>
      <c r="B35" s="10" t="n">
        <v>2018</v>
      </c>
      <c r="C35" s="10" t="n">
        <v>2</v>
      </c>
      <c r="D35" s="6" t="inlineStr">
        <is>
          <t>2018 Q2</t>
        </is>
      </c>
      <c r="E35" s="8" t="n">
        <v>99.3307466666667</v>
      </c>
      <c r="F35" s="10" t="n">
        <v>1.14330206860411</v>
      </c>
      <c r="G35" s="10" t="n">
        <v>-0.0235487578894134</v>
      </c>
      <c r="H35" s="8" t="n">
        <v>-0.523164877838268</v>
      </c>
      <c r="I35" s="8" t="n">
        <v>2.39092177817785</v>
      </c>
      <c r="J35" s="8" t="n">
        <v>100.01</v>
      </c>
      <c r="K35" s="8" t="n">
        <v>-0.0166622234071045</v>
      </c>
      <c r="L35" s="8" t="n">
        <v>96.1737638878632</v>
      </c>
      <c r="M35" s="8" t="n">
        <v>-3.30461545231933</v>
      </c>
      <c r="N35" s="8" t="n">
        <v>1.73666666666667</v>
      </c>
      <c r="O35" s="8" t="n">
        <v>0.29</v>
      </c>
      <c r="P35" s="8" t="n">
        <v>74.5</v>
      </c>
      <c r="Q35" s="8" t="n">
        <v>49.9899335615059</v>
      </c>
    </row>
    <row r="36" ht="19" customHeight="1">
      <c r="A36" s="6" t="inlineStr">
        <is>
          <t>Brunei</t>
        </is>
      </c>
      <c r="B36" s="10" t="n">
        <v>2018</v>
      </c>
      <c r="C36" s="10" t="n">
        <v>3</v>
      </c>
      <c r="D36" s="6" t="inlineStr">
        <is>
          <t>2018 Q3</t>
        </is>
      </c>
      <c r="E36" s="8" t="n">
        <v>99.5219366666667</v>
      </c>
      <c r="F36" s="10" t="n">
        <v>1.17510071480973</v>
      </c>
      <c r="G36" s="10" t="n">
        <v>0.192478166545551</v>
      </c>
      <c r="H36" s="8" t="n">
        <v>-0.215775492526004</v>
      </c>
      <c r="I36" s="8" t="n">
        <v>3.44152358778147</v>
      </c>
      <c r="J36" s="8" t="n">
        <v>99.5533333333333</v>
      </c>
      <c r="K36" s="8" t="n">
        <v>-0.609005291357445</v>
      </c>
      <c r="L36" s="8" t="n">
        <v>93.2694805076009</v>
      </c>
      <c r="M36" s="8" t="n">
        <v>-8.98821917149397</v>
      </c>
      <c r="N36" s="8" t="n">
        <v>1.92333333333333</v>
      </c>
      <c r="O36" s="8" t="n">
        <v>0.186666666666667</v>
      </c>
      <c r="P36" s="8" t="n">
        <v>75.2233333333333</v>
      </c>
      <c r="Q36" s="8" t="n">
        <v>44.3548902961683</v>
      </c>
    </row>
    <row r="37" ht="19" customHeight="1">
      <c r="A37" s="6" t="inlineStr">
        <is>
          <t>Brunei</t>
        </is>
      </c>
      <c r="B37" s="10" t="n">
        <v>2018</v>
      </c>
      <c r="C37" s="10" t="n">
        <v>4</v>
      </c>
      <c r="D37" s="6" t="inlineStr">
        <is>
          <t>2018 Q4</t>
        </is>
      </c>
      <c r="E37" s="8" t="n">
        <v>99.27135</v>
      </c>
      <c r="F37" s="10" t="n">
        <v>0.67987487346306</v>
      </c>
      <c r="G37" s="10" t="n">
        <v>-0.251790384170258</v>
      </c>
      <c r="H37" s="8" t="n">
        <v>0.935296500539584</v>
      </c>
      <c r="I37" s="8" t="n">
        <v>4.33471155751297</v>
      </c>
      <c r="J37" s="8" t="n">
        <v>99.4133333333333</v>
      </c>
      <c r="K37" s="8" t="n">
        <v>-0.4937942079274</v>
      </c>
      <c r="L37" s="8" t="n">
        <v>90.7369363173618</v>
      </c>
      <c r="M37" s="8" t="n">
        <v>-9.976656910534739</v>
      </c>
      <c r="N37" s="8" t="n">
        <v>2.22</v>
      </c>
      <c r="O37" s="8" t="n">
        <v>0.296666666666667</v>
      </c>
      <c r="P37" s="8" t="n">
        <v>67.7133333333333</v>
      </c>
      <c r="Q37" s="8" t="n">
        <v>10.0492984452029</v>
      </c>
    </row>
    <row r="38" ht="19" customHeight="1">
      <c r="A38" s="6" t="inlineStr">
        <is>
          <t>Brunei</t>
        </is>
      </c>
      <c r="B38" s="10" t="n">
        <v>2019</v>
      </c>
      <c r="C38" s="10" t="n">
        <v>1</v>
      </c>
      <c r="D38" s="6" t="inlineStr">
        <is>
          <t>2019 Q1</t>
        </is>
      </c>
      <c r="E38" s="8" t="n">
        <v>99.07077333333331</v>
      </c>
      <c r="F38" s="10" t="n">
        <v>-0.285212061110829</v>
      </c>
      <c r="G38" s="10" t="n">
        <v>-0.202048895946982</v>
      </c>
      <c r="H38" s="8" t="n">
        <v>2.93005225240879</v>
      </c>
      <c r="I38" s="8" t="n">
        <v>5.07048658061605</v>
      </c>
      <c r="J38" s="8" t="n">
        <v>99.4533333333333</v>
      </c>
      <c r="K38" s="8" t="n">
        <v>-0.6063028849357051</v>
      </c>
      <c r="L38" s="8" t="n">
        <v>93.8324987094736</v>
      </c>
      <c r="M38" s="8" t="n">
        <v>-2.2822841120463</v>
      </c>
      <c r="N38" s="8" t="n">
        <v>2.40333333333333</v>
      </c>
      <c r="O38" s="8" t="n">
        <v>0.183333333333333</v>
      </c>
      <c r="P38" s="8" t="n">
        <v>63.17</v>
      </c>
      <c r="Q38" s="8" t="n">
        <v>-5.4435685061371</v>
      </c>
    </row>
    <row r="39" ht="19" customHeight="1">
      <c r="A39" s="6" t="inlineStr">
        <is>
          <t>Brunei</t>
        </is>
      </c>
      <c r="B39" s="10" t="n">
        <v>2019</v>
      </c>
      <c r="C39" s="10" t="n">
        <v>2</v>
      </c>
      <c r="D39" s="6" t="inlineStr">
        <is>
          <t>2019 Q2</t>
        </is>
      </c>
      <c r="E39" s="8" t="n">
        <v>98.6733066666667</v>
      </c>
      <c r="F39" s="10" t="n">
        <v>-0.661869584254959</v>
      </c>
      <c r="G39" s="10" t="n">
        <v>-0.401194674568006</v>
      </c>
      <c r="H39" s="8" t="n">
        <v>4.10347089233443</v>
      </c>
      <c r="I39" s="8" t="n">
        <v>5.04418603193203</v>
      </c>
      <c r="J39" s="8" t="n">
        <v>98.6966666666667</v>
      </c>
      <c r="K39" s="8" t="n">
        <v>-1.31320201313201</v>
      </c>
      <c r="L39" s="8" t="n">
        <v>94.8842784155444</v>
      </c>
      <c r="M39" s="8" t="n">
        <v>-1.34078715461562</v>
      </c>
      <c r="N39" s="8" t="n">
        <v>2.39666666666667</v>
      </c>
      <c r="O39" s="8" t="n">
        <v>-0.0066666666666668</v>
      </c>
      <c r="P39" s="8" t="n">
        <v>68.9233333333333</v>
      </c>
      <c r="Q39" s="8" t="n">
        <v>-7.48545861297539</v>
      </c>
    </row>
    <row r="40" ht="19" customHeight="1">
      <c r="A40" s="6" t="inlineStr">
        <is>
          <t>Brunei</t>
        </is>
      </c>
      <c r="B40" s="10" t="n">
        <v>2019</v>
      </c>
      <c r="C40" s="10" t="n">
        <v>3</v>
      </c>
      <c r="D40" s="6" t="inlineStr">
        <is>
          <t>2019 Q3</t>
        </is>
      </c>
      <c r="E40" s="8" t="n">
        <v>98.9346533333333</v>
      </c>
      <c r="F40" s="10" t="n">
        <v>-0.590104406127423</v>
      </c>
      <c r="G40" s="10" t="n">
        <v>0.264860553978941</v>
      </c>
      <c r="H40" s="8" t="n">
        <v>4.4555535937287</v>
      </c>
      <c r="I40" s="8" t="n">
        <v>4.25580988524343</v>
      </c>
      <c r="J40" s="8" t="n">
        <v>98.69</v>
      </c>
      <c r="K40" s="8" t="n">
        <v>-0.8672068572959321</v>
      </c>
      <c r="L40" s="8" t="n">
        <v>94.5983508132319</v>
      </c>
      <c r="M40" s="8" t="n">
        <v>1.42476434777905</v>
      </c>
      <c r="N40" s="8" t="n">
        <v>2.19</v>
      </c>
      <c r="O40" s="8" t="n">
        <v>-0.206666666666667</v>
      </c>
      <c r="P40" s="8" t="n">
        <v>61.93</v>
      </c>
      <c r="Q40" s="8" t="n">
        <v>-17.6718216865334</v>
      </c>
    </row>
    <row r="41" ht="19" customHeight="1">
      <c r="A41" s="6" t="inlineStr">
        <is>
          <t>Brunei</t>
        </is>
      </c>
      <c r="B41" s="10" t="n">
        <v>2019</v>
      </c>
      <c r="C41" s="10" t="n">
        <v>4</v>
      </c>
      <c r="D41" s="6" t="inlineStr">
        <is>
          <t>2019 Q4</t>
        </is>
      </c>
      <c r="E41" s="8" t="n">
        <v>99.2472033333333</v>
      </c>
      <c r="F41" s="10" t="n">
        <v>-0.0243239027843067</v>
      </c>
      <c r="G41" s="10" t="n">
        <v>0.315915596274396</v>
      </c>
      <c r="H41" s="8" t="n">
        <v>3.98630070867696</v>
      </c>
      <c r="I41" s="8" t="n">
        <v>2.70535735212878</v>
      </c>
      <c r="J41" s="8" t="n">
        <v>98.79333333333329</v>
      </c>
      <c r="K41" s="8" t="n">
        <v>-0.623658798283255</v>
      </c>
      <c r="L41" s="8" t="n">
        <v>98.5900431134575</v>
      </c>
      <c r="M41" s="8" t="n">
        <v>8.654807088293911</v>
      </c>
      <c r="N41" s="8" t="n">
        <v>1.64333333333333</v>
      </c>
      <c r="O41" s="8" t="n">
        <v>-0.546666666666667</v>
      </c>
      <c r="P41" s="8" t="n">
        <v>63.41</v>
      </c>
      <c r="Q41" s="8" t="n">
        <v>-6.35522299891701</v>
      </c>
    </row>
    <row r="42" ht="19" customHeight="1">
      <c r="A42" s="6" t="inlineStr">
        <is>
          <t>Brunei</t>
        </is>
      </c>
      <c r="B42" s="10" t="n">
        <v>2020</v>
      </c>
      <c r="C42" s="10" t="n">
        <v>1</v>
      </c>
      <c r="D42" s="6" t="inlineStr">
        <is>
          <t>2020 Q1</t>
        </is>
      </c>
      <c r="E42" s="8" t="n">
        <v>100.450946666667</v>
      </c>
      <c r="F42" s="10" t="n">
        <v>1.39311856251449</v>
      </c>
      <c r="G42" s="10" t="n">
        <v>1.21287380692272</v>
      </c>
      <c r="H42" s="8" t="n">
        <v>2.69571176792317</v>
      </c>
      <c r="I42" s="8" t="n">
        <v>0.392826882113611</v>
      </c>
      <c r="J42" s="8" t="n">
        <v>98.7166666666667</v>
      </c>
      <c r="K42" s="8" t="n">
        <v>-0.74071591366135</v>
      </c>
      <c r="L42" s="8" t="n">
        <v>101.264856657347</v>
      </c>
      <c r="M42" s="8" t="n">
        <v>7.92087821393919</v>
      </c>
      <c r="N42" s="8" t="n">
        <v>1.26</v>
      </c>
      <c r="O42" s="8" t="n">
        <v>-0.383333333333333</v>
      </c>
      <c r="P42" s="8" t="n">
        <v>50.44</v>
      </c>
      <c r="Q42" s="8" t="n">
        <v>-20.1519708722495</v>
      </c>
    </row>
    <row r="43" ht="19" customHeight="1">
      <c r="A43" s="6" t="inlineStr">
        <is>
          <t>Brunei</t>
        </is>
      </c>
      <c r="B43" s="10" t="n">
        <v>2020</v>
      </c>
      <c r="C43" s="10" t="n">
        <v>2</v>
      </c>
      <c r="D43" s="6" t="inlineStr">
        <is>
          <t>2020 Q2</t>
        </is>
      </c>
      <c r="E43" s="8" t="n">
        <v>100.99007</v>
      </c>
      <c r="F43" s="10" t="n">
        <v>2.34791293775096</v>
      </c>
      <c r="G43" s="10" t="n">
        <v>0.536703088645196</v>
      </c>
      <c r="H43" s="8" t="n">
        <v>1.55462137985357</v>
      </c>
      <c r="I43" s="8" t="n">
        <v>-0.861184031037965</v>
      </c>
      <c r="J43" s="8" t="n">
        <v>99.83</v>
      </c>
      <c r="K43" s="8" t="n">
        <v>1.14829950352933</v>
      </c>
      <c r="L43" s="8" t="n">
        <v>94.2610802411244</v>
      </c>
      <c r="M43" s="8" t="n">
        <v>-0.656798138560644</v>
      </c>
      <c r="N43" s="8" t="n">
        <v>0.06</v>
      </c>
      <c r="O43" s="8" t="n">
        <v>-1.2</v>
      </c>
      <c r="P43" s="8" t="n">
        <v>29.3433333333333</v>
      </c>
      <c r="Q43" s="8" t="n">
        <v>-57.426125646854</v>
      </c>
    </row>
    <row r="44" ht="19" customHeight="1">
      <c r="A44" s="6" t="inlineStr">
        <is>
          <t>Brunei</t>
        </is>
      </c>
      <c r="B44" s="10" t="n">
        <v>2020</v>
      </c>
      <c r="C44" s="10" t="n">
        <v>3</v>
      </c>
      <c r="D44" s="6" t="inlineStr">
        <is>
          <t>2020 Q3</t>
        </is>
      </c>
      <c r="E44" s="8" t="n">
        <v>100.796276666667</v>
      </c>
      <c r="F44" s="10" t="n">
        <v>1.88166963810052</v>
      </c>
      <c r="G44" s="10" t="n">
        <v>-0.19189345381514</v>
      </c>
      <c r="H44" s="8" t="n">
        <v>0.563028403417696</v>
      </c>
      <c r="I44" s="8" t="n">
        <v>-1.05667664138249</v>
      </c>
      <c r="J44" s="8" t="n">
        <v>99.19</v>
      </c>
      <c r="K44" s="8" t="n">
        <v>0.506636943965955</v>
      </c>
      <c r="L44" s="8" t="n">
        <v>97.88852553233011</v>
      </c>
      <c r="M44" s="8" t="n">
        <v>3.47804659469599</v>
      </c>
      <c r="N44" s="8" t="n">
        <v>0.0933333333333333</v>
      </c>
      <c r="O44" s="8" t="n">
        <v>0.0333333333333333</v>
      </c>
      <c r="P44" s="8" t="n">
        <v>42.9633333333333</v>
      </c>
      <c r="Q44" s="8" t="n">
        <v>-30.6259755638086</v>
      </c>
    </row>
    <row r="45" ht="19" customHeight="1">
      <c r="A45" s="6" t="inlineStr">
        <is>
          <t>Brunei</t>
        </is>
      </c>
      <c r="B45" s="10" t="n">
        <v>2020</v>
      </c>
      <c r="C45" s="10" t="n">
        <v>4</v>
      </c>
      <c r="D45" s="6" t="inlineStr">
        <is>
          <t>2020 Q4</t>
        </is>
      </c>
      <c r="E45" s="8" t="n">
        <v>101.370906666667</v>
      </c>
      <c r="F45" s="10" t="n">
        <v>2.139811764973</v>
      </c>
      <c r="G45" s="10" t="n">
        <v>0.570090502350906</v>
      </c>
      <c r="H45" s="8" t="n">
        <v>-0.279068153039204</v>
      </c>
      <c r="I45" s="8" t="n">
        <v>-0.19365114432572</v>
      </c>
      <c r="J45" s="8" t="n">
        <v>99.8</v>
      </c>
      <c r="K45" s="8" t="n">
        <v>1.01896214319455</v>
      </c>
      <c r="L45" s="8" t="n">
        <v>107.405441783652</v>
      </c>
      <c r="M45" s="8" t="n">
        <v>8.9414695356711</v>
      </c>
      <c r="N45" s="8" t="n">
        <v>0.09</v>
      </c>
      <c r="O45" s="8" t="n">
        <v>-0.0033333333333333</v>
      </c>
      <c r="P45" s="8" t="n">
        <v>44.29</v>
      </c>
      <c r="Q45" s="8" t="n">
        <v>-30.152972717237</v>
      </c>
    </row>
    <row r="46" ht="19" customHeight="1">
      <c r="A46" s="6" t="inlineStr">
        <is>
          <t>Brunei</t>
        </is>
      </c>
      <c r="B46" s="10" t="n">
        <v>2021</v>
      </c>
      <c r="C46" s="10" t="n">
        <v>1</v>
      </c>
      <c r="D46" s="6" t="inlineStr">
        <is>
          <t>2021 Q1</t>
        </is>
      </c>
      <c r="E46" s="8" t="n">
        <v>102.275133333333</v>
      </c>
      <c r="F46" s="10" t="n">
        <v>1.81599748653438</v>
      </c>
      <c r="G46" s="10" t="n">
        <v>0.8919982038238849</v>
      </c>
      <c r="H46" s="8" t="n">
        <v>-0.971669131583917</v>
      </c>
      <c r="I46" s="8" t="n">
        <v>1.72789332303897</v>
      </c>
      <c r="J46" s="8" t="n">
        <v>99.40666666666669</v>
      </c>
      <c r="K46" s="8" t="n">
        <v>0.6989701164950231</v>
      </c>
      <c r="L46" s="8" t="n">
        <v>106.418456967928</v>
      </c>
      <c r="M46" s="8" t="n">
        <v>5.08922886053087</v>
      </c>
      <c r="N46" s="8" t="n">
        <v>0.08</v>
      </c>
      <c r="O46" s="8" t="n">
        <v>-0.01</v>
      </c>
      <c r="P46" s="8" t="n">
        <v>60.82</v>
      </c>
      <c r="Q46" s="8" t="n">
        <v>20.578905630452</v>
      </c>
    </row>
    <row r="47" ht="19" customHeight="1">
      <c r="A47" s="6" t="inlineStr">
        <is>
          <t>Brunei</t>
        </is>
      </c>
      <c r="B47" s="10" t="n">
        <v>2021</v>
      </c>
      <c r="C47" s="10" t="n">
        <v>2</v>
      </c>
      <c r="D47" s="6" t="inlineStr">
        <is>
          <t>2021 Q2</t>
        </is>
      </c>
      <c r="E47" s="8" t="n">
        <v>102.279933333333</v>
      </c>
      <c r="F47" s="10" t="n">
        <v>1.27721798126621</v>
      </c>
      <c r="G47" s="10" t="n">
        <v>0.0046932229209151</v>
      </c>
      <c r="H47" s="8" t="n">
        <v>-1.49634666522222</v>
      </c>
      <c r="I47" s="8" t="n">
        <v>2.88759159695277</v>
      </c>
      <c r="J47" s="8" t="n">
        <v>98.7766666666667</v>
      </c>
      <c r="K47" s="8" t="n">
        <v>-1.05512704931716</v>
      </c>
      <c r="L47" s="8" t="n">
        <v>114.551815876528</v>
      </c>
      <c r="M47" s="8" t="n">
        <v>21.5261013172124</v>
      </c>
      <c r="N47" s="8" t="n">
        <v>0.07000000000000001</v>
      </c>
      <c r="O47" s="8" t="n">
        <v>-0.01</v>
      </c>
      <c r="P47" s="8" t="n">
        <v>68.8333333333333</v>
      </c>
      <c r="Q47" s="8" t="n">
        <v>134.579120754288</v>
      </c>
    </row>
    <row r="48" ht="19" customHeight="1">
      <c r="A48" s="6" t="inlineStr">
        <is>
          <t>Brunei</t>
        </is>
      </c>
      <c r="B48" s="10" t="n">
        <v>2021</v>
      </c>
      <c r="C48" s="10" t="n">
        <v>3</v>
      </c>
      <c r="D48" s="6" t="inlineStr">
        <is>
          <t>2021 Q3</t>
        </is>
      </c>
      <c r="E48" s="8" t="n">
        <v>102.677966666667</v>
      </c>
      <c r="F48" s="10" t="n">
        <v>1.86682490884336</v>
      </c>
      <c r="G48" s="10" t="n">
        <v>0.3891607281715</v>
      </c>
      <c r="H48" s="8" t="n">
        <v>-1.85310127864643</v>
      </c>
      <c r="I48" s="8" t="n">
        <v>3.28544483706631</v>
      </c>
      <c r="J48" s="8" t="n">
        <v>98.04000000000001</v>
      </c>
      <c r="K48" s="8" t="n">
        <v>-1.15939106764794</v>
      </c>
      <c r="L48" s="8" t="n">
        <v>116.298331246585</v>
      </c>
      <c r="M48" s="8" t="n">
        <v>18.8069087915464</v>
      </c>
      <c r="N48" s="8" t="n">
        <v>0.09</v>
      </c>
      <c r="O48" s="8" t="n">
        <v>0.02</v>
      </c>
      <c r="P48" s="8" t="n">
        <v>73.47</v>
      </c>
      <c r="Q48" s="8" t="n">
        <v>71.0062844285825</v>
      </c>
    </row>
    <row r="49" ht="19" customHeight="1">
      <c r="A49" s="6" t="inlineStr">
        <is>
          <t>Brunei</t>
        </is>
      </c>
      <c r="B49" s="10" t="n">
        <v>2021</v>
      </c>
      <c r="C49" s="10" t="n">
        <v>4</v>
      </c>
      <c r="D49" s="6" t="inlineStr">
        <is>
          <t>2021 Q4</t>
        </is>
      </c>
      <c r="E49" s="8" t="n">
        <v>103.371333333333</v>
      </c>
      <c r="F49" s="10" t="n">
        <v>1.9733735570153</v>
      </c>
      <c r="G49" s="10" t="n">
        <v>0.67528281789766</v>
      </c>
      <c r="H49" s="8" t="n">
        <v>-2.04193332855551</v>
      </c>
      <c r="I49" s="8" t="n">
        <v>2.92145344123888</v>
      </c>
      <c r="J49" s="8" t="n">
        <v>97.8633333333333</v>
      </c>
      <c r="K49" s="8" t="n">
        <v>-1.94054776219105</v>
      </c>
      <c r="L49" s="8" t="n">
        <v>122.679602624024</v>
      </c>
      <c r="M49" s="8" t="n">
        <v>14.2210306914792</v>
      </c>
      <c r="N49" s="8" t="n">
        <v>0.08</v>
      </c>
      <c r="O49" s="8" t="n">
        <v>-0.01</v>
      </c>
      <c r="P49" s="8" t="n">
        <v>79.5866666666667</v>
      </c>
      <c r="Q49" s="8" t="n">
        <v>79.69443817265</v>
      </c>
    </row>
    <row r="50" ht="19" customHeight="1">
      <c r="A50" s="6" t="inlineStr">
        <is>
          <t>Brunei</t>
        </is>
      </c>
      <c r="B50" s="10" t="n">
        <v>2022</v>
      </c>
      <c r="C50" s="10" t="n">
        <v>1</v>
      </c>
      <c r="D50" s="6" t="inlineStr">
        <is>
          <t>2022 Q1</t>
        </is>
      </c>
      <c r="E50" s="8" t="n">
        <v>105.6068</v>
      </c>
      <c r="F50" s="10" t="n">
        <v>3.25755299267922</v>
      </c>
      <c r="G50" s="10" t="n">
        <v>2.162559574866</v>
      </c>
      <c r="H50" s="8" t="n">
        <v>-2.06284300383898</v>
      </c>
      <c r="I50" s="8" t="n">
        <v>1.7956170454272</v>
      </c>
      <c r="J50" s="8" t="n">
        <v>98.88</v>
      </c>
      <c r="K50" s="8" t="n">
        <v>-0.529810207229564</v>
      </c>
      <c r="L50" s="8" t="n">
        <v>124.25343875034</v>
      </c>
      <c r="M50" s="8" t="n">
        <v>16.7592937264516</v>
      </c>
      <c r="N50" s="8" t="n">
        <v>0.12</v>
      </c>
      <c r="O50" s="8" t="n">
        <v>0.04</v>
      </c>
      <c r="P50" s="8" t="n">
        <v>100.296666666667</v>
      </c>
      <c r="Q50" s="8" t="n">
        <v>64.9073769593335</v>
      </c>
    </row>
    <row r="51" ht="19" customHeight="1">
      <c r="A51" s="6" t="inlineStr">
        <is>
          <t>Brunei</t>
        </is>
      </c>
      <c r="B51" s="10" t="n">
        <v>2022</v>
      </c>
      <c r="C51" s="10" t="n">
        <v>2</v>
      </c>
      <c r="D51" s="6" t="inlineStr">
        <is>
          <t>2022 Q2</t>
        </is>
      </c>
      <c r="E51" s="8" t="n">
        <v>106.254933333333</v>
      </c>
      <c r="F51" s="10" t="n">
        <v>3.88639283430636</v>
      </c>
      <c r="G51" s="10" t="n">
        <v>0.613723106214126</v>
      </c>
      <c r="H51" s="8" t="n">
        <v>-1.89740239183775</v>
      </c>
      <c r="I51" s="8" t="n">
        <v>1.12763783882181</v>
      </c>
      <c r="J51" s="8" t="n">
        <v>98.7833333333333</v>
      </c>
      <c r="K51" s="8" t="n">
        <v>0.0067492322748163</v>
      </c>
      <c r="L51" s="8" t="n">
        <v>134.351432934678</v>
      </c>
      <c r="M51" s="8" t="n">
        <v>17.2844200736996</v>
      </c>
      <c r="N51" s="8" t="n">
        <v>0.77</v>
      </c>
      <c r="O51" s="8" t="n">
        <v>0.65</v>
      </c>
      <c r="P51" s="8" t="n">
        <v>113.543333333333</v>
      </c>
      <c r="Q51" s="8" t="n">
        <v>64.95399515738499</v>
      </c>
    </row>
    <row r="52" ht="19" customHeight="1">
      <c r="A52" s="6" t="inlineStr">
        <is>
          <t>Brunei</t>
        </is>
      </c>
      <c r="B52" s="10" t="n">
        <v>2022</v>
      </c>
      <c r="C52" s="10" t="n">
        <v>3</v>
      </c>
      <c r="D52" s="6" t="inlineStr">
        <is>
          <t>2022 Q3</t>
        </is>
      </c>
      <c r="E52" s="8" t="n">
        <v>107.083966666667</v>
      </c>
      <c r="F52" s="10" t="n">
        <v>4.29108614344071</v>
      </c>
      <c r="G52" s="10" t="n">
        <v>0.780230439496465</v>
      </c>
      <c r="H52" s="8" t="n">
        <v>-1.54561132710216</v>
      </c>
      <c r="I52" s="8" t="n">
        <v>0.917515153465986</v>
      </c>
      <c r="J52" s="8" t="n">
        <v>99.56666666666671</v>
      </c>
      <c r="K52" s="8" t="n">
        <v>1.55718754249965</v>
      </c>
      <c r="L52" s="8" t="n">
        <v>118.584751746656</v>
      </c>
      <c r="M52" s="8" t="n">
        <v>1.96599596534466</v>
      </c>
      <c r="N52" s="8" t="n">
        <v>2.19</v>
      </c>
      <c r="O52" s="8" t="n">
        <v>1.42</v>
      </c>
      <c r="P52" s="8" t="n">
        <v>100.713333333333</v>
      </c>
      <c r="Q52" s="8" t="n">
        <v>37.0808946962479</v>
      </c>
    </row>
    <row r="53" ht="19" customHeight="1">
      <c r="A53" s="6" t="inlineStr">
        <is>
          <t>Brunei</t>
        </is>
      </c>
      <c r="B53" s="10" t="n">
        <v>2022</v>
      </c>
      <c r="C53" s="10" t="n">
        <v>4</v>
      </c>
      <c r="D53" s="6" t="inlineStr">
        <is>
          <t>2022 Q4</t>
        </is>
      </c>
      <c r="E53" s="8" t="n">
        <v>106.7781</v>
      </c>
      <c r="F53" s="10" t="n">
        <v>3.2956590157168</v>
      </c>
      <c r="G53" s="10" t="n">
        <v>-0.285632551900872</v>
      </c>
      <c r="H53" s="8" t="n">
        <v>-1.00746945783499</v>
      </c>
      <c r="I53" s="8" t="n">
        <v>1.16524877923138</v>
      </c>
      <c r="J53" s="8" t="n">
        <v>99.09333333333331</v>
      </c>
      <c r="K53" s="8" t="n">
        <v>1.25685479750672</v>
      </c>
      <c r="L53" s="8" t="n">
        <v>115.210051245214</v>
      </c>
      <c r="M53" s="8" t="n">
        <v>-6.08866610181539</v>
      </c>
      <c r="N53" s="8" t="n">
        <v>3.65333333333333</v>
      </c>
      <c r="O53" s="8" t="n">
        <v>1.46333333333333</v>
      </c>
      <c r="P53" s="8" t="n">
        <v>88.5566666666667</v>
      </c>
      <c r="Q53" s="8" t="n">
        <v>11.2707321159323</v>
      </c>
    </row>
    <row r="54" ht="19" customHeight="1">
      <c r="A54" s="6" t="inlineStr">
        <is>
          <t>Brunei</t>
        </is>
      </c>
      <c r="B54" s="10" t="n">
        <v>2023</v>
      </c>
      <c r="C54" s="10" t="n">
        <v>1</v>
      </c>
      <c r="D54" s="6" t="inlineStr">
        <is>
          <t>2023 Q1</t>
        </is>
      </c>
      <c r="E54" s="8" t="n">
        <v>106.647633333333</v>
      </c>
      <c r="F54" s="10" t="n">
        <v>0.985574161259817</v>
      </c>
      <c r="G54" s="10" t="n">
        <v>-0.122184855009277</v>
      </c>
      <c r="H54" s="8" t="n">
        <v>-0.282976245910328</v>
      </c>
      <c r="I54" s="8" t="n">
        <v>1.87083896375893</v>
      </c>
      <c r="J54" s="8" t="n">
        <v>98.7866666666667</v>
      </c>
      <c r="K54" s="8" t="n">
        <v>-0.0943905070118545</v>
      </c>
      <c r="L54" s="8" t="n">
        <v>114.034689515825</v>
      </c>
      <c r="M54" s="8" t="n">
        <v>-8.224117849203459</v>
      </c>
      <c r="N54" s="8" t="n">
        <v>4.51666666666667</v>
      </c>
      <c r="O54" s="8" t="n">
        <v>0.863333333333333</v>
      </c>
      <c r="P54" s="8" t="n">
        <v>81.1733333333333</v>
      </c>
      <c r="Q54" s="8" t="n">
        <v>-19.0667685865266</v>
      </c>
    </row>
    <row r="55" ht="19" customHeight="1">
      <c r="A55" s="6" t="inlineStr">
        <is>
          <t>Brunei</t>
        </is>
      </c>
      <c r="B55" s="10" t="n">
        <v>2023</v>
      </c>
      <c r="C55" s="10" t="n">
        <v>2</v>
      </c>
      <c r="D55" s="6" t="inlineStr">
        <is>
          <t>2023 Q2</t>
        </is>
      </c>
      <c r="E55" s="8" t="n">
        <v>106.6591</v>
      </c>
      <c r="F55" s="10" t="n">
        <v>0.38037449555286</v>
      </c>
      <c r="G55" s="10" t="n">
        <v>0.0107519185454708</v>
      </c>
      <c r="H55" s="8" t="n">
        <v>0.57106876988098</v>
      </c>
      <c r="I55" s="8" t="n">
        <v>2.48047455273909</v>
      </c>
      <c r="J55" s="8" t="n">
        <v>97.7033333333333</v>
      </c>
      <c r="K55" s="8" t="n">
        <v>-1.09330183904167</v>
      </c>
      <c r="L55" s="8" t="n">
        <v>109.857789884183</v>
      </c>
      <c r="M55" s="8" t="n">
        <v>-18.2310247948031</v>
      </c>
      <c r="N55" s="8" t="n">
        <v>4.99</v>
      </c>
      <c r="O55" s="8" t="n">
        <v>0.473333333333334</v>
      </c>
      <c r="P55" s="8" t="n">
        <v>78.31666666666671</v>
      </c>
      <c r="Q55" s="8" t="n">
        <v>-31.0248656900449</v>
      </c>
    </row>
    <row r="56" ht="19" customHeight="1">
      <c r="A56" s="6" t="inlineStr">
        <is>
          <t>Brunei</t>
        </is>
      </c>
      <c r="B56" s="10" t="n">
        <v>2023</v>
      </c>
      <c r="C56" s="10" t="n">
        <v>3</v>
      </c>
      <c r="D56" s="6" t="inlineStr">
        <is>
          <t>2023 Q3</t>
        </is>
      </c>
      <c r="E56" s="8" t="n">
        <v>106.823633333333</v>
      </c>
      <c r="F56" s="10" t="n">
        <v>-0.243111402609608</v>
      </c>
      <c r="G56" s="10" t="n">
        <v>0.15426094288562</v>
      </c>
      <c r="H56" s="8" t="n">
        <v>1.55466644363133</v>
      </c>
      <c r="I56" s="8" t="n">
        <v>2.99415615568129</v>
      </c>
      <c r="J56" s="8" t="n">
        <v>96.9633333333333</v>
      </c>
      <c r="K56" s="8" t="n">
        <v>-2.61466354201541</v>
      </c>
      <c r="L56" s="8" t="n">
        <v>107.510614988168</v>
      </c>
      <c r="M56" s="8" t="n">
        <v>-9.338584088911441</v>
      </c>
      <c r="N56" s="8" t="n">
        <v>5.26</v>
      </c>
      <c r="O56" s="8" t="n">
        <v>0.27</v>
      </c>
      <c r="P56" s="8" t="n">
        <v>86.66</v>
      </c>
      <c r="Q56" s="8" t="n">
        <v>-13.9537962533925</v>
      </c>
    </row>
    <row r="57" ht="19" customHeight="1">
      <c r="A57" s="6" t="inlineStr">
        <is>
          <t>Brunei</t>
        </is>
      </c>
      <c r="B57" s="10" t="n">
        <v>2023</v>
      </c>
      <c r="C57" s="10" t="n">
        <v>4</v>
      </c>
      <c r="D57" s="6" t="inlineStr">
        <is>
          <t>2023 Q4</t>
        </is>
      </c>
      <c r="E57" s="8" t="n">
        <v>107.113566666667</v>
      </c>
      <c r="F57" s="10" t="n">
        <v>0.314171788659534</v>
      </c>
      <c r="G57" s="10" t="n">
        <v>0.27141309866201</v>
      </c>
      <c r="H57" s="8" t="n">
        <v>2.66781775890197</v>
      </c>
      <c r="I57" s="8" t="n">
        <v>3.41188428631623</v>
      </c>
      <c r="J57" s="8" t="n">
        <v>97.2533333333333</v>
      </c>
      <c r="K57" s="8" t="n">
        <v>-1.85683530678149</v>
      </c>
      <c r="L57" s="8" t="n">
        <v>105.339533846651</v>
      </c>
      <c r="M57" s="8" t="n">
        <v>-8.56740995414912</v>
      </c>
      <c r="N57" s="8" t="n">
        <v>5.33</v>
      </c>
      <c r="O57" s="8" t="n">
        <v>0.0700000000000003</v>
      </c>
      <c r="P57" s="8" t="n">
        <v>83.7233333333333</v>
      </c>
      <c r="Q57" s="8" t="n">
        <v>-5.45789889712802</v>
      </c>
    </row>
    <row r="58" ht="19" customHeight="1">
      <c r="A58" s="6" t="inlineStr">
        <is>
          <t>Brunei</t>
        </is>
      </c>
      <c r="B58" s="10" t="n">
        <v>2024</v>
      </c>
      <c r="C58" s="10" t="n">
        <v>1</v>
      </c>
      <c r="D58" s="6" t="inlineStr">
        <is>
          <t>2024 Q1</t>
        </is>
      </c>
      <c r="E58" s="8" t="n">
        <v>106.3147</v>
      </c>
      <c r="F58" s="10" t="n">
        <v>-0.312180704744502</v>
      </c>
      <c r="G58" s="10" t="n">
        <v>-0.745812777528654</v>
      </c>
      <c r="H58" s="8" t="n">
        <v>3.91052382885477</v>
      </c>
      <c r="I58" s="8" t="n">
        <v>3.73365936240846</v>
      </c>
      <c r="J58" s="8" t="n">
        <v>96.2566666666667</v>
      </c>
      <c r="K58" s="8" t="n">
        <v>-2.56107436901067</v>
      </c>
      <c r="L58" s="8" t="n">
        <v>102.582568583479</v>
      </c>
      <c r="M58" s="8" t="n">
        <v>-10.0426641936497</v>
      </c>
      <c r="N58" s="8" t="n">
        <v>5.33</v>
      </c>
      <c r="O58" s="8" t="n">
        <v>0</v>
      </c>
      <c r="P58" s="8" t="n">
        <v>83.0033333333333</v>
      </c>
      <c r="Q58" s="8" t="n">
        <v>2.25443495400788</v>
      </c>
    </row>
    <row r="59" ht="19" customHeight="1">
      <c r="A59" s="6" t="inlineStr">
        <is>
          <t>Brunei</t>
        </is>
      </c>
      <c r="B59" s="10" t="n">
        <v>2024</v>
      </c>
      <c r="C59" s="10" t="n">
        <v>2</v>
      </c>
      <c r="D59" s="6" t="inlineStr">
        <is>
          <t>2024 Q2</t>
        </is>
      </c>
      <c r="E59" s="8" t="n">
        <v>106.436233333333</v>
      </c>
      <c r="F59" s="10" t="n">
        <v>-0.208952322555389</v>
      </c>
      <c r="G59" s="10" t="n">
        <v>0.114314702795881</v>
      </c>
      <c r="H59" s="8" t="n">
        <v>4.46440335446315</v>
      </c>
      <c r="I59" s="8" t="n">
        <v>3.82210539266443</v>
      </c>
      <c r="J59" s="8" t="n">
        <v>95.6966666666667</v>
      </c>
      <c r="K59" s="8" t="n">
        <v>-2.05383644365595</v>
      </c>
      <c r="L59" s="8" t="n">
        <v>104.519793640698</v>
      </c>
      <c r="M59" s="8" t="n">
        <v>-4.85900567371084</v>
      </c>
      <c r="N59" s="8" t="n">
        <v>5.33</v>
      </c>
      <c r="O59" s="8" t="n">
        <v>0</v>
      </c>
      <c r="P59" s="8" t="n">
        <v>84.6466666666667</v>
      </c>
      <c r="Q59" s="8" t="n">
        <v>8.082570759736109</v>
      </c>
    </row>
    <row r="60" ht="19" customHeight="1">
      <c r="A60" s="6" t="inlineStr">
        <is>
          <t>Brunei</t>
        </is>
      </c>
      <c r="B60" s="10" t="n">
        <v>2024</v>
      </c>
      <c r="C60" s="10" t="n">
        <v>3</v>
      </c>
      <c r="D60" s="6" t="inlineStr">
        <is>
          <t>2024 Q3</t>
        </is>
      </c>
      <c r="E60" s="8" t="n">
        <v>106.3506</v>
      </c>
      <c r="F60" s="10" t="n">
        <v>-0.442817116936356</v>
      </c>
      <c r="G60" s="10" t="n">
        <v>-0.08045505806762999</v>
      </c>
      <c r="H60" s="8" t="n">
        <v>4.32945688960497</v>
      </c>
      <c r="I60" s="8" t="n">
        <v>3.67722246546582</v>
      </c>
      <c r="J60" s="8" t="n">
        <v>95.5366666666667</v>
      </c>
      <c r="K60" s="8" t="n">
        <v>-1.4713465571178</v>
      </c>
      <c r="L60" s="8" t="n">
        <v>106.377099329068</v>
      </c>
      <c r="M60" s="8" t="n">
        <v>-1.05432906250624</v>
      </c>
      <c r="N60" s="8" t="n">
        <v>5.26333333333333</v>
      </c>
      <c r="O60" s="8" t="n">
        <v>-0.0666666666666664</v>
      </c>
      <c r="P60" s="8" t="n">
        <v>79.84333333333331</v>
      </c>
      <c r="Q60" s="8" t="n">
        <v>-7.86598969151473</v>
      </c>
    </row>
    <row r="61" ht="19" customHeight="1">
      <c r="A61" s="6" t="inlineStr">
        <is>
          <t>Brunei</t>
        </is>
      </c>
      <c r="B61" s="10" t="n">
        <v>2024</v>
      </c>
      <c r="C61" s="10" t="n">
        <v>4</v>
      </c>
      <c r="D61" s="6" t="inlineStr">
        <is>
          <t>2024 Q4</t>
        </is>
      </c>
      <c r="E61" s="8" t="n">
        <v>106.481866666667</v>
      </c>
      <c r="F61" s="10" t="n">
        <v>-0.589747890634462</v>
      </c>
      <c r="G61" s="10" t="n">
        <v>0.123428233283751</v>
      </c>
      <c r="H61" s="8" t="n">
        <v>3.50568429934815</v>
      </c>
      <c r="I61" s="8" t="n">
        <v>3.29901043601712</v>
      </c>
      <c r="J61" s="8" t="n">
        <v>95.1333333333333</v>
      </c>
      <c r="K61" s="8" t="n">
        <v>-2.17987386893338</v>
      </c>
      <c r="L61" s="8" t="n">
        <v>110.645361455409</v>
      </c>
      <c r="M61" s="8" t="n">
        <v>5.03688161035707</v>
      </c>
      <c r="N61" s="8" t="n">
        <v>4.65</v>
      </c>
      <c r="O61" s="8" t="n">
        <v>-0.613333333333333</v>
      </c>
      <c r="P61" s="8" t="n">
        <v>74.6133333333333</v>
      </c>
      <c r="Q61" s="8" t="n">
        <v>-10.8810765616913</v>
      </c>
    </row>
    <row r="62" ht="19" customHeight="1">
      <c r="A62" s="6" t="inlineStr">
        <is>
          <t>Brunei</t>
        </is>
      </c>
      <c r="B62" s="10" t="n">
        <v>2025</v>
      </c>
      <c r="C62" s="10" t="n">
        <v>1</v>
      </c>
      <c r="D62" s="6" t="inlineStr">
        <is>
          <t>2025 Q1</t>
        </is>
      </c>
      <c r="E62" s="8" t="n">
        <v>106.0973</v>
      </c>
      <c r="F62" s="10" t="n">
        <v>-0.20448724400296</v>
      </c>
      <c r="G62" s="10" t="n">
        <v>-0.361156954423547</v>
      </c>
      <c r="H62" s="8" t="n">
        <v>1.9930847598996</v>
      </c>
      <c r="I62" s="8" t="n">
        <v>2.68746892601114</v>
      </c>
      <c r="J62" s="8" t="n">
        <v>94.02</v>
      </c>
      <c r="K62" s="8" t="n">
        <v>-2.32364857845344</v>
      </c>
      <c r="L62" s="8" t="n">
        <v>108.711496383905</v>
      </c>
      <c r="M62" s="8" t="n">
        <v>5.97462891118643</v>
      </c>
      <c r="N62" s="8" t="n">
        <v>4.33</v>
      </c>
      <c r="O62" s="8" t="n">
        <v>-0.32</v>
      </c>
      <c r="P62" s="8" t="n">
        <v>75.8133333333333</v>
      </c>
      <c r="Q62" s="8" t="n">
        <v>-8.662302718766311</v>
      </c>
    </row>
    <row r="63" ht="19" customHeight="1">
      <c r="A63" s="6" t="inlineStr">
        <is>
          <t>Cambodia</t>
        </is>
      </c>
      <c r="B63" s="10" t="n">
        <v>2010</v>
      </c>
      <c r="C63" s="10" t="n">
        <v>1</v>
      </c>
      <c r="D63" s="6" t="inlineStr">
        <is>
          <t>2010 Q1</t>
        </is>
      </c>
      <c r="E63" s="8" t="n">
        <v>134.563666666667</v>
      </c>
      <c r="F63" s="9" t="inlineStr"/>
      <c r="G63" s="9" t="inlineStr"/>
      <c r="H63" s="8" t="n">
        <v>4.56505722006641</v>
      </c>
      <c r="I63" s="8" t="n">
        <v>23.0990939546681</v>
      </c>
      <c r="J63" s="8" t="n">
        <v>106.542701859995</v>
      </c>
      <c r="K63" s="9" t="inlineStr"/>
      <c r="L63" s="8" t="n">
        <v>99.24199528149821</v>
      </c>
      <c r="M63" s="9" t="inlineStr"/>
      <c r="N63" s="8" t="n">
        <v>0.133333333333333</v>
      </c>
      <c r="O63" s="9" t="inlineStr"/>
      <c r="P63" s="8" t="n">
        <v>76.25</v>
      </c>
      <c r="Q63" s="9" t="inlineStr"/>
    </row>
    <row r="64" ht="19" customHeight="1">
      <c r="A64" s="6" t="inlineStr">
        <is>
          <t>Cambodia</t>
        </is>
      </c>
      <c r="B64" s="10" t="n">
        <v>2010</v>
      </c>
      <c r="C64" s="10" t="n">
        <v>2</v>
      </c>
      <c r="D64" s="6" t="inlineStr">
        <is>
          <t>2010 Q2</t>
        </is>
      </c>
      <c r="E64" s="8" t="n">
        <v>135.066333333333</v>
      </c>
      <c r="F64" s="9" t="inlineStr"/>
      <c r="G64" s="10" t="n">
        <v>0.373553039329577</v>
      </c>
      <c r="H64" s="8" t="n">
        <v>4.76980158211207</v>
      </c>
      <c r="I64" s="8" t="n">
        <v>22.3175071941695</v>
      </c>
      <c r="J64" s="8" t="n">
        <v>106.290351682811</v>
      </c>
      <c r="K64" s="9" t="inlineStr"/>
      <c r="L64" s="8" t="n">
        <v>96.4984622523225</v>
      </c>
      <c r="M64" s="9" t="inlineStr"/>
      <c r="N64" s="8" t="n">
        <v>0.193333333333333</v>
      </c>
      <c r="O64" s="8" t="n">
        <v>0.06</v>
      </c>
      <c r="P64" s="8" t="n">
        <v>78.51000000000001</v>
      </c>
      <c r="Q64" s="9" t="inlineStr"/>
    </row>
    <row r="65" ht="19" customHeight="1">
      <c r="A65" s="6" t="inlineStr">
        <is>
          <t>Cambodia</t>
        </is>
      </c>
      <c r="B65" s="10" t="n">
        <v>2010</v>
      </c>
      <c r="C65" s="10" t="n">
        <v>3</v>
      </c>
      <c r="D65" s="6" t="inlineStr">
        <is>
          <t>2010 Q3</t>
        </is>
      </c>
      <c r="E65" s="8" t="n">
        <v>136.949666666667</v>
      </c>
      <c r="F65" s="9" t="inlineStr"/>
      <c r="G65" s="10" t="n">
        <v>1.394376590268</v>
      </c>
      <c r="H65" s="8" t="n">
        <v>5.17929051093504</v>
      </c>
      <c r="I65" s="8" t="n">
        <v>20.7543328916565</v>
      </c>
      <c r="J65" s="8" t="n">
        <v>104.888441849624</v>
      </c>
      <c r="K65" s="9" t="inlineStr"/>
      <c r="L65" s="8" t="n">
        <v>107.356970480027</v>
      </c>
      <c r="M65" s="9" t="inlineStr"/>
      <c r="N65" s="8" t="n">
        <v>0.186666666666667</v>
      </c>
      <c r="O65" s="8" t="n">
        <v>-0.0066666666666666</v>
      </c>
      <c r="P65" s="8" t="n">
        <v>76.81999999999999</v>
      </c>
      <c r="Q65" s="9" t="inlineStr"/>
    </row>
    <row r="66" ht="19" customHeight="1">
      <c r="A66" s="6" t="inlineStr">
        <is>
          <t>Cambodia</t>
        </is>
      </c>
      <c r="B66" s="10" t="n">
        <v>2010</v>
      </c>
      <c r="C66" s="10" t="n">
        <v>4</v>
      </c>
      <c r="D66" s="6" t="inlineStr">
        <is>
          <t>2010 Q4</t>
        </is>
      </c>
      <c r="E66" s="8" t="n">
        <v>138.879</v>
      </c>
      <c r="F66" s="9" t="inlineStr"/>
      <c r="G66" s="10" t="n">
        <v>1.40879009076327</v>
      </c>
      <c r="H66" s="8" t="n">
        <v>5.79352441605486</v>
      </c>
      <c r="I66" s="8" t="n">
        <v>18.409569483947</v>
      </c>
      <c r="J66" s="8" t="n">
        <v>107.013328614627</v>
      </c>
      <c r="K66" s="9" t="inlineStr"/>
      <c r="L66" s="8" t="n">
        <v>124.608736829891</v>
      </c>
      <c r="M66" s="9" t="inlineStr"/>
      <c r="N66" s="8" t="n">
        <v>0.186666666666667</v>
      </c>
      <c r="O66" s="8" t="n">
        <v>0</v>
      </c>
      <c r="P66" s="8" t="n">
        <v>86.4666666666667</v>
      </c>
      <c r="Q66" s="9" t="inlineStr"/>
    </row>
    <row r="67" ht="19" customHeight="1">
      <c r="A67" s="6" t="inlineStr">
        <is>
          <t>Cambodia</t>
        </is>
      </c>
      <c r="B67" s="10" t="n">
        <v>2011</v>
      </c>
      <c r="C67" s="10" t="n">
        <v>1</v>
      </c>
      <c r="D67" s="6" t="inlineStr">
        <is>
          <t>2011 Q1</t>
        </is>
      </c>
      <c r="E67" s="8" t="n">
        <v>139.457333333333</v>
      </c>
      <c r="F67" s="10" t="n">
        <v>3.63669242068809</v>
      </c>
      <c r="G67" s="10" t="n">
        <v>0.416429649791072</v>
      </c>
      <c r="H67" s="8" t="n">
        <v>6.61250391170546</v>
      </c>
      <c r="I67" s="8" t="n">
        <v>15.283214626274</v>
      </c>
      <c r="J67" s="8" t="n">
        <v>108.08619217327</v>
      </c>
      <c r="K67" s="8" t="n">
        <v>1.44870581121854</v>
      </c>
      <c r="L67" s="8" t="n">
        <v>121.875946057639</v>
      </c>
      <c r="M67" s="8" t="n">
        <v>22.8068276055313</v>
      </c>
      <c r="N67" s="8" t="n">
        <v>0.156666666666667</v>
      </c>
      <c r="O67" s="8" t="n">
        <v>-0.03</v>
      </c>
      <c r="P67" s="8" t="n">
        <v>104.96</v>
      </c>
      <c r="Q67" s="8" t="n">
        <v>37.6524590163934</v>
      </c>
    </row>
    <row r="68" ht="19" customHeight="1">
      <c r="A68" s="6" t="inlineStr">
        <is>
          <t>Cambodia</t>
        </is>
      </c>
      <c r="B68" s="10" t="n">
        <v>2011</v>
      </c>
      <c r="C68" s="10" t="n">
        <v>2</v>
      </c>
      <c r="D68" s="6" t="inlineStr">
        <is>
          <t>2011 Q2</t>
        </is>
      </c>
      <c r="E68" s="8" t="n">
        <v>143.528666666667</v>
      </c>
      <c r="F68" s="10" t="n">
        <v>6.26531654816522</v>
      </c>
      <c r="G68" s="10" t="n">
        <v>2.91941143288745</v>
      </c>
      <c r="H68" s="8" t="n">
        <v>7.20975712432023</v>
      </c>
      <c r="I68" s="8" t="n">
        <v>13.8826577183028</v>
      </c>
      <c r="J68" s="8" t="n">
        <v>107.218762517215</v>
      </c>
      <c r="K68" s="8" t="n">
        <v>0.873466706719461</v>
      </c>
      <c r="L68" s="8" t="n">
        <v>122.00081812372</v>
      </c>
      <c r="M68" s="8" t="n">
        <v>26.4277329152819</v>
      </c>
      <c r="N68" s="8" t="n">
        <v>0.0933333333333333</v>
      </c>
      <c r="O68" s="8" t="n">
        <v>-0.0633333333333333</v>
      </c>
      <c r="P68" s="8" t="n">
        <v>117.36</v>
      </c>
      <c r="Q68" s="8" t="n">
        <v>49.4841421474971</v>
      </c>
    </row>
    <row r="69" ht="19" customHeight="1">
      <c r="A69" s="6" t="inlineStr">
        <is>
          <t>Cambodia</t>
        </is>
      </c>
      <c r="B69" s="10" t="n">
        <v>2011</v>
      </c>
      <c r="C69" s="10" t="n">
        <v>3</v>
      </c>
      <c r="D69" s="6" t="inlineStr">
        <is>
          <t>2011 Q3</t>
        </is>
      </c>
      <c r="E69" s="8" t="n">
        <v>146.148666666667</v>
      </c>
      <c r="F69" s="10" t="n">
        <v>6.71706636744887</v>
      </c>
      <c r="G69" s="10" t="n">
        <v>1.82541931228606</v>
      </c>
      <c r="H69" s="8" t="n">
        <v>7.5852846512051</v>
      </c>
      <c r="I69" s="8" t="n">
        <v>14.2078973592346</v>
      </c>
      <c r="J69" s="8" t="n">
        <v>106.828297748358</v>
      </c>
      <c r="K69" s="8" t="n">
        <v>1.84944676889653</v>
      </c>
      <c r="L69" s="8" t="n">
        <v>118.888757234176</v>
      </c>
      <c r="M69" s="8" t="n">
        <v>10.7415351817278</v>
      </c>
      <c r="N69" s="8" t="n">
        <v>0.0833333333333333</v>
      </c>
      <c r="O69" s="8" t="n">
        <v>-0.01</v>
      </c>
      <c r="P69" s="8" t="n">
        <v>113.34</v>
      </c>
      <c r="Q69" s="8" t="n">
        <v>47.5397032022911</v>
      </c>
    </row>
    <row r="70" ht="19" customHeight="1">
      <c r="A70" s="6" t="inlineStr">
        <is>
          <t>Cambodia</t>
        </is>
      </c>
      <c r="B70" s="10" t="n">
        <v>2011</v>
      </c>
      <c r="C70" s="10" t="n">
        <v>4</v>
      </c>
      <c r="D70" s="6" t="inlineStr">
        <is>
          <t>2011 Q4</t>
        </is>
      </c>
      <c r="E70" s="8" t="n">
        <v>146.206666666667</v>
      </c>
      <c r="F70" s="10" t="n">
        <v>5.27629567225187</v>
      </c>
      <c r="G70" s="10" t="n">
        <v>0.0396856169288862</v>
      </c>
      <c r="H70" s="8" t="n">
        <v>7.73908686785505</v>
      </c>
      <c r="I70" s="8" t="n">
        <v>16.2589338745468</v>
      </c>
      <c r="J70" s="8" t="n">
        <v>110.454386996992</v>
      </c>
      <c r="K70" s="8" t="n">
        <v>3.21554186465529</v>
      </c>
      <c r="L70" s="8" t="n">
        <v>112.174119298219</v>
      </c>
      <c r="M70" s="8" t="n">
        <v>-9.978929124887189</v>
      </c>
      <c r="N70" s="8" t="n">
        <v>0.07333333333333331</v>
      </c>
      <c r="O70" s="8" t="n">
        <v>-0.01</v>
      </c>
      <c r="P70" s="8" t="n">
        <v>109.396666666667</v>
      </c>
      <c r="Q70" s="8" t="n">
        <v>26.5188897455667</v>
      </c>
    </row>
    <row r="71" ht="19" customHeight="1">
      <c r="A71" s="6" t="inlineStr">
        <is>
          <t>Cambodia</t>
        </is>
      </c>
      <c r="B71" s="10" t="n">
        <v>2012</v>
      </c>
      <c r="C71" s="10" t="n">
        <v>1</v>
      </c>
      <c r="D71" s="6" t="inlineStr">
        <is>
          <t>2012 Q1</t>
        </is>
      </c>
      <c r="E71" s="8" t="n">
        <v>147.147</v>
      </c>
      <c r="F71" s="10" t="n">
        <v>5.51399233218284</v>
      </c>
      <c r="G71" s="10" t="n">
        <v>0.64315352697093</v>
      </c>
      <c r="H71" s="8" t="n">
        <v>7.67116392810322</v>
      </c>
      <c r="I71" s="8" t="n">
        <v>20.0357693150771</v>
      </c>
      <c r="J71" s="8" t="n">
        <v>111.762192927535</v>
      </c>
      <c r="K71" s="8" t="n">
        <v>3.40099015457296</v>
      </c>
      <c r="L71" s="8" t="n">
        <v>112.921025549072</v>
      </c>
      <c r="M71" s="8" t="n">
        <v>-7.3475700482622</v>
      </c>
      <c r="N71" s="8" t="n">
        <v>0.103333333333333</v>
      </c>
      <c r="O71" s="8" t="n">
        <v>0.03</v>
      </c>
      <c r="P71" s="8" t="n">
        <v>118.49</v>
      </c>
      <c r="Q71" s="8" t="n">
        <v>12.890625</v>
      </c>
    </row>
    <row r="72" ht="19" customHeight="1">
      <c r="A72" s="6" t="inlineStr">
        <is>
          <t>Cambodia</t>
        </is>
      </c>
      <c r="B72" s="10" t="n">
        <v>2012</v>
      </c>
      <c r="C72" s="10" t="n">
        <v>2</v>
      </c>
      <c r="D72" s="6" t="inlineStr">
        <is>
          <t>2012 Q2</t>
        </is>
      </c>
      <c r="E72" s="8" t="n">
        <v>147.726333333333</v>
      </c>
      <c r="F72" s="10" t="n">
        <v>2.92461900758503</v>
      </c>
      <c r="G72" s="10" t="n">
        <v>0.393710597792252</v>
      </c>
      <c r="H72" s="8" t="n">
        <v>7.6356318269808</v>
      </c>
      <c r="I72" s="8" t="n">
        <v>23.0639460697668</v>
      </c>
      <c r="J72" s="8" t="n">
        <v>111.680909748483</v>
      </c>
      <c r="K72" s="8" t="n">
        <v>4.16172237629702</v>
      </c>
      <c r="L72" s="8" t="n">
        <v>108.674540730789</v>
      </c>
      <c r="M72" s="8" t="n">
        <v>-10.9231049413272</v>
      </c>
      <c r="N72" s="8" t="n">
        <v>0.153333333333333</v>
      </c>
      <c r="O72" s="8" t="n">
        <v>0.05</v>
      </c>
      <c r="P72" s="8" t="n">
        <v>108.416666666667</v>
      </c>
      <c r="Q72" s="8" t="n">
        <v>-7.6204271756419</v>
      </c>
    </row>
    <row r="73" ht="19" customHeight="1">
      <c r="A73" s="6" t="inlineStr">
        <is>
          <t>Cambodia</t>
        </is>
      </c>
      <c r="B73" s="10" t="n">
        <v>2012</v>
      </c>
      <c r="C73" s="10" t="n">
        <v>3</v>
      </c>
      <c r="D73" s="6" t="inlineStr">
        <is>
          <t>2012 Q3</t>
        </is>
      </c>
      <c r="E73" s="8" t="n">
        <v>148.538333333333</v>
      </c>
      <c r="F73" s="10" t="n">
        <v>1.63509303312153</v>
      </c>
      <c r="G73" s="10" t="n">
        <v>0.549665033767388</v>
      </c>
      <c r="H73" s="8" t="n">
        <v>7.63249052893732</v>
      </c>
      <c r="I73" s="8" t="n">
        <v>25.3434671661522</v>
      </c>
      <c r="J73" s="8" t="n">
        <v>110.997692701695</v>
      </c>
      <c r="K73" s="8" t="n">
        <v>3.90289374745802</v>
      </c>
      <c r="L73" s="8" t="n">
        <v>112.021404013206</v>
      </c>
      <c r="M73" s="8" t="n">
        <v>-5.77628480668088</v>
      </c>
      <c r="N73" s="8" t="n">
        <v>0.143333333333333</v>
      </c>
      <c r="O73" s="8" t="n">
        <v>-0.01</v>
      </c>
      <c r="P73" s="8" t="n">
        <v>109.613333333333</v>
      </c>
      <c r="Q73" s="8" t="n">
        <v>-3.28804187988943</v>
      </c>
    </row>
    <row r="74" ht="19" customHeight="1">
      <c r="A74" s="6" t="inlineStr">
        <is>
          <t>Cambodia</t>
        </is>
      </c>
      <c r="B74" s="10" t="n">
        <v>2012</v>
      </c>
      <c r="C74" s="10" t="n">
        <v>4</v>
      </c>
      <c r="D74" s="6" t="inlineStr">
        <is>
          <t>2012 Q4</t>
        </is>
      </c>
      <c r="E74" s="8" t="n">
        <v>148.812</v>
      </c>
      <c r="F74" s="10" t="n">
        <v>1.78195248734667</v>
      </c>
      <c r="G74" s="10" t="n">
        <v>0.184239758535965</v>
      </c>
      <c r="H74" s="8" t="n">
        <v>7.66174003083444</v>
      </c>
      <c r="I74" s="8" t="n">
        <v>26.8743348840543</v>
      </c>
      <c r="J74" s="8" t="n">
        <v>111.584598103599</v>
      </c>
      <c r="K74" s="8" t="n">
        <v>1.02323786074534</v>
      </c>
      <c r="L74" s="8" t="n">
        <v>112.043606667623</v>
      </c>
      <c r="M74" s="8" t="n">
        <v>-0.116348255206267</v>
      </c>
      <c r="N74" s="8" t="n">
        <v>0.16</v>
      </c>
      <c r="O74" s="8" t="n">
        <v>0.0166666666666667</v>
      </c>
      <c r="P74" s="8" t="n">
        <v>110.086666666667</v>
      </c>
      <c r="Q74" s="8" t="n">
        <v>0.630732197812245</v>
      </c>
    </row>
    <row r="75" ht="19" customHeight="1">
      <c r="A75" s="6" t="inlineStr">
        <is>
          <t>Cambodia</t>
        </is>
      </c>
      <c r="B75" s="10" t="n">
        <v>2013</v>
      </c>
      <c r="C75" s="10" t="n">
        <v>1</v>
      </c>
      <c r="D75" s="6" t="inlineStr">
        <is>
          <t>2013 Q1</t>
        </is>
      </c>
      <c r="E75" s="8" t="n">
        <v>149.376333333333</v>
      </c>
      <c r="F75" s="10" t="n">
        <v>1.51503824973211</v>
      </c>
      <c r="G75" s="10" t="n">
        <v>0.379225689684515</v>
      </c>
      <c r="H75" s="8" t="n">
        <v>7.7233803619739</v>
      </c>
      <c r="I75" s="8" t="n">
        <v>27.6565507543955</v>
      </c>
      <c r="J75" s="8" t="n">
        <v>112.526972305713</v>
      </c>
      <c r="K75" s="8" t="n">
        <v>0.68429167157924</v>
      </c>
      <c r="L75" s="8" t="n">
        <v>112.344264317549</v>
      </c>
      <c r="M75" s="8" t="n">
        <v>-0.510765137598079</v>
      </c>
      <c r="N75" s="8" t="n">
        <v>0.143333333333333</v>
      </c>
      <c r="O75" s="8" t="n">
        <v>-0.0166666666666667</v>
      </c>
      <c r="P75" s="8" t="n">
        <v>112.493333333333</v>
      </c>
      <c r="Q75" s="8" t="n">
        <v>-5.06090528033308</v>
      </c>
    </row>
    <row r="76" ht="19" customHeight="1">
      <c r="A76" s="6" t="inlineStr">
        <is>
          <t>Cambodia</t>
        </is>
      </c>
      <c r="B76" s="10" t="n">
        <v>2013</v>
      </c>
      <c r="C76" s="10" t="n">
        <v>2</v>
      </c>
      <c r="D76" s="6" t="inlineStr">
        <is>
          <t>2013 Q2</t>
        </is>
      </c>
      <c r="E76" s="8" t="n">
        <v>151.050333333333</v>
      </c>
      <c r="F76" s="10" t="n">
        <v>2.25010661606257</v>
      </c>
      <c r="G76" s="10" t="n">
        <v>1.12065945297002</v>
      </c>
      <c r="H76" s="8" t="n">
        <v>7.80168421098127</v>
      </c>
      <c r="I76" s="8" t="n">
        <v>26.0125384728145</v>
      </c>
      <c r="J76" s="8" t="n">
        <v>113.03529776106</v>
      </c>
      <c r="K76" s="8" t="n">
        <v>1.21273010367373</v>
      </c>
      <c r="L76" s="8" t="n">
        <v>111.205746192615</v>
      </c>
      <c r="M76" s="8" t="n">
        <v>2.32916140689856</v>
      </c>
      <c r="N76" s="8" t="n">
        <v>0.116666666666667</v>
      </c>
      <c r="O76" s="8" t="n">
        <v>-0.0266666666666667</v>
      </c>
      <c r="P76" s="8" t="n">
        <v>102.576666666667</v>
      </c>
      <c r="Q76" s="8" t="n">
        <v>-5.38662567255957</v>
      </c>
    </row>
    <row r="77" ht="19" customHeight="1">
      <c r="A77" s="6" t="inlineStr">
        <is>
          <t>Cambodia</t>
        </is>
      </c>
      <c r="B77" s="10" t="n">
        <v>2013</v>
      </c>
      <c r="C77" s="10" t="n">
        <v>3</v>
      </c>
      <c r="D77" s="6" t="inlineStr">
        <is>
          <t>2013 Q3</t>
        </is>
      </c>
      <c r="E77" s="8" t="n">
        <v>153.985</v>
      </c>
      <c r="F77" s="10" t="n">
        <v>3.66684245368762</v>
      </c>
      <c r="G77" s="10" t="n">
        <v>1.94284024530456</v>
      </c>
      <c r="H77" s="8" t="n">
        <v>7.89665165618352</v>
      </c>
      <c r="I77" s="8" t="n">
        <v>21.9422963953873</v>
      </c>
      <c r="J77" s="8" t="n">
        <v>113.739951455416</v>
      </c>
      <c r="K77" s="8" t="n">
        <v>2.47055473584576</v>
      </c>
      <c r="L77" s="8" t="n">
        <v>106.517639660823</v>
      </c>
      <c r="M77" s="8" t="n">
        <v>-4.91313637859304</v>
      </c>
      <c r="N77" s="8" t="n">
        <v>0.0833333333333333</v>
      </c>
      <c r="O77" s="8" t="n">
        <v>-0.0333333333333333</v>
      </c>
      <c r="P77" s="8" t="n">
        <v>110.27</v>
      </c>
      <c r="Q77" s="8" t="n">
        <v>0.599075538255689</v>
      </c>
    </row>
    <row r="78" ht="19" customHeight="1">
      <c r="A78" s="6" t="inlineStr">
        <is>
          <t>Cambodia</t>
        </is>
      </c>
      <c r="B78" s="10" t="n">
        <v>2013</v>
      </c>
      <c r="C78" s="10" t="n">
        <v>4</v>
      </c>
      <c r="D78" s="6" t="inlineStr">
        <is>
          <t>2013 Q4</t>
        </is>
      </c>
      <c r="E78" s="8" t="n">
        <v>155.233</v>
      </c>
      <c r="F78" s="10" t="n">
        <v>4.31484020105906</v>
      </c>
      <c r="G78" s="10" t="n">
        <v>0.810468552131693</v>
      </c>
      <c r="H78" s="8" t="n">
        <v>8.008282792548229</v>
      </c>
      <c r="I78" s="8" t="n">
        <v>15.4458204518674</v>
      </c>
      <c r="J78" s="8" t="n">
        <v>115.415273392935</v>
      </c>
      <c r="K78" s="8" t="n">
        <v>3.4329785243115</v>
      </c>
      <c r="L78" s="8" t="n">
        <v>108.042368791302</v>
      </c>
      <c r="M78" s="8" t="n">
        <v>-3.57114341043118</v>
      </c>
      <c r="N78" s="8" t="n">
        <v>0.0866666666666667</v>
      </c>
      <c r="O78" s="8" t="n">
        <v>0.0033333333333333</v>
      </c>
      <c r="P78" s="8" t="n">
        <v>109.21</v>
      </c>
      <c r="Q78" s="8" t="n">
        <v>-0.796342275782702</v>
      </c>
    </row>
    <row r="79" ht="19" customHeight="1">
      <c r="A79" s="6" t="inlineStr">
        <is>
          <t>Cambodia</t>
        </is>
      </c>
      <c r="B79" s="10" t="n">
        <v>2014</v>
      </c>
      <c r="C79" s="10" t="n">
        <v>1</v>
      </c>
      <c r="D79" s="6" t="inlineStr">
        <is>
          <t>2014 Q1</t>
        </is>
      </c>
      <c r="E79" s="8" t="n">
        <v>156.261</v>
      </c>
      <c r="F79" s="10" t="n">
        <v>4.60894072912041</v>
      </c>
      <c r="G79" s="10" t="n">
        <v>0.662230324737645</v>
      </c>
      <c r="H79" s="8" t="n">
        <v>8.13657773174722</v>
      </c>
      <c r="I79" s="8" t="n">
        <v>6.52310414574023</v>
      </c>
      <c r="J79" s="8" t="n">
        <v>117.40706600003</v>
      </c>
      <c r="K79" s="8" t="n">
        <v>4.33682129210711</v>
      </c>
      <c r="L79" s="8" t="n">
        <v>109.985285302654</v>
      </c>
      <c r="M79" s="8" t="n">
        <v>-2.09977699282194</v>
      </c>
      <c r="N79" s="8" t="n">
        <v>0.07333333333333331</v>
      </c>
      <c r="O79" s="8" t="n">
        <v>-0.0133333333333333</v>
      </c>
      <c r="P79" s="8" t="n">
        <v>108.166666666667</v>
      </c>
      <c r="Q79" s="8" t="n">
        <v>-3.84615384615383</v>
      </c>
    </row>
    <row r="80" ht="19" customHeight="1">
      <c r="A80" s="6" t="inlineStr">
        <is>
          <t>Cambodia</t>
        </is>
      </c>
      <c r="B80" s="10" t="n">
        <v>2014</v>
      </c>
      <c r="C80" s="10" t="n">
        <v>2</v>
      </c>
      <c r="D80" s="6" t="inlineStr">
        <is>
          <t>2014 Q2</t>
        </is>
      </c>
      <c r="E80" s="8" t="n">
        <v>158.271</v>
      </c>
      <c r="F80" s="10" t="n">
        <v>4.78030501973956</v>
      </c>
      <c r="G80" s="10" t="n">
        <v>1.28630944381516</v>
      </c>
      <c r="H80" s="8" t="n">
        <v>8.133392927918131</v>
      </c>
      <c r="I80" s="8" t="n">
        <v>1.55363509216835</v>
      </c>
      <c r="J80" s="8" t="n">
        <v>116.184812664881</v>
      </c>
      <c r="K80" s="8" t="n">
        <v>2.78631097206357</v>
      </c>
      <c r="L80" s="8" t="n">
        <v>111.498689744988</v>
      </c>
      <c r="M80" s="8" t="n">
        <v>0.26342483406061</v>
      </c>
      <c r="N80" s="8" t="n">
        <v>0.0933333333333333</v>
      </c>
      <c r="O80" s="8" t="n">
        <v>0.02</v>
      </c>
      <c r="P80" s="8" t="n">
        <v>109.7</v>
      </c>
      <c r="Q80" s="8" t="n">
        <v>6.94439931108439</v>
      </c>
    </row>
    <row r="81" ht="19" customHeight="1">
      <c r="A81" s="6" t="inlineStr">
        <is>
          <t>Cambodia</t>
        </is>
      </c>
      <c r="B81" s="10" t="n">
        <v>2014</v>
      </c>
      <c r="C81" s="10" t="n">
        <v>3</v>
      </c>
      <c r="D81" s="6" t="inlineStr">
        <is>
          <t>2014 Q3</t>
        </is>
      </c>
      <c r="E81" s="8" t="n">
        <v>160.112666666667</v>
      </c>
      <c r="F81" s="10" t="n">
        <v>3.97939193211458</v>
      </c>
      <c r="G81" s="10" t="n">
        <v>1.16361599198</v>
      </c>
      <c r="H81" s="8" t="n">
        <v>7.99872837794973</v>
      </c>
      <c r="I81" s="8" t="n">
        <v>0.537408321430752</v>
      </c>
      <c r="J81" s="8" t="n">
        <v>116.532375879956</v>
      </c>
      <c r="K81" s="8" t="n">
        <v>2.45509549530196</v>
      </c>
      <c r="L81" s="8" t="n">
        <v>104.211407968198</v>
      </c>
      <c r="M81" s="8" t="n">
        <v>-2.16511715802957</v>
      </c>
      <c r="N81" s="8" t="n">
        <v>0.09</v>
      </c>
      <c r="O81" s="8" t="n">
        <v>-0.0033333333333333</v>
      </c>
      <c r="P81" s="8" t="n">
        <v>101.823333333333</v>
      </c>
      <c r="Q81" s="8" t="n">
        <v>-7.65998609473715</v>
      </c>
    </row>
    <row r="82" ht="19" customHeight="1">
      <c r="A82" s="6" t="inlineStr">
        <is>
          <t>Cambodia</t>
        </is>
      </c>
      <c r="B82" s="10" t="n">
        <v>2014</v>
      </c>
      <c r="C82" s="10" t="n">
        <v>4</v>
      </c>
      <c r="D82" s="6" t="inlineStr">
        <is>
          <t>2014 Q4</t>
        </is>
      </c>
      <c r="E82" s="8" t="n">
        <v>158.506</v>
      </c>
      <c r="F82" s="10" t="n">
        <v>2.10844343664041</v>
      </c>
      <c r="G82" s="10" t="n">
        <v>-1.00346006353859</v>
      </c>
      <c r="H82" s="8" t="n">
        <v>7.73258394713543</v>
      </c>
      <c r="I82" s="8" t="n">
        <v>3.47442281731236</v>
      </c>
      <c r="J82" s="8" t="n">
        <v>119.110878365259</v>
      </c>
      <c r="K82" s="8" t="n">
        <v>3.2020068606881</v>
      </c>
      <c r="L82" s="8" t="n">
        <v>99.4046630544031</v>
      </c>
      <c r="M82" s="8" t="n">
        <v>-7.9947393171137</v>
      </c>
      <c r="N82" s="8" t="n">
        <v>0.1</v>
      </c>
      <c r="O82" s="8" t="n">
        <v>0.01</v>
      </c>
      <c r="P82" s="8" t="n">
        <v>76.40333333333329</v>
      </c>
      <c r="Q82" s="8" t="n">
        <v>-30.0399841284376</v>
      </c>
    </row>
    <row r="83" ht="19" customHeight="1">
      <c r="A83" s="6" t="inlineStr">
        <is>
          <t>Cambodia</t>
        </is>
      </c>
      <c r="B83" s="10" t="n">
        <v>2015</v>
      </c>
      <c r="C83" s="10" t="n">
        <v>1</v>
      </c>
      <c r="D83" s="6" t="inlineStr">
        <is>
          <t>2015 Q1</t>
        </is>
      </c>
      <c r="E83" s="8" t="n">
        <v>157.876333333333</v>
      </c>
      <c r="F83" s="10" t="n">
        <v>1.03374055799805</v>
      </c>
      <c r="G83" s="10" t="n">
        <v>-0.397250997859189</v>
      </c>
      <c r="H83" s="8" t="n">
        <v>7.33495936936396</v>
      </c>
      <c r="I83" s="8" t="n">
        <v>10.3646815169921</v>
      </c>
      <c r="J83" s="8" t="n">
        <v>124.016491967445</v>
      </c>
      <c r="K83" s="8" t="n">
        <v>5.62949590053927</v>
      </c>
      <c r="L83" s="8" t="n">
        <v>100.657732001964</v>
      </c>
      <c r="M83" s="8" t="n">
        <v>-8.4807283765489</v>
      </c>
      <c r="N83" s="8" t="n">
        <v>0.11</v>
      </c>
      <c r="O83" s="8" t="n">
        <v>0.01</v>
      </c>
      <c r="P83" s="8" t="n">
        <v>53.9166666666667</v>
      </c>
      <c r="Q83" s="8" t="n">
        <v>-50.1540832049307</v>
      </c>
    </row>
    <row r="84" ht="19" customHeight="1">
      <c r="A84" s="6" t="inlineStr">
        <is>
          <t>Cambodia</t>
        </is>
      </c>
      <c r="B84" s="10" t="n">
        <v>2015</v>
      </c>
      <c r="C84" s="10" t="n">
        <v>2</v>
      </c>
      <c r="D84" s="6" t="inlineStr">
        <is>
          <t>2015 Q2</t>
        </is>
      </c>
      <c r="E84" s="8" t="n">
        <v>159.845</v>
      </c>
      <c r="F84" s="10" t="n">
        <v>0.994496780837939</v>
      </c>
      <c r="G84" s="10" t="n">
        <v>1.24696756321931</v>
      </c>
      <c r="H84" s="8" t="n">
        <v>7.12473976698462</v>
      </c>
      <c r="I84" s="8" t="n">
        <v>14.9361002027361</v>
      </c>
      <c r="J84" s="8" t="n">
        <v>124.148553975916</v>
      </c>
      <c r="K84" s="8" t="n">
        <v>6.85437375881941</v>
      </c>
      <c r="L84" s="8" t="n">
        <v>96.8474817130345</v>
      </c>
      <c r="M84" s="8" t="n">
        <v>-13.1402513029193</v>
      </c>
      <c r="N84" s="8" t="n">
        <v>0.123333333333333</v>
      </c>
      <c r="O84" s="8" t="n">
        <v>0.0133333333333333</v>
      </c>
      <c r="P84" s="8" t="n">
        <v>61.6933333333333</v>
      </c>
      <c r="Q84" s="8" t="n">
        <v>-43.761774536615</v>
      </c>
    </row>
    <row r="85" ht="19" customHeight="1">
      <c r="A85" s="6" t="inlineStr">
        <is>
          <t>Cambodia</t>
        </is>
      </c>
      <c r="B85" s="10" t="n">
        <v>2015</v>
      </c>
      <c r="C85" s="10" t="n">
        <v>3</v>
      </c>
      <c r="D85" s="6" t="inlineStr">
        <is>
          <t>2015 Q3</t>
        </is>
      </c>
      <c r="E85" s="8" t="n">
        <v>161.480666666667</v>
      </c>
      <c r="F85" s="10" t="n">
        <v>0.854398361154018</v>
      </c>
      <c r="G85" s="10" t="n">
        <v>1.02328297204584</v>
      </c>
      <c r="H85" s="8" t="n">
        <v>7.10192492983313</v>
      </c>
      <c r="I85" s="8" t="n">
        <v>17.1886834459539</v>
      </c>
      <c r="J85" s="8" t="n">
        <v>125.672229297792</v>
      </c>
      <c r="K85" s="8" t="n">
        <v>7.8431880829847</v>
      </c>
      <c r="L85" s="8" t="n">
        <v>92.7459060049042</v>
      </c>
      <c r="M85" s="8" t="n">
        <v>-11.002156277164</v>
      </c>
      <c r="N85" s="8" t="n">
        <v>0.136666666666667</v>
      </c>
      <c r="O85" s="8" t="n">
        <v>0.0133333333333333</v>
      </c>
      <c r="P85" s="8" t="n">
        <v>50.2333333333333</v>
      </c>
      <c r="Q85" s="8" t="n">
        <v>-50.666186532229</v>
      </c>
    </row>
    <row r="86" ht="19" customHeight="1">
      <c r="A86" s="6" t="inlineStr">
        <is>
          <t>Cambodia</t>
        </is>
      </c>
      <c r="B86" s="10" t="n">
        <v>2015</v>
      </c>
      <c r="C86" s="10" t="n">
        <v>4</v>
      </c>
      <c r="D86" s="6" t="inlineStr">
        <is>
          <t>2015 Q4</t>
        </is>
      </c>
      <c r="E86" s="8" t="n">
        <v>161.698</v>
      </c>
      <c r="F86" s="10" t="n">
        <v>2.01380389385892</v>
      </c>
      <c r="G86" s="10" t="n">
        <v>0.13458783507625</v>
      </c>
      <c r="H86" s="8" t="n">
        <v>7.26651483504436</v>
      </c>
      <c r="I86" s="8" t="n">
        <v>17.1224334992272</v>
      </c>
      <c r="J86" s="8" t="n">
        <v>129.092442169707</v>
      </c>
      <c r="K86" s="8" t="n">
        <v>8.380060613640691</v>
      </c>
      <c r="L86" s="8" t="n">
        <v>90.3005619231251</v>
      </c>
      <c r="M86" s="8" t="n">
        <v>-9.15862581446042</v>
      </c>
      <c r="N86" s="8" t="n">
        <v>0.16</v>
      </c>
      <c r="O86" s="8" t="n">
        <v>0.0233333333333333</v>
      </c>
      <c r="P86" s="8" t="n">
        <v>43.57</v>
      </c>
      <c r="Q86" s="8" t="n">
        <v>-42.9736922472842</v>
      </c>
    </row>
    <row r="87" ht="19" customHeight="1">
      <c r="A87" s="6" t="inlineStr">
        <is>
          <t>Cambodia</t>
        </is>
      </c>
      <c r="B87" s="10" t="n">
        <v>2016</v>
      </c>
      <c r="C87" s="10" t="n">
        <v>1</v>
      </c>
      <c r="D87" s="6" t="inlineStr">
        <is>
          <t>2016 Q1</t>
        </is>
      </c>
      <c r="E87" s="8" t="n">
        <v>161.761</v>
      </c>
      <c r="F87" s="10" t="n">
        <v>2.46057568265456</v>
      </c>
      <c r="G87" s="10" t="n">
        <v>0.0389615208598704</v>
      </c>
      <c r="H87" s="8" t="n">
        <v>7.61850964724234</v>
      </c>
      <c r="I87" s="8" t="n">
        <v>14.7373502961386</v>
      </c>
      <c r="J87" s="8" t="n">
        <v>130.820892963998</v>
      </c>
      <c r="K87" s="8" t="n">
        <v>5.48669043012322</v>
      </c>
      <c r="L87" s="8" t="n">
        <v>91.66230580090431</v>
      </c>
      <c r="M87" s="8" t="n">
        <v>-8.936647013747329</v>
      </c>
      <c r="N87" s="8" t="n">
        <v>0.36</v>
      </c>
      <c r="O87" s="8" t="n">
        <v>0.2</v>
      </c>
      <c r="P87" s="8" t="n">
        <v>33.6966666666667</v>
      </c>
      <c r="Q87" s="8" t="n">
        <v>-37.5023183925811</v>
      </c>
    </row>
    <row r="88" ht="19" customHeight="1">
      <c r="A88" s="6" t="inlineStr">
        <is>
          <t>Cambodia</t>
        </is>
      </c>
      <c r="B88" s="10" t="n">
        <v>2016</v>
      </c>
      <c r="C88" s="10" t="n">
        <v>2</v>
      </c>
      <c r="D88" s="6" t="inlineStr">
        <is>
          <t>2016 Q2</t>
        </is>
      </c>
      <c r="E88" s="8" t="n">
        <v>164.718666666667</v>
      </c>
      <c r="F88" s="10" t="n">
        <v>3.04899538094197</v>
      </c>
      <c r="G88" s="10" t="n">
        <v>1.82841764496182</v>
      </c>
      <c r="H88" s="8" t="n">
        <v>7.87410405958197</v>
      </c>
      <c r="I88" s="8" t="n">
        <v>13.721554120875</v>
      </c>
      <c r="J88" s="8" t="n">
        <v>128.657593784413</v>
      </c>
      <c r="K88" s="8" t="n">
        <v>3.63197126675494</v>
      </c>
      <c r="L88" s="8" t="n">
        <v>96.9846126235507</v>
      </c>
      <c r="M88" s="8" t="n">
        <v>0.141594709630688</v>
      </c>
      <c r="N88" s="8" t="n">
        <v>0.373333333333333</v>
      </c>
      <c r="O88" s="8" t="n">
        <v>0.0133333333333334</v>
      </c>
      <c r="P88" s="8" t="n">
        <v>45.5233333333333</v>
      </c>
      <c r="Q88" s="8" t="n">
        <v>-26.2102874432678</v>
      </c>
    </row>
    <row r="89" ht="19" customHeight="1">
      <c r="A89" s="6" t="inlineStr">
        <is>
          <t>Cambodia</t>
        </is>
      </c>
      <c r="B89" s="10" t="n">
        <v>2016</v>
      </c>
      <c r="C89" s="10" t="n">
        <v>3</v>
      </c>
      <c r="D89" s="6" t="inlineStr">
        <is>
          <t>2016 Q3</t>
        </is>
      </c>
      <c r="E89" s="8" t="n">
        <v>166.233333333333</v>
      </c>
      <c r="F89" s="10" t="n">
        <v>2.94317998852287</v>
      </c>
      <c r="G89" s="10" t="n">
        <v>0.919547673204391</v>
      </c>
      <c r="H89" s="8" t="n">
        <v>8.033298327693579</v>
      </c>
      <c r="I89" s="8" t="n">
        <v>14.0750439575172</v>
      </c>
      <c r="J89" s="8" t="n">
        <v>128.162490239394</v>
      </c>
      <c r="K89" s="8" t="n">
        <v>1.98155229322903</v>
      </c>
      <c r="L89" s="8" t="n">
        <v>100.864699533998</v>
      </c>
      <c r="M89" s="8" t="n">
        <v>8.75380259767431</v>
      </c>
      <c r="N89" s="8" t="n">
        <v>0.396666666666667</v>
      </c>
      <c r="O89" s="8" t="n">
        <v>0.0233333333333333</v>
      </c>
      <c r="P89" s="8" t="n">
        <v>45.7866666666667</v>
      </c>
      <c r="Q89" s="8" t="n">
        <v>-8.852023888520231</v>
      </c>
    </row>
    <row r="90" ht="19" customHeight="1">
      <c r="A90" s="6" t="inlineStr">
        <is>
          <t>Cambodia</t>
        </is>
      </c>
      <c r="B90" s="10" t="n">
        <v>2016</v>
      </c>
      <c r="C90" s="10" t="n">
        <v>4</v>
      </c>
      <c r="D90" s="6" t="inlineStr">
        <is>
          <t>2016 Q4</t>
        </is>
      </c>
      <c r="E90" s="8" t="n">
        <v>167.536666666667</v>
      </c>
      <c r="F90" s="10" t="n">
        <v>3.6108465575744</v>
      </c>
      <c r="G90" s="10" t="n">
        <v>0.78403850010027</v>
      </c>
      <c r="H90" s="8" t="n">
        <v>8.096092610692059</v>
      </c>
      <c r="I90" s="8" t="n">
        <v>15.7978201596259</v>
      </c>
      <c r="J90" s="8" t="n">
        <v>133.058141805005</v>
      </c>
      <c r="K90" s="8" t="n">
        <v>3.07198436147356</v>
      </c>
      <c r="L90" s="8" t="n">
        <v>101.835604997953</v>
      </c>
      <c r="M90" s="8" t="n">
        <v>12.7740545896579</v>
      </c>
      <c r="N90" s="8" t="n">
        <v>0.45</v>
      </c>
      <c r="O90" s="8" t="n">
        <v>0.0533333333333333</v>
      </c>
      <c r="P90" s="8" t="n">
        <v>49.1866666666667</v>
      </c>
      <c r="Q90" s="8" t="n">
        <v>12.8911330426134</v>
      </c>
    </row>
    <row r="91" ht="19" customHeight="1">
      <c r="A91" s="6" t="inlineStr">
        <is>
          <t>Cambodia</t>
        </is>
      </c>
      <c r="B91" s="10" t="n">
        <v>2017</v>
      </c>
      <c r="C91" s="10" t="n">
        <v>1</v>
      </c>
      <c r="D91" s="6" t="inlineStr">
        <is>
          <t>2017 Q1</t>
        </is>
      </c>
      <c r="E91" s="8" t="n">
        <v>168.606333333333</v>
      </c>
      <c r="F91" s="10" t="n">
        <v>4.23175755177907</v>
      </c>
      <c r="G91" s="10" t="n">
        <v>0.638467201209703</v>
      </c>
      <c r="H91" s="8" t="n">
        <v>8.06248697144378</v>
      </c>
      <c r="I91" s="8" t="n">
        <v>18.8898844498362</v>
      </c>
      <c r="J91" s="8" t="n">
        <v>134.871343996961</v>
      </c>
      <c r="K91" s="8" t="n">
        <v>3.09618054210772</v>
      </c>
      <c r="L91" s="8" t="n">
        <v>100.125779631695</v>
      </c>
      <c r="M91" s="8" t="n">
        <v>9.23331980015236</v>
      </c>
      <c r="N91" s="8" t="n">
        <v>0.7</v>
      </c>
      <c r="O91" s="8" t="n">
        <v>0.25</v>
      </c>
      <c r="P91" s="8" t="n">
        <v>53.68</v>
      </c>
      <c r="Q91" s="8" t="n">
        <v>59.30359085963</v>
      </c>
    </row>
    <row r="92" ht="19" customHeight="1">
      <c r="A92" s="6" t="inlineStr">
        <is>
          <t>Cambodia</t>
        </is>
      </c>
      <c r="B92" s="10" t="n">
        <v>2017</v>
      </c>
      <c r="C92" s="10" t="n">
        <v>2</v>
      </c>
      <c r="D92" s="6" t="inlineStr">
        <is>
          <t>2017 Q2</t>
        </is>
      </c>
      <c r="E92" s="8" t="n">
        <v>169.221666666667</v>
      </c>
      <c r="F92" s="10" t="n">
        <v>2.73375209448028</v>
      </c>
      <c r="G92" s="10" t="n">
        <v>0.36495268070198</v>
      </c>
      <c r="H92" s="8" t="n">
        <v>8.054065590977119</v>
      </c>
      <c r="I92" s="8" t="n">
        <v>19.7342171053528</v>
      </c>
      <c r="J92" s="8" t="n">
        <v>131.816087261607</v>
      </c>
      <c r="K92" s="8" t="n">
        <v>2.45496078722514</v>
      </c>
      <c r="L92" s="8" t="n">
        <v>99.4605526807123</v>
      </c>
      <c r="M92" s="8" t="n">
        <v>2.55292049963849</v>
      </c>
      <c r="N92" s="8" t="n">
        <v>0.95</v>
      </c>
      <c r="O92" s="8" t="n">
        <v>0.25</v>
      </c>
      <c r="P92" s="8" t="n">
        <v>49.67</v>
      </c>
      <c r="Q92" s="8" t="n">
        <v>9.10888189207</v>
      </c>
    </row>
    <row r="93" ht="19" customHeight="1">
      <c r="A93" s="6" t="inlineStr">
        <is>
          <t>Cambodia</t>
        </is>
      </c>
      <c r="B93" s="10" t="n">
        <v>2017</v>
      </c>
      <c r="C93" s="10" t="n">
        <v>3</v>
      </c>
      <c r="D93" s="6" t="inlineStr">
        <is>
          <t>2017 Q3</t>
        </is>
      </c>
      <c r="E93" s="8" t="n">
        <v>170.437333333333</v>
      </c>
      <c r="F93" s="10" t="n">
        <v>2.52897533587328</v>
      </c>
      <c r="G93" s="10" t="n">
        <v>0.718387125368114</v>
      </c>
      <c r="H93" s="8" t="n">
        <v>8.07082846093401</v>
      </c>
      <c r="I93" s="8" t="n">
        <v>18.3308189703234</v>
      </c>
      <c r="J93" s="8" t="n">
        <v>128.484626654735</v>
      </c>
      <c r="K93" s="8" t="n">
        <v>0.251349996975669</v>
      </c>
      <c r="L93" s="8" t="n">
        <v>102.480667511988</v>
      </c>
      <c r="M93" s="8" t="n">
        <v>1.60211450136303</v>
      </c>
      <c r="N93" s="8" t="n">
        <v>1.15333333333333</v>
      </c>
      <c r="O93" s="8" t="n">
        <v>0.203333333333333</v>
      </c>
      <c r="P93" s="8" t="n">
        <v>52.11</v>
      </c>
      <c r="Q93" s="8" t="n">
        <v>13.8104251601631</v>
      </c>
    </row>
    <row r="94" ht="19" customHeight="1">
      <c r="A94" s="6" t="inlineStr">
        <is>
          <t>Cambodia</t>
        </is>
      </c>
      <c r="B94" s="10" t="n">
        <v>2017</v>
      </c>
      <c r="C94" s="10" t="n">
        <v>4</v>
      </c>
      <c r="D94" s="6" t="inlineStr">
        <is>
          <t>2017 Q4</t>
        </is>
      </c>
      <c r="E94" s="8" t="n">
        <v>171.215</v>
      </c>
      <c r="F94" s="10" t="n">
        <v>2.19553928493266</v>
      </c>
      <c r="G94" s="10" t="n">
        <v>0.456277184967302</v>
      </c>
      <c r="H94" s="8" t="n">
        <v>8.11277559801005</v>
      </c>
      <c r="I94" s="8" t="n">
        <v>14.6796886416594</v>
      </c>
      <c r="J94" s="8" t="n">
        <v>129.677727753762</v>
      </c>
      <c r="K94" s="8" t="n">
        <v>-2.54055408063419</v>
      </c>
      <c r="L94" s="8" t="n">
        <v>100.792675769869</v>
      </c>
      <c r="M94" s="8" t="n">
        <v>-1.0241302421728</v>
      </c>
      <c r="N94" s="8" t="n">
        <v>1.20333333333333</v>
      </c>
      <c r="O94" s="8" t="n">
        <v>0.05</v>
      </c>
      <c r="P94" s="8" t="n">
        <v>61.53</v>
      </c>
      <c r="Q94" s="8" t="n">
        <v>25.0948766603416</v>
      </c>
    </row>
    <row r="95" ht="19" customHeight="1">
      <c r="A95" s="6" t="inlineStr">
        <is>
          <t>Cambodia</t>
        </is>
      </c>
      <c r="B95" s="10" t="n">
        <v>2018</v>
      </c>
      <c r="C95" s="10" t="n">
        <v>1</v>
      </c>
      <c r="D95" s="6" t="inlineStr">
        <is>
          <t>2018 Q1</t>
        </is>
      </c>
      <c r="E95" s="8" t="n">
        <v>172.328666666667</v>
      </c>
      <c r="F95" s="10" t="n">
        <v>2.20770670931696</v>
      </c>
      <c r="G95" s="10" t="n">
        <v>0.650449240234008</v>
      </c>
      <c r="H95" s="8" t="n">
        <v>8.179907044183469</v>
      </c>
      <c r="I95" s="8" t="n">
        <v>8.780822467967409</v>
      </c>
      <c r="J95" s="8" t="n">
        <v>127.788389305673</v>
      </c>
      <c r="K95" s="8" t="n">
        <v>-5.25163795464776</v>
      </c>
      <c r="L95" s="8" t="n">
        <v>96.02404012089779</v>
      </c>
      <c r="M95" s="8" t="n">
        <v>-4.09658683895945</v>
      </c>
      <c r="N95" s="8" t="n">
        <v>1.44666666666667</v>
      </c>
      <c r="O95" s="8" t="n">
        <v>0.243333333333333</v>
      </c>
      <c r="P95" s="8" t="n">
        <v>66.8066666666667</v>
      </c>
      <c r="Q95" s="8" t="n">
        <v>24.4535519125683</v>
      </c>
    </row>
    <row r="96" ht="19" customHeight="1">
      <c r="A96" s="6" t="inlineStr">
        <is>
          <t>Cambodia</t>
        </is>
      </c>
      <c r="B96" s="10" t="n">
        <v>2018</v>
      </c>
      <c r="C96" s="10" t="n">
        <v>2</v>
      </c>
      <c r="D96" s="6" t="inlineStr">
        <is>
          <t>2018 Q2</t>
        </is>
      </c>
      <c r="E96" s="8" t="n">
        <v>173.834333333333</v>
      </c>
      <c r="F96" s="10" t="n">
        <v>2.72581328238108</v>
      </c>
      <c r="G96" s="10" t="n">
        <v>0.873718050392069</v>
      </c>
      <c r="H96" s="8" t="n">
        <v>8.445286157362</v>
      </c>
      <c r="I96" s="8" t="n">
        <v>5.11804796076195</v>
      </c>
      <c r="J96" s="8" t="n">
        <v>128.57408382688</v>
      </c>
      <c r="K96" s="8" t="n">
        <v>-2.45948996217192</v>
      </c>
      <c r="L96" s="8" t="n">
        <v>96.1737638878632</v>
      </c>
      <c r="M96" s="8" t="n">
        <v>-3.30461545231933</v>
      </c>
      <c r="N96" s="8" t="n">
        <v>1.73666666666667</v>
      </c>
      <c r="O96" s="8" t="n">
        <v>0.29</v>
      </c>
      <c r="P96" s="8" t="n">
        <v>74.5</v>
      </c>
      <c r="Q96" s="8" t="n">
        <v>49.9899335615059</v>
      </c>
    </row>
    <row r="97" ht="19" customHeight="1">
      <c r="A97" s="6" t="inlineStr">
        <is>
          <t>Cambodia</t>
        </is>
      </c>
      <c r="B97" s="10" t="n">
        <v>2018</v>
      </c>
      <c r="C97" s="10" t="n">
        <v>3</v>
      </c>
      <c r="D97" s="6" t="inlineStr">
        <is>
          <t>2018 Q3</t>
        </is>
      </c>
      <c r="E97" s="8" t="n">
        <v>174.686666666667</v>
      </c>
      <c r="F97" s="10" t="n">
        <v>2.49319397940984</v>
      </c>
      <c r="G97" s="10" t="n">
        <v>0.490313574418555</v>
      </c>
      <c r="H97" s="8" t="n">
        <v>8.9089132029191</v>
      </c>
      <c r="I97" s="8" t="n">
        <v>3.69136145745903</v>
      </c>
      <c r="J97" s="8" t="n">
        <v>130.449853164076</v>
      </c>
      <c r="K97" s="8" t="n">
        <v>1.52954214096146</v>
      </c>
      <c r="L97" s="8" t="n">
        <v>93.2694805076009</v>
      </c>
      <c r="M97" s="8" t="n">
        <v>-8.98821917149397</v>
      </c>
      <c r="N97" s="8" t="n">
        <v>1.92333333333333</v>
      </c>
      <c r="O97" s="8" t="n">
        <v>0.186666666666667</v>
      </c>
      <c r="P97" s="8" t="n">
        <v>75.2233333333333</v>
      </c>
      <c r="Q97" s="8" t="n">
        <v>44.3548902961683</v>
      </c>
    </row>
    <row r="98" ht="19" customHeight="1">
      <c r="A98" s="6" t="inlineStr">
        <is>
          <t>Cambodia</t>
        </is>
      </c>
      <c r="B98" s="10" t="n">
        <v>2018</v>
      </c>
      <c r="C98" s="10" t="n">
        <v>4</v>
      </c>
      <c r="D98" s="6" t="inlineStr">
        <is>
          <t>2018 Q4</t>
        </is>
      </c>
      <c r="E98" s="8" t="n">
        <v>175.339666666667</v>
      </c>
      <c r="F98" s="10" t="n">
        <v>2.4090568388673</v>
      </c>
      <c r="G98" s="10" t="n">
        <v>0.3738121589131</v>
      </c>
      <c r="H98" s="8" t="n">
        <v>9.570788644491509</v>
      </c>
      <c r="I98" s="8" t="n">
        <v>4.50076153110235</v>
      </c>
      <c r="J98" s="8" t="n">
        <v>132.551105337219</v>
      </c>
      <c r="K98" s="8" t="n">
        <v>2.21578341418267</v>
      </c>
      <c r="L98" s="8" t="n">
        <v>90.7369363173618</v>
      </c>
      <c r="M98" s="8" t="n">
        <v>-9.976656910534739</v>
      </c>
      <c r="N98" s="8" t="n">
        <v>2.22</v>
      </c>
      <c r="O98" s="8" t="n">
        <v>0.296666666666667</v>
      </c>
      <c r="P98" s="8" t="n">
        <v>67.7133333333333</v>
      </c>
      <c r="Q98" s="8" t="n">
        <v>10.0492984452029</v>
      </c>
    </row>
    <row r="99" ht="19" customHeight="1">
      <c r="A99" s="6" t="inlineStr">
        <is>
          <t>Cambodia</t>
        </is>
      </c>
      <c r="B99" s="10" t="n">
        <v>2019</v>
      </c>
      <c r="C99" s="10" t="n">
        <v>1</v>
      </c>
      <c r="D99" s="6" t="inlineStr">
        <is>
          <t>2019 Q1</t>
        </is>
      </c>
      <c r="E99" s="8" t="n">
        <v>175.66</v>
      </c>
      <c r="F99" s="10" t="n">
        <v>1.93312778295738</v>
      </c>
      <c r="G99" s="10" t="n">
        <v>0.182693020594304</v>
      </c>
      <c r="H99" s="8" t="n">
        <v>10.4309131439837</v>
      </c>
      <c r="I99" s="8" t="n">
        <v>7.54624899120287</v>
      </c>
      <c r="J99" s="8" t="n">
        <v>132.873466017072</v>
      </c>
      <c r="K99" s="8" t="n">
        <v>3.97929478494004</v>
      </c>
      <c r="L99" s="8" t="n">
        <v>93.8324987094736</v>
      </c>
      <c r="M99" s="8" t="n">
        <v>-2.2822841120463</v>
      </c>
      <c r="N99" s="8" t="n">
        <v>2.40333333333333</v>
      </c>
      <c r="O99" s="8" t="n">
        <v>0.183333333333333</v>
      </c>
      <c r="P99" s="8" t="n">
        <v>63.17</v>
      </c>
      <c r="Q99" s="8" t="n">
        <v>-5.4435685061371</v>
      </c>
    </row>
    <row r="100" ht="19" customHeight="1">
      <c r="A100" s="6" t="inlineStr">
        <is>
          <t>Cambodia</t>
        </is>
      </c>
      <c r="B100" s="10" t="n">
        <v>2019</v>
      </c>
      <c r="C100" s="10" t="n">
        <v>2</v>
      </c>
      <c r="D100" s="6" t="inlineStr">
        <is>
          <t>2019 Q2</t>
        </is>
      </c>
      <c r="E100" s="8" t="n">
        <v>177.015</v>
      </c>
      <c r="F100" s="10" t="n">
        <v>1.82971143023147</v>
      </c>
      <c r="G100" s="10" t="n">
        <v>0.771376522828193</v>
      </c>
      <c r="H100" s="8" t="n">
        <v>9.77737821866851</v>
      </c>
      <c r="I100" s="8" t="n">
        <v>10.8793422327632</v>
      </c>
      <c r="J100" s="8" t="n">
        <v>132.174479631562</v>
      </c>
      <c r="K100" s="8" t="n">
        <v>2.80025001735906</v>
      </c>
      <c r="L100" s="8" t="n">
        <v>94.8842784155444</v>
      </c>
      <c r="M100" s="8" t="n">
        <v>-1.34078715461562</v>
      </c>
      <c r="N100" s="8" t="n">
        <v>2.39666666666667</v>
      </c>
      <c r="O100" s="8" t="n">
        <v>-0.0066666666666668</v>
      </c>
      <c r="P100" s="8" t="n">
        <v>68.9233333333333</v>
      </c>
      <c r="Q100" s="8" t="n">
        <v>-7.48545861297539</v>
      </c>
    </row>
    <row r="101" ht="19" customHeight="1">
      <c r="A101" s="6" t="inlineStr">
        <is>
          <t>Cambodia</t>
        </is>
      </c>
      <c r="B101" s="10" t="n">
        <v>2019</v>
      </c>
      <c r="C101" s="10" t="n">
        <v>3</v>
      </c>
      <c r="D101" s="6" t="inlineStr">
        <is>
          <t>2019 Q3</t>
        </is>
      </c>
      <c r="E101" s="8" t="n">
        <v>178.138666666667</v>
      </c>
      <c r="F101" s="10" t="n">
        <v>1.97610960577033</v>
      </c>
      <c r="G101" s="10" t="n">
        <v>0.6347861292357539</v>
      </c>
      <c r="H101" s="8" t="n">
        <v>7.6101832150155</v>
      </c>
      <c r="I101" s="8" t="n">
        <v>14.5000445888556</v>
      </c>
      <c r="J101" s="8" t="n">
        <v>131.942041014619</v>
      </c>
      <c r="K101" s="8" t="n">
        <v>1.14387852063398</v>
      </c>
      <c r="L101" s="8" t="n">
        <v>94.5983508132319</v>
      </c>
      <c r="M101" s="8" t="n">
        <v>1.42476434777905</v>
      </c>
      <c r="N101" s="8" t="n">
        <v>2.19</v>
      </c>
      <c r="O101" s="8" t="n">
        <v>-0.206666666666667</v>
      </c>
      <c r="P101" s="8" t="n">
        <v>61.93</v>
      </c>
      <c r="Q101" s="8" t="n">
        <v>-17.6718216865334</v>
      </c>
    </row>
    <row r="102" ht="19" customHeight="1">
      <c r="A102" s="6" t="inlineStr">
        <is>
          <t>Cambodia</t>
        </is>
      </c>
      <c r="B102" s="10" t="n">
        <v>2019</v>
      </c>
      <c r="C102" s="10" t="n">
        <v>4</v>
      </c>
      <c r="D102" s="6" t="inlineStr">
        <is>
          <t>2019 Q4</t>
        </is>
      </c>
      <c r="E102" s="8" t="n">
        <v>178.899666666667</v>
      </c>
      <c r="F102" s="10" t="n">
        <v>2.03034491149559</v>
      </c>
      <c r="G102" s="10" t="n">
        <v>0.427195293554083</v>
      </c>
      <c r="H102" s="8" t="n">
        <v>3.92932596585326</v>
      </c>
      <c r="I102" s="8" t="n">
        <v>18.4083596802346</v>
      </c>
      <c r="J102" s="8" t="n">
        <v>132.027181453691</v>
      </c>
      <c r="K102" s="8" t="n">
        <v>-0.395261798983149</v>
      </c>
      <c r="L102" s="8" t="n">
        <v>98.5900431134575</v>
      </c>
      <c r="M102" s="8" t="n">
        <v>8.654807088293911</v>
      </c>
      <c r="N102" s="8" t="n">
        <v>1.64333333333333</v>
      </c>
      <c r="O102" s="8" t="n">
        <v>-0.546666666666667</v>
      </c>
      <c r="P102" s="8" t="n">
        <v>63.41</v>
      </c>
      <c r="Q102" s="8" t="n">
        <v>-6.35522299891701</v>
      </c>
    </row>
    <row r="103" ht="19" customHeight="1">
      <c r="A103" s="6" t="inlineStr">
        <is>
          <t>Cambodia</t>
        </is>
      </c>
      <c r="B103" s="10" t="n">
        <v>2020</v>
      </c>
      <c r="C103" s="10" t="n">
        <v>1</v>
      </c>
      <c r="D103" s="6" t="inlineStr">
        <is>
          <t>2020 Q1</t>
        </is>
      </c>
      <c r="E103" s="8" t="n">
        <v>180.972333333333</v>
      </c>
      <c r="F103" s="10" t="n">
        <v>3.02421344263539</v>
      </c>
      <c r="G103" s="10" t="n">
        <v>1.15856373870642</v>
      </c>
      <c r="H103" s="8" t="n">
        <v>-1.26519720967895</v>
      </c>
      <c r="I103" s="8" t="n">
        <v>22.6042914151632</v>
      </c>
      <c r="J103" s="8" t="n">
        <v>133.701079596924</v>
      </c>
      <c r="K103" s="8" t="n">
        <v>0.622858426637141</v>
      </c>
      <c r="L103" s="8" t="n">
        <v>101.264856657347</v>
      </c>
      <c r="M103" s="8" t="n">
        <v>7.92087821393919</v>
      </c>
      <c r="N103" s="8" t="n">
        <v>1.26</v>
      </c>
      <c r="O103" s="8" t="n">
        <v>-0.383333333333333</v>
      </c>
      <c r="P103" s="8" t="n">
        <v>50.44</v>
      </c>
      <c r="Q103" s="8" t="n">
        <v>-20.1519708722495</v>
      </c>
    </row>
    <row r="104" ht="19" customHeight="1">
      <c r="A104" s="6" t="inlineStr">
        <is>
          <t>Cambodia</t>
        </is>
      </c>
      <c r="B104" s="10" t="n">
        <v>2020</v>
      </c>
      <c r="C104" s="10" t="n">
        <v>2</v>
      </c>
      <c r="D104" s="6" t="inlineStr">
        <is>
          <t>2020 Q2</t>
        </is>
      </c>
      <c r="E104" s="8" t="n">
        <v>181.443</v>
      </c>
      <c r="F104" s="10" t="n">
        <v>2.50148292517582</v>
      </c>
      <c r="G104" s="10" t="n">
        <v>0.260076586292191</v>
      </c>
      <c r="H104" s="8" t="n">
        <v>-4.25921509271637</v>
      </c>
      <c r="I104" s="8" t="n">
        <v>24.7931833827945</v>
      </c>
      <c r="J104" s="8" t="n">
        <v>135.744106057236</v>
      </c>
      <c r="K104" s="8" t="n">
        <v>2.7006926266133</v>
      </c>
      <c r="L104" s="8" t="n">
        <v>94.2610802411244</v>
      </c>
      <c r="M104" s="8" t="n">
        <v>-0.656798138560644</v>
      </c>
      <c r="N104" s="8" t="n">
        <v>0.06</v>
      </c>
      <c r="O104" s="8" t="n">
        <v>-1.2</v>
      </c>
      <c r="P104" s="8" t="n">
        <v>29.3433333333333</v>
      </c>
      <c r="Q104" s="8" t="n">
        <v>-57.426125646854</v>
      </c>
    </row>
    <row r="105" ht="19" customHeight="1">
      <c r="A105" s="6" t="inlineStr">
        <is>
          <t>Cambodia</t>
        </is>
      </c>
      <c r="B105" s="10" t="n">
        <v>2020</v>
      </c>
      <c r="C105" s="10" t="n">
        <v>3</v>
      </c>
      <c r="D105" s="6" t="inlineStr">
        <is>
          <t>2020 Q3</t>
        </is>
      </c>
      <c r="E105" s="8" t="n">
        <v>183.120333333333</v>
      </c>
      <c r="F105" s="10" t="n">
        <v>2.79651058351547</v>
      </c>
      <c r="G105" s="10" t="n">
        <v>0.924440917165925</v>
      </c>
      <c r="H105" s="8" t="n">
        <v>-5.05273067719132</v>
      </c>
      <c r="I105" s="8" t="n">
        <v>24.9750377722033</v>
      </c>
      <c r="J105" s="8" t="n">
        <v>132.994207387267</v>
      </c>
      <c r="K105" s="8" t="n">
        <v>0.797445881962822</v>
      </c>
      <c r="L105" s="8" t="n">
        <v>97.88852553233011</v>
      </c>
      <c r="M105" s="8" t="n">
        <v>3.47804659469599</v>
      </c>
      <c r="N105" s="8" t="n">
        <v>0.0933333333333333</v>
      </c>
      <c r="O105" s="8" t="n">
        <v>0.0333333333333333</v>
      </c>
      <c r="P105" s="8" t="n">
        <v>42.9633333333333</v>
      </c>
      <c r="Q105" s="8" t="n">
        <v>-30.6259755638086</v>
      </c>
    </row>
    <row r="106" ht="19" customHeight="1">
      <c r="A106" s="6" t="inlineStr">
        <is>
          <t>Cambodia</t>
        </is>
      </c>
      <c r="B106" s="10" t="n">
        <v>2020</v>
      </c>
      <c r="C106" s="10" t="n">
        <v>4</v>
      </c>
      <c r="D106" s="6" t="inlineStr">
        <is>
          <t>2020 Q4</t>
        </is>
      </c>
      <c r="E106" s="8" t="n">
        <v>185.045333333333</v>
      </c>
      <c r="F106" s="10" t="n">
        <v>3.43525886949669</v>
      </c>
      <c r="G106" s="10" t="n">
        <v>1.05122132805204</v>
      </c>
      <c r="H106" s="8" t="n">
        <v>-3.64574475669767</v>
      </c>
      <c r="I106" s="8" t="n">
        <v>23.1498547652124</v>
      </c>
      <c r="J106" s="8" t="n">
        <v>132.701587728732</v>
      </c>
      <c r="K106" s="8" t="n">
        <v>0.510808658956363</v>
      </c>
      <c r="L106" s="8" t="n">
        <v>107.405441783652</v>
      </c>
      <c r="M106" s="8" t="n">
        <v>8.9414695356711</v>
      </c>
      <c r="N106" s="8" t="n">
        <v>0.09</v>
      </c>
      <c r="O106" s="8" t="n">
        <v>-0.0033333333333333</v>
      </c>
      <c r="P106" s="8" t="n">
        <v>44.29</v>
      </c>
      <c r="Q106" s="8" t="n">
        <v>-30.152972717237</v>
      </c>
    </row>
    <row r="107" ht="19" customHeight="1">
      <c r="A107" s="6" t="inlineStr">
        <is>
          <t>Cambodia</t>
        </is>
      </c>
      <c r="B107" s="10" t="n">
        <v>2021</v>
      </c>
      <c r="C107" s="10" t="n">
        <v>1</v>
      </c>
      <c r="D107" s="6" t="inlineStr">
        <is>
          <t>2021 Q1</t>
        </is>
      </c>
      <c r="E107" s="8" t="n">
        <v>184.835666666667</v>
      </c>
      <c r="F107" s="10" t="n">
        <v>2.13476461411228</v>
      </c>
      <c r="G107" s="10" t="n">
        <v>-0.11330556836523</v>
      </c>
      <c r="H107" s="8" t="n">
        <v>-0.0382559242251562</v>
      </c>
      <c r="I107" s="8" t="n">
        <v>19.31763253661</v>
      </c>
      <c r="J107" s="8" t="n">
        <v>130.443689932052</v>
      </c>
      <c r="K107" s="8" t="n">
        <v>-2.43632263456137</v>
      </c>
      <c r="L107" s="8" t="n">
        <v>106.418456967928</v>
      </c>
      <c r="M107" s="8" t="n">
        <v>5.08922886053087</v>
      </c>
      <c r="N107" s="8" t="n">
        <v>0.08</v>
      </c>
      <c r="O107" s="8" t="n">
        <v>-0.01</v>
      </c>
      <c r="P107" s="8" t="n">
        <v>60.82</v>
      </c>
      <c r="Q107" s="8" t="n">
        <v>20.578905630452</v>
      </c>
    </row>
    <row r="108" ht="19" customHeight="1">
      <c r="A108" s="6" t="inlineStr">
        <is>
          <t>Cambodia</t>
        </is>
      </c>
      <c r="B108" s="10" t="n">
        <v>2021</v>
      </c>
      <c r="C108" s="10" t="n">
        <v>2</v>
      </c>
      <c r="D108" s="6" t="inlineStr">
        <is>
          <t>2021 Q2</t>
        </is>
      </c>
      <c r="E108" s="8" t="n">
        <v>186.568</v>
      </c>
      <c r="F108" s="10" t="n">
        <v>2.82457851777145</v>
      </c>
      <c r="G108" s="10" t="n">
        <v>0.937228925874711</v>
      </c>
      <c r="H108" s="8" t="n">
        <v>2.65597785926894</v>
      </c>
      <c r="I108" s="8" t="n">
        <v>17.7043856434876</v>
      </c>
      <c r="J108" s="8" t="n">
        <v>129.954495610129</v>
      </c>
      <c r="K108" s="8" t="n">
        <v>-4.26509158686085</v>
      </c>
      <c r="L108" s="8" t="n">
        <v>114.551815876528</v>
      </c>
      <c r="M108" s="8" t="n">
        <v>21.5261013172124</v>
      </c>
      <c r="N108" s="8" t="n">
        <v>0.07000000000000001</v>
      </c>
      <c r="O108" s="8" t="n">
        <v>-0.01</v>
      </c>
      <c r="P108" s="8" t="n">
        <v>68.8333333333333</v>
      </c>
      <c r="Q108" s="8" t="n">
        <v>134.579120754288</v>
      </c>
    </row>
    <row r="109" ht="19" customHeight="1">
      <c r="A109" s="6" t="inlineStr">
        <is>
          <t>Cambodia</t>
        </is>
      </c>
      <c r="B109" s="10" t="n">
        <v>2021</v>
      </c>
      <c r="C109" s="10" t="n">
        <v>3</v>
      </c>
      <c r="D109" s="6" t="inlineStr">
        <is>
          <t>2021 Q3</t>
        </is>
      </c>
      <c r="E109" s="8" t="n">
        <v>189.031666666667</v>
      </c>
      <c r="F109" s="10" t="n">
        <v>3.22811411803894</v>
      </c>
      <c r="G109" s="10" t="n">
        <v>1.32051941740634</v>
      </c>
      <c r="H109" s="8" t="n">
        <v>4.43695928795548</v>
      </c>
      <c r="I109" s="8" t="n">
        <v>18.3101124727731</v>
      </c>
      <c r="J109" s="8" t="n">
        <v>131.106049642536</v>
      </c>
      <c r="K109" s="8" t="n">
        <v>-1.41972931139303</v>
      </c>
      <c r="L109" s="8" t="n">
        <v>116.298331246585</v>
      </c>
      <c r="M109" s="8" t="n">
        <v>18.8069087915464</v>
      </c>
      <c r="N109" s="8" t="n">
        <v>0.09</v>
      </c>
      <c r="O109" s="8" t="n">
        <v>0.02</v>
      </c>
      <c r="P109" s="8" t="n">
        <v>73.47</v>
      </c>
      <c r="Q109" s="8" t="n">
        <v>71.0062844285825</v>
      </c>
    </row>
    <row r="110" ht="19" customHeight="1">
      <c r="A110" s="6" t="inlineStr">
        <is>
          <t>Cambodia</t>
        </is>
      </c>
      <c r="B110" s="10" t="n">
        <v>2021</v>
      </c>
      <c r="C110" s="10" t="n">
        <v>4</v>
      </c>
      <c r="D110" s="6" t="inlineStr">
        <is>
          <t>2021 Q4</t>
        </is>
      </c>
      <c r="E110" s="8" t="n">
        <v>191.484</v>
      </c>
      <c r="F110" s="10" t="n">
        <v>3.47950772423335</v>
      </c>
      <c r="G110" s="10" t="n">
        <v>1.29731350126523</v>
      </c>
      <c r="H110" s="8" t="n">
        <v>5.30469014289643</v>
      </c>
      <c r="I110" s="8" t="n">
        <v>21.1348136303011</v>
      </c>
      <c r="J110" s="8" t="n">
        <v>132.401323652529</v>
      </c>
      <c r="K110" s="8" t="n">
        <v>-0.226270145928342</v>
      </c>
      <c r="L110" s="8" t="n">
        <v>122.679602624024</v>
      </c>
      <c r="M110" s="8" t="n">
        <v>14.2210306914792</v>
      </c>
      <c r="N110" s="8" t="n">
        <v>0.08</v>
      </c>
      <c r="O110" s="8" t="n">
        <v>-0.01</v>
      </c>
      <c r="P110" s="8" t="n">
        <v>79.5866666666667</v>
      </c>
      <c r="Q110" s="8" t="n">
        <v>79.69443817265</v>
      </c>
    </row>
    <row r="111" ht="19" customHeight="1">
      <c r="A111" s="6" t="inlineStr">
        <is>
          <t>Cambodia</t>
        </is>
      </c>
      <c r="B111" s="10" t="n">
        <v>2022</v>
      </c>
      <c r="C111" s="10" t="n">
        <v>1</v>
      </c>
      <c r="D111" s="6" t="inlineStr">
        <is>
          <t>2022 Q1</t>
        </is>
      </c>
      <c r="E111" s="8" t="n">
        <v>195.686666666667</v>
      </c>
      <c r="F111" s="10" t="n">
        <v>5.87062020858167</v>
      </c>
      <c r="G111" s="10" t="n">
        <v>2.19478737997256</v>
      </c>
      <c r="H111" s="8" t="n">
        <v>5.25917129176651</v>
      </c>
      <c r="I111" s="8" t="n">
        <v>26.1784919404354</v>
      </c>
      <c r="J111" s="8" t="n">
        <v>134.579755130317</v>
      </c>
      <c r="K111" s="8" t="n">
        <v>3.17076678865789</v>
      </c>
      <c r="L111" s="8" t="n">
        <v>124.25343875034</v>
      </c>
      <c r="M111" s="8" t="n">
        <v>16.7592937264516</v>
      </c>
      <c r="N111" s="8" t="n">
        <v>0.12</v>
      </c>
      <c r="O111" s="8" t="n">
        <v>0.04</v>
      </c>
      <c r="P111" s="8" t="n">
        <v>100.296666666667</v>
      </c>
      <c r="Q111" s="8" t="n">
        <v>64.9073769593335</v>
      </c>
    </row>
    <row r="112" ht="19" customHeight="1">
      <c r="A112" s="6" t="inlineStr">
        <is>
          <t>Cambodia</t>
        </is>
      </c>
      <c r="B112" s="10" t="n">
        <v>2022</v>
      </c>
      <c r="C112" s="10" t="n">
        <v>2</v>
      </c>
      <c r="D112" s="6" t="inlineStr">
        <is>
          <t>2022 Q2</t>
        </is>
      </c>
      <c r="E112" s="8" t="n">
        <v>200.393666666667</v>
      </c>
      <c r="F112" s="10" t="n">
        <v>7.41052413418519</v>
      </c>
      <c r="G112" s="10" t="n">
        <v>2.40537594113037</v>
      </c>
      <c r="H112" s="8" t="n">
        <v>5.18925571509453</v>
      </c>
      <c r="I112" s="8" t="n">
        <v>29.9612462599193</v>
      </c>
      <c r="J112" s="8" t="n">
        <v>138.524777933378</v>
      </c>
      <c r="K112" s="8" t="n">
        <v>6.59483327838111</v>
      </c>
      <c r="L112" s="8" t="n">
        <v>134.351432934678</v>
      </c>
      <c r="M112" s="8" t="n">
        <v>17.2844200736996</v>
      </c>
      <c r="N112" s="8" t="n">
        <v>0.77</v>
      </c>
      <c r="O112" s="8" t="n">
        <v>0.65</v>
      </c>
      <c r="P112" s="8" t="n">
        <v>113.543333333333</v>
      </c>
      <c r="Q112" s="8" t="n">
        <v>64.95399515738499</v>
      </c>
    </row>
    <row r="113" ht="19" customHeight="1">
      <c r="A113" s="6" t="inlineStr">
        <is>
          <t>Cambodia</t>
        </is>
      </c>
      <c r="B113" s="10" t="n">
        <v>2022</v>
      </c>
      <c r="C113" s="10" t="n">
        <v>3</v>
      </c>
      <c r="D113" s="6" t="inlineStr">
        <is>
          <t>2022 Q3</t>
        </is>
      </c>
      <c r="E113" s="8" t="n">
        <v>198.339333333333</v>
      </c>
      <c r="F113" s="10" t="n">
        <v>4.92386637159559</v>
      </c>
      <c r="G113" s="10" t="n">
        <v>-1.02514883204891</v>
      </c>
      <c r="H113" s="8" t="n">
        <v>5.09494334297854</v>
      </c>
      <c r="I113" s="8" t="n">
        <v>32.4830803713547</v>
      </c>
      <c r="J113" s="8" t="n">
        <v>138.636966416561</v>
      </c>
      <c r="K113" s="8" t="n">
        <v>5.74414132266137</v>
      </c>
      <c r="L113" s="8" t="n">
        <v>118.584751746656</v>
      </c>
      <c r="M113" s="8" t="n">
        <v>1.96599596534466</v>
      </c>
      <c r="N113" s="8" t="n">
        <v>2.19</v>
      </c>
      <c r="O113" s="8" t="n">
        <v>1.42</v>
      </c>
      <c r="P113" s="8" t="n">
        <v>100.713333333333</v>
      </c>
      <c r="Q113" s="8" t="n">
        <v>37.0808946962479</v>
      </c>
    </row>
    <row r="114" ht="19" customHeight="1">
      <c r="A114" s="6" t="inlineStr">
        <is>
          <t>Cambodia</t>
        </is>
      </c>
      <c r="B114" s="10" t="n">
        <v>2022</v>
      </c>
      <c r="C114" s="10" t="n">
        <v>4</v>
      </c>
      <c r="D114" s="6" t="inlineStr">
        <is>
          <t>2022 Q4</t>
        </is>
      </c>
      <c r="E114" s="8" t="n">
        <v>197.68</v>
      </c>
      <c r="F114" s="10" t="n">
        <v>3.23577949071463</v>
      </c>
      <c r="G114" s="10" t="n">
        <v>-0.332426918177264</v>
      </c>
      <c r="H114" s="8" t="n">
        <v>4.97623408108031</v>
      </c>
      <c r="I114" s="8" t="n">
        <v>33.7439967966083</v>
      </c>
      <c r="J114" s="8" t="n">
        <v>136.728249794449</v>
      </c>
      <c r="K114" s="8" t="n">
        <v>3.26803843236119</v>
      </c>
      <c r="L114" s="8" t="n">
        <v>115.210051245214</v>
      </c>
      <c r="M114" s="8" t="n">
        <v>-6.08866610181539</v>
      </c>
      <c r="N114" s="8" t="n">
        <v>3.65333333333333</v>
      </c>
      <c r="O114" s="8" t="n">
        <v>1.46333333333333</v>
      </c>
      <c r="P114" s="8" t="n">
        <v>88.5566666666667</v>
      </c>
      <c r="Q114" s="8" t="n">
        <v>11.2707321159323</v>
      </c>
    </row>
    <row r="115" ht="19" customHeight="1">
      <c r="A115" s="6" t="inlineStr">
        <is>
          <t>Cambodia</t>
        </is>
      </c>
      <c r="B115" s="10" t="n">
        <v>2023</v>
      </c>
      <c r="C115" s="10" t="n">
        <v>1</v>
      </c>
      <c r="D115" s="6" t="inlineStr">
        <is>
          <t>2023 Q1</t>
        </is>
      </c>
      <c r="E115" s="8" t="n">
        <v>199.481333333333</v>
      </c>
      <c r="F115" s="10" t="n">
        <v>1.93915443055224</v>
      </c>
      <c r="G115" s="10" t="n">
        <v>0.91123701605289</v>
      </c>
      <c r="H115" s="8" t="n">
        <v>4.83312781064198</v>
      </c>
      <c r="I115" s="9" t="inlineStr"/>
      <c r="J115" s="8" t="n">
        <v>134.958524731517</v>
      </c>
      <c r="K115" s="8" t="n">
        <v>0.281446195851065</v>
      </c>
      <c r="L115" s="8" t="n">
        <v>114.034689515825</v>
      </c>
      <c r="M115" s="8" t="n">
        <v>-8.224117849203459</v>
      </c>
      <c r="N115" s="8" t="n">
        <v>4.51666666666667</v>
      </c>
      <c r="O115" s="8" t="n">
        <v>0.863333333333333</v>
      </c>
      <c r="P115" s="8" t="n">
        <v>81.1733333333333</v>
      </c>
      <c r="Q115" s="8" t="n">
        <v>-19.0667685865266</v>
      </c>
    </row>
    <row r="116" ht="19" customHeight="1">
      <c r="A116" s="6" t="inlineStr">
        <is>
          <t>Cambodia</t>
        </is>
      </c>
      <c r="B116" s="10" t="n">
        <v>2023</v>
      </c>
      <c r="C116" s="10" t="n">
        <v>2</v>
      </c>
      <c r="D116" s="6" t="inlineStr">
        <is>
          <t>2023 Q2</t>
        </is>
      </c>
      <c r="E116" s="8" t="n">
        <v>201.47</v>
      </c>
      <c r="F116" s="10" t="n">
        <v>0.537109456220342</v>
      </c>
      <c r="G116" s="10" t="n">
        <v>0.9969186757658119</v>
      </c>
      <c r="H116" s="8" t="n">
        <v>4.84556633171374</v>
      </c>
      <c r="I116" s="9" t="inlineStr"/>
      <c r="J116" s="8" t="n">
        <v>134.607481457226</v>
      </c>
      <c r="K116" s="8" t="n">
        <v>-2.82786699577813</v>
      </c>
      <c r="L116" s="8" t="n">
        <v>109.857789884183</v>
      </c>
      <c r="M116" s="8" t="n">
        <v>-18.2310247948031</v>
      </c>
      <c r="N116" s="8" t="n">
        <v>4.99</v>
      </c>
      <c r="O116" s="8" t="n">
        <v>0.473333333333334</v>
      </c>
      <c r="P116" s="8" t="n">
        <v>78.31666666666671</v>
      </c>
      <c r="Q116" s="8" t="n">
        <v>-31.0248656900449</v>
      </c>
    </row>
    <row r="117" ht="19" customHeight="1">
      <c r="A117" s="6" t="inlineStr">
        <is>
          <t>Cambodia</t>
        </is>
      </c>
      <c r="B117" s="10" t="n">
        <v>2023</v>
      </c>
      <c r="C117" s="10" t="n">
        <v>3</v>
      </c>
      <c r="D117" s="6" t="inlineStr">
        <is>
          <t>2023 Q3</t>
        </is>
      </c>
      <c r="E117" s="8" t="n">
        <v>204.196333333333</v>
      </c>
      <c r="F117" s="10" t="n">
        <v>2.95301990864141</v>
      </c>
      <c r="G117" s="10" t="n">
        <v>1.35322049602091</v>
      </c>
      <c r="H117" s="8" t="n">
        <v>5.01354965665344</v>
      </c>
      <c r="I117" s="9" t="inlineStr"/>
      <c r="J117" s="8" t="n">
        <v>135.603883388593</v>
      </c>
      <c r="K117" s="8" t="n">
        <v>-2.18778808161093</v>
      </c>
      <c r="L117" s="8" t="n">
        <v>107.510614988168</v>
      </c>
      <c r="M117" s="8" t="n">
        <v>-9.338584088911441</v>
      </c>
      <c r="N117" s="8" t="n">
        <v>5.26</v>
      </c>
      <c r="O117" s="8" t="n">
        <v>0.27</v>
      </c>
      <c r="P117" s="8" t="n">
        <v>86.66</v>
      </c>
      <c r="Q117" s="8" t="n">
        <v>-13.9537962533925</v>
      </c>
    </row>
    <row r="118" ht="19" customHeight="1">
      <c r="A118" s="6" t="inlineStr">
        <is>
          <t>Cambodia</t>
        </is>
      </c>
      <c r="B118" s="10" t="n">
        <v>2023</v>
      </c>
      <c r="C118" s="10" t="n">
        <v>4</v>
      </c>
      <c r="D118" s="6" t="inlineStr">
        <is>
          <t>2023 Q4</t>
        </is>
      </c>
      <c r="E118" s="8" t="n">
        <v>203.803666666667</v>
      </c>
      <c r="F118" s="10" t="n">
        <v>3.09776743558612</v>
      </c>
      <c r="G118" s="10" t="n">
        <v>-0.192298588450013</v>
      </c>
      <c r="H118" s="8" t="n">
        <v>5.33707795345247</v>
      </c>
      <c r="I118" s="9" t="inlineStr"/>
      <c r="J118" s="8" t="n">
        <v>135.920925206889</v>
      </c>
      <c r="K118" s="8" t="n">
        <v>-0.590459242163877</v>
      </c>
      <c r="L118" s="8" t="n">
        <v>105.339533846651</v>
      </c>
      <c r="M118" s="8" t="n">
        <v>-8.56740995414912</v>
      </c>
      <c r="N118" s="8" t="n">
        <v>5.33</v>
      </c>
      <c r="O118" s="8" t="n">
        <v>0.0700000000000003</v>
      </c>
      <c r="P118" s="8" t="n">
        <v>83.7233333333333</v>
      </c>
      <c r="Q118" s="8" t="n">
        <v>-5.45789889712802</v>
      </c>
    </row>
    <row r="119" ht="19" customHeight="1">
      <c r="A119" s="6" t="inlineStr">
        <is>
          <t>Cambodia</t>
        </is>
      </c>
      <c r="B119" s="10" t="n">
        <v>2024</v>
      </c>
      <c r="C119" s="10" t="n">
        <v>1</v>
      </c>
      <c r="D119" s="6" t="inlineStr">
        <is>
          <t>2024 Q1</t>
        </is>
      </c>
      <c r="E119" s="8" t="n">
        <v>198.989</v>
      </c>
      <c r="F119" s="10" t="n">
        <v>-0.246806718757309</v>
      </c>
      <c r="G119" s="10" t="n">
        <v>-2.36240434012472</v>
      </c>
      <c r="H119" s="8" t="n">
        <v>5.81615154566076</v>
      </c>
      <c r="I119" s="9" t="inlineStr"/>
      <c r="J119" s="8" t="n">
        <v>133.675083218023</v>
      </c>
      <c r="K119" s="8" t="n">
        <v>-0.950989584427853</v>
      </c>
      <c r="L119" s="8" t="n">
        <v>102.582568583479</v>
      </c>
      <c r="M119" s="8" t="n">
        <v>-10.0426641936497</v>
      </c>
      <c r="N119" s="8" t="n">
        <v>5.33</v>
      </c>
      <c r="O119" s="8" t="n">
        <v>0</v>
      </c>
      <c r="P119" s="8" t="n">
        <v>83.0033333333333</v>
      </c>
      <c r="Q119" s="8" t="n">
        <v>2.25443495400788</v>
      </c>
    </row>
    <row r="120" ht="19" customHeight="1">
      <c r="A120" s="6" t="inlineStr">
        <is>
          <t>Cambodia</t>
        </is>
      </c>
      <c r="B120" s="10" t="n">
        <v>2024</v>
      </c>
      <c r="C120" s="10" t="n">
        <v>2</v>
      </c>
      <c r="D120" s="6" t="inlineStr">
        <is>
          <t>2024 Q2</t>
        </is>
      </c>
      <c r="E120" s="8" t="n">
        <v>203.012666666667</v>
      </c>
      <c r="F120" s="10" t="n">
        <v>0.7657053986532379</v>
      </c>
      <c r="G120" s="10" t="n">
        <v>2.0220548204507</v>
      </c>
      <c r="H120" s="8" t="n">
        <v>6.08764607870113</v>
      </c>
      <c r="I120" s="9" t="inlineStr"/>
      <c r="J120" s="8" t="n">
        <v>136.068568225554</v>
      </c>
      <c r="K120" s="8" t="n">
        <v>1.08544246761852</v>
      </c>
      <c r="L120" s="8" t="n">
        <v>104.519793640698</v>
      </c>
      <c r="M120" s="8" t="n">
        <v>-4.85900567371084</v>
      </c>
      <c r="N120" s="8" t="n">
        <v>5.33</v>
      </c>
      <c r="O120" s="8" t="n">
        <v>0</v>
      </c>
      <c r="P120" s="8" t="n">
        <v>84.6466666666667</v>
      </c>
      <c r="Q120" s="8" t="n">
        <v>8.082570759736109</v>
      </c>
    </row>
    <row r="121" ht="19" customHeight="1">
      <c r="A121" s="6" t="inlineStr">
        <is>
          <t>Cambodia</t>
        </is>
      </c>
      <c r="B121" s="10" t="n">
        <v>2024</v>
      </c>
      <c r="C121" s="10" t="n">
        <v>3</v>
      </c>
      <c r="D121" s="6" t="inlineStr">
        <is>
          <t>2024 Q3</t>
        </is>
      </c>
      <c r="E121" s="9" t="inlineStr"/>
      <c r="F121" s="9" t="inlineStr"/>
      <c r="G121" s="9" t="inlineStr"/>
      <c r="H121" s="8" t="n">
        <v>6.15156182407168</v>
      </c>
      <c r="I121" s="9" t="inlineStr"/>
      <c r="J121" s="8" t="n">
        <v>134.703145066383</v>
      </c>
      <c r="K121" s="8" t="n">
        <v>-0.6642422766228619</v>
      </c>
      <c r="L121" s="8" t="n">
        <v>106.377099329068</v>
      </c>
      <c r="M121" s="8" t="n">
        <v>-1.05432906250624</v>
      </c>
      <c r="N121" s="8" t="n">
        <v>5.26333333333333</v>
      </c>
      <c r="O121" s="8" t="n">
        <v>-0.0666666666666664</v>
      </c>
      <c r="P121" s="8" t="n">
        <v>79.84333333333331</v>
      </c>
      <c r="Q121" s="8" t="n">
        <v>-7.86598969151473</v>
      </c>
    </row>
    <row r="122" ht="19" customHeight="1">
      <c r="A122" s="6" t="inlineStr">
        <is>
          <t>Cambodia</t>
        </is>
      </c>
      <c r="B122" s="10" t="n">
        <v>2024</v>
      </c>
      <c r="C122" s="10" t="n">
        <v>4</v>
      </c>
      <c r="D122" s="6" t="inlineStr">
        <is>
          <t>2024 Q4</t>
        </is>
      </c>
      <c r="E122" s="9" t="inlineStr"/>
      <c r="F122" s="9" t="inlineStr"/>
      <c r="G122" s="9" t="inlineStr"/>
      <c r="H122" s="8" t="n">
        <v>6.0078988456622</v>
      </c>
      <c r="I122" s="9" t="inlineStr"/>
      <c r="J122" s="8" t="n">
        <v>138.385423194917</v>
      </c>
      <c r="K122" s="8" t="n">
        <v>1.8131851179479</v>
      </c>
      <c r="L122" s="8" t="n">
        <v>110.645361455409</v>
      </c>
      <c r="M122" s="8" t="n">
        <v>5.03688161035707</v>
      </c>
      <c r="N122" s="8" t="n">
        <v>4.65</v>
      </c>
      <c r="O122" s="8" t="n">
        <v>-0.613333333333333</v>
      </c>
      <c r="P122" s="8" t="n">
        <v>74.6133333333333</v>
      </c>
      <c r="Q122" s="8" t="n">
        <v>-10.8810765616913</v>
      </c>
    </row>
    <row r="123" ht="19" customHeight="1">
      <c r="A123" s="6" t="inlineStr">
        <is>
          <t>Cambodia</t>
        </is>
      </c>
      <c r="B123" s="10" t="n">
        <v>2025</v>
      </c>
      <c r="C123" s="10" t="n">
        <v>1</v>
      </c>
      <c r="D123" s="6" t="inlineStr">
        <is>
          <t>2025 Q1</t>
        </is>
      </c>
      <c r="E123" s="9" t="inlineStr"/>
      <c r="F123" s="9" t="inlineStr"/>
      <c r="G123" s="9" t="inlineStr"/>
      <c r="H123" s="8" t="n">
        <v>5.6566569998336</v>
      </c>
      <c r="I123" s="9" t="inlineStr"/>
      <c r="J123" s="8" t="n">
        <v>140.747209614701</v>
      </c>
      <c r="K123" s="8" t="n">
        <v>5.29053450084158</v>
      </c>
      <c r="L123" s="8" t="n">
        <v>108.711496383905</v>
      </c>
      <c r="M123" s="8" t="n">
        <v>5.97462891118643</v>
      </c>
      <c r="N123" s="8" t="n">
        <v>4.33</v>
      </c>
      <c r="O123" s="8" t="n">
        <v>-0.32</v>
      </c>
      <c r="P123" s="8" t="n">
        <v>75.8133333333333</v>
      </c>
      <c r="Q123" s="8" t="n">
        <v>-8.662302718766311</v>
      </c>
    </row>
    <row r="124" ht="19" customHeight="1">
      <c r="A124" s="6" t="inlineStr">
        <is>
          <t>Indonesia</t>
        </is>
      </c>
      <c r="B124" s="10" t="n">
        <v>2010</v>
      </c>
      <c r="C124" s="10" t="n">
        <v>1</v>
      </c>
      <c r="D124" s="6" t="inlineStr">
        <is>
          <t>2010 Q1</t>
        </is>
      </c>
      <c r="E124" s="8" t="n">
        <v>73.8507966666667</v>
      </c>
      <c r="F124" s="9" t="inlineStr"/>
      <c r="G124" s="9" t="inlineStr"/>
      <c r="H124" s="8" t="n">
        <v>6.2336364041181</v>
      </c>
      <c r="I124" s="8" t="n">
        <v>15.0998264547927</v>
      </c>
      <c r="J124" s="8" t="n">
        <v>110.583181379933</v>
      </c>
      <c r="K124" s="9" t="inlineStr"/>
      <c r="L124" s="8" t="n">
        <v>99.24199528149821</v>
      </c>
      <c r="M124" s="9" t="inlineStr"/>
      <c r="N124" s="8" t="n">
        <v>0.133333333333333</v>
      </c>
      <c r="O124" s="9" t="inlineStr"/>
      <c r="P124" s="8" t="n">
        <v>76.25</v>
      </c>
      <c r="Q124" s="9" t="inlineStr"/>
    </row>
    <row r="125" ht="19" customHeight="1">
      <c r="A125" s="6" t="inlineStr">
        <is>
          <t>Indonesia</t>
        </is>
      </c>
      <c r="B125" s="10" t="n">
        <v>2010</v>
      </c>
      <c r="C125" s="10" t="n">
        <v>2</v>
      </c>
      <c r="D125" s="6" t="inlineStr">
        <is>
          <t>2010 Q2</t>
        </is>
      </c>
      <c r="E125" s="8" t="n">
        <v>74.3423333333333</v>
      </c>
      <c r="F125" s="9" t="inlineStr"/>
      <c r="G125" s="10" t="n">
        <v>0.665580723367509</v>
      </c>
      <c r="H125" s="8" t="n">
        <v>6.22972351706911</v>
      </c>
      <c r="I125" s="8" t="n">
        <v>15.2208109086382</v>
      </c>
      <c r="J125" s="8" t="n">
        <v>116.158231983964</v>
      </c>
      <c r="K125" s="9" t="inlineStr"/>
      <c r="L125" s="8" t="n">
        <v>96.4984622523225</v>
      </c>
      <c r="M125" s="9" t="inlineStr"/>
      <c r="N125" s="8" t="n">
        <v>0.193333333333333</v>
      </c>
      <c r="O125" s="8" t="n">
        <v>0.06</v>
      </c>
      <c r="P125" s="8" t="n">
        <v>78.51000000000001</v>
      </c>
      <c r="Q125" s="9" t="inlineStr"/>
    </row>
    <row r="126" ht="19" customHeight="1">
      <c r="A126" s="6" t="inlineStr">
        <is>
          <t>Indonesia</t>
        </is>
      </c>
      <c r="B126" s="10" t="n">
        <v>2010</v>
      </c>
      <c r="C126" s="10" t="n">
        <v>3</v>
      </c>
      <c r="D126" s="6" t="inlineStr">
        <is>
          <t>2010 Q3</t>
        </is>
      </c>
      <c r="E126" s="8" t="n">
        <v>76.56673000000001</v>
      </c>
      <c r="F126" s="9" t="inlineStr"/>
      <c r="G126" s="10" t="n">
        <v>2.99209961125784</v>
      </c>
      <c r="H126" s="8" t="n">
        <v>6.22189773905167</v>
      </c>
      <c r="I126" s="8" t="n">
        <v>15.4627799373259</v>
      </c>
      <c r="J126" s="8" t="n">
        <v>117.733774535707</v>
      </c>
      <c r="K126" s="9" t="inlineStr"/>
      <c r="L126" s="8" t="n">
        <v>107.356970480027</v>
      </c>
      <c r="M126" s="9" t="inlineStr"/>
      <c r="N126" s="8" t="n">
        <v>0.186666666666667</v>
      </c>
      <c r="O126" s="8" t="n">
        <v>-0.0066666666666666</v>
      </c>
      <c r="P126" s="8" t="n">
        <v>76.81999999999999</v>
      </c>
      <c r="Q126" s="9" t="inlineStr"/>
    </row>
    <row r="127" ht="19" customHeight="1">
      <c r="A127" s="6" t="inlineStr">
        <is>
          <t>Indonesia</t>
        </is>
      </c>
      <c r="B127" s="10" t="n">
        <v>2010</v>
      </c>
      <c r="C127" s="10" t="n">
        <v>4</v>
      </c>
      <c r="D127" s="6" t="inlineStr">
        <is>
          <t>2010 Q4</t>
        </is>
      </c>
      <c r="E127" s="8" t="n">
        <v>77.58103666666671</v>
      </c>
      <c r="F127" s="9" t="inlineStr"/>
      <c r="G127" s="10" t="n">
        <v>1.32473551719743</v>
      </c>
      <c r="H127" s="8" t="n">
        <v>6.21015906226769</v>
      </c>
      <c r="I127" s="8" t="n">
        <v>15.8257337827891</v>
      </c>
      <c r="J127" s="8" t="n">
        <v>114.96010629835</v>
      </c>
      <c r="K127" s="9" t="inlineStr"/>
      <c r="L127" s="8" t="n">
        <v>124.608736829891</v>
      </c>
      <c r="M127" s="9" t="inlineStr"/>
      <c r="N127" s="8" t="n">
        <v>0.186666666666667</v>
      </c>
      <c r="O127" s="8" t="n">
        <v>0</v>
      </c>
      <c r="P127" s="8" t="n">
        <v>86.4666666666667</v>
      </c>
      <c r="Q127" s="9" t="inlineStr"/>
    </row>
    <row r="128" ht="19" customHeight="1">
      <c r="A128" s="6" t="inlineStr">
        <is>
          <t>Indonesia</t>
        </is>
      </c>
      <c r="B128" s="10" t="n">
        <v>2011</v>
      </c>
      <c r="C128" s="10" t="n">
        <v>1</v>
      </c>
      <c r="D128" s="6" t="inlineStr">
        <is>
          <t>2011 Q1</t>
        </is>
      </c>
      <c r="E128" s="8" t="n">
        <v>78.8952633333333</v>
      </c>
      <c r="F128" s="10" t="n">
        <v>6.83061915964889</v>
      </c>
      <c r="G128" s="10" t="n">
        <v>1.69400503413399</v>
      </c>
      <c r="H128" s="8" t="n">
        <v>6.19450747497381</v>
      </c>
      <c r="I128" s="8" t="n">
        <v>16.3096728080309</v>
      </c>
      <c r="J128" s="8" t="n">
        <v>115.575953725232</v>
      </c>
      <c r="K128" s="8" t="n">
        <v>4.51494728492705</v>
      </c>
      <c r="L128" s="8" t="n">
        <v>121.875946057639</v>
      </c>
      <c r="M128" s="8" t="n">
        <v>22.8068276055313</v>
      </c>
      <c r="N128" s="8" t="n">
        <v>0.156666666666667</v>
      </c>
      <c r="O128" s="8" t="n">
        <v>-0.03</v>
      </c>
      <c r="P128" s="8" t="n">
        <v>104.96</v>
      </c>
      <c r="Q128" s="8" t="n">
        <v>37.6524590163934</v>
      </c>
    </row>
    <row r="129" ht="19" customHeight="1">
      <c r="A129" s="6" t="inlineStr">
        <is>
          <t>Indonesia</t>
        </is>
      </c>
      <c r="B129" s="10" t="n">
        <v>2011</v>
      </c>
      <c r="C129" s="10" t="n">
        <v>2</v>
      </c>
      <c r="D129" s="6" t="inlineStr">
        <is>
          <t>2011 Q2</t>
        </is>
      </c>
      <c r="E129" s="8" t="n">
        <v>78.72239</v>
      </c>
      <c r="F129" s="10" t="n">
        <v>5.89173956516478</v>
      </c>
      <c r="G129" s="10" t="n">
        <v>-0.21911750595589</v>
      </c>
      <c r="H129" s="8" t="n">
        <v>6.1783575412591</v>
      </c>
      <c r="I129" s="8" t="n">
        <v>16.5512927367041</v>
      </c>
      <c r="J129" s="8" t="n">
        <v>116.934778810664</v>
      </c>
      <c r="K129" s="8" t="n">
        <v>0.668525005448783</v>
      </c>
      <c r="L129" s="8" t="n">
        <v>122.00081812372</v>
      </c>
      <c r="M129" s="8" t="n">
        <v>26.4277329152819</v>
      </c>
      <c r="N129" s="8" t="n">
        <v>0.0933333333333333</v>
      </c>
      <c r="O129" s="8" t="n">
        <v>-0.0633333333333333</v>
      </c>
      <c r="P129" s="8" t="n">
        <v>117.36</v>
      </c>
      <c r="Q129" s="8" t="n">
        <v>49.4841421474971</v>
      </c>
    </row>
    <row r="130" ht="19" customHeight="1">
      <c r="A130" s="6" t="inlineStr">
        <is>
          <t>Indonesia</t>
        </is>
      </c>
      <c r="B130" s="10" t="n">
        <v>2011</v>
      </c>
      <c r="C130" s="10" t="n">
        <v>3</v>
      </c>
      <c r="D130" s="6" t="inlineStr">
        <is>
          <t>2011 Q3</t>
        </is>
      </c>
      <c r="E130" s="8" t="n">
        <v>80.14076</v>
      </c>
      <c r="F130" s="10" t="n">
        <v>4.66786292166324</v>
      </c>
      <c r="G130" s="10" t="n">
        <v>1.80173645642618</v>
      </c>
      <c r="H130" s="8" t="n">
        <v>6.16170924500583</v>
      </c>
      <c r="I130" s="8" t="n">
        <v>16.5505938104128</v>
      </c>
      <c r="J130" s="8" t="n">
        <v>116.842551994953</v>
      </c>
      <c r="K130" s="8" t="n">
        <v>-0.756981201247209</v>
      </c>
      <c r="L130" s="8" t="n">
        <v>118.888757234176</v>
      </c>
      <c r="M130" s="8" t="n">
        <v>10.7415351817278</v>
      </c>
      <c r="N130" s="8" t="n">
        <v>0.0833333333333333</v>
      </c>
      <c r="O130" s="8" t="n">
        <v>-0.01</v>
      </c>
      <c r="P130" s="8" t="n">
        <v>113.34</v>
      </c>
      <c r="Q130" s="8" t="n">
        <v>47.5397032022911</v>
      </c>
    </row>
    <row r="131" ht="19" customHeight="1">
      <c r="A131" s="6" t="inlineStr">
        <is>
          <t>Indonesia</t>
        </is>
      </c>
      <c r="B131" s="10" t="n">
        <v>2011</v>
      </c>
      <c r="C131" s="10" t="n">
        <v>4</v>
      </c>
      <c r="D131" s="6" t="inlineStr">
        <is>
          <t>2011 Q4</t>
        </is>
      </c>
      <c r="E131" s="8" t="n">
        <v>80.7760066666667</v>
      </c>
      <c r="F131" s="10" t="n">
        <v>4.11823576646371</v>
      </c>
      <c r="G131" s="10" t="n">
        <v>0.792663641655822</v>
      </c>
      <c r="H131" s="8" t="n">
        <v>6.1445625695586</v>
      </c>
      <c r="I131" s="8" t="n">
        <v>16.3075760284961</v>
      </c>
      <c r="J131" s="8" t="n">
        <v>115.024989924696</v>
      </c>
      <c r="K131" s="8" t="n">
        <v>0.0564401238265511</v>
      </c>
      <c r="L131" s="8" t="n">
        <v>112.174119298219</v>
      </c>
      <c r="M131" s="8" t="n">
        <v>-9.978929124887189</v>
      </c>
      <c r="N131" s="8" t="n">
        <v>0.07333333333333331</v>
      </c>
      <c r="O131" s="8" t="n">
        <v>-0.01</v>
      </c>
      <c r="P131" s="8" t="n">
        <v>109.396666666667</v>
      </c>
      <c r="Q131" s="8" t="n">
        <v>26.5188897455667</v>
      </c>
    </row>
    <row r="132" ht="19" customHeight="1">
      <c r="A132" s="6" t="inlineStr">
        <is>
          <t>Indonesia</t>
        </is>
      </c>
      <c r="B132" s="10" t="n">
        <v>2012</v>
      </c>
      <c r="C132" s="10" t="n">
        <v>1</v>
      </c>
      <c r="D132" s="6" t="inlineStr">
        <is>
          <t>2012 Q1</t>
        </is>
      </c>
      <c r="E132" s="8" t="n">
        <v>81.83404666666669</v>
      </c>
      <c r="F132" s="10" t="n">
        <v>3.7249173260465</v>
      </c>
      <c r="G132" s="10" t="n">
        <v>1.30984440016471</v>
      </c>
      <c r="H132" s="8" t="n">
        <v>6.12691749776514</v>
      </c>
      <c r="I132" s="8" t="n">
        <v>15.8222391479181</v>
      </c>
      <c r="J132" s="8" t="n">
        <v>114.70148881988</v>
      </c>
      <c r="K132" s="8" t="n">
        <v>-0.7566149161366</v>
      </c>
      <c r="L132" s="8" t="n">
        <v>112.921025549072</v>
      </c>
      <c r="M132" s="8" t="n">
        <v>-7.3475700482622</v>
      </c>
      <c r="N132" s="8" t="n">
        <v>0.103333333333333</v>
      </c>
      <c r="O132" s="8" t="n">
        <v>0.03</v>
      </c>
      <c r="P132" s="8" t="n">
        <v>118.49</v>
      </c>
      <c r="Q132" s="8" t="n">
        <v>12.890625</v>
      </c>
    </row>
    <row r="133" ht="19" customHeight="1">
      <c r="A133" s="6" t="inlineStr">
        <is>
          <t>Indonesia</t>
        </is>
      </c>
      <c r="B133" s="10" t="n">
        <v>2012</v>
      </c>
      <c r="C133" s="10" t="n">
        <v>2</v>
      </c>
      <c r="D133" s="6" t="inlineStr">
        <is>
          <t>2012 Q2</t>
        </is>
      </c>
      <c r="E133" s="8" t="n">
        <v>82.26102</v>
      </c>
      <c r="F133" s="10" t="n">
        <v>4.49507440005315</v>
      </c>
      <c r="G133" s="10" t="n">
        <v>0.521755126044932</v>
      </c>
      <c r="H133" s="8" t="n">
        <v>6.0811127568915</v>
      </c>
      <c r="I133" s="8" t="n">
        <v>15.281206005415</v>
      </c>
      <c r="J133" s="8" t="n">
        <v>114.445058144101</v>
      </c>
      <c r="K133" s="8" t="n">
        <v>-2.12915326978502</v>
      </c>
      <c r="L133" s="8" t="n">
        <v>108.674540730789</v>
      </c>
      <c r="M133" s="8" t="n">
        <v>-10.9231049413272</v>
      </c>
      <c r="N133" s="8" t="n">
        <v>0.153333333333333</v>
      </c>
      <c r="O133" s="8" t="n">
        <v>0.05</v>
      </c>
      <c r="P133" s="8" t="n">
        <v>108.416666666667</v>
      </c>
      <c r="Q133" s="8" t="n">
        <v>-7.6204271756419</v>
      </c>
    </row>
    <row r="134" ht="19" customHeight="1">
      <c r="A134" s="6" t="inlineStr">
        <is>
          <t>Indonesia</t>
        </is>
      </c>
      <c r="B134" s="10" t="n">
        <v>2012</v>
      </c>
      <c r="C134" s="10" t="n">
        <v>3</v>
      </c>
      <c r="D134" s="6" t="inlineStr">
        <is>
          <t>2012 Q3</t>
        </is>
      </c>
      <c r="E134" s="8" t="n">
        <v>83.7356166666667</v>
      </c>
      <c r="F134" s="10" t="n">
        <v>4.48567828239546</v>
      </c>
      <c r="G134" s="10" t="n">
        <v>1.79258252166903</v>
      </c>
      <c r="H134" s="8" t="n">
        <v>6.0071483011013</v>
      </c>
      <c r="I134" s="8" t="n">
        <v>14.6844760599686</v>
      </c>
      <c r="J134" s="8" t="n">
        <v>112.949931958516</v>
      </c>
      <c r="K134" s="8" t="n">
        <v>-3.33150891518091</v>
      </c>
      <c r="L134" s="8" t="n">
        <v>112.021404013206</v>
      </c>
      <c r="M134" s="8" t="n">
        <v>-5.77628480668088</v>
      </c>
      <c r="N134" s="8" t="n">
        <v>0.143333333333333</v>
      </c>
      <c r="O134" s="8" t="n">
        <v>-0.01</v>
      </c>
      <c r="P134" s="8" t="n">
        <v>109.613333333333</v>
      </c>
      <c r="Q134" s="8" t="n">
        <v>-3.28804187988943</v>
      </c>
    </row>
    <row r="135" ht="19" customHeight="1">
      <c r="A135" s="6" t="inlineStr">
        <is>
          <t>Indonesia</t>
        </is>
      </c>
      <c r="B135" s="10" t="n">
        <v>2012</v>
      </c>
      <c r="C135" s="10" t="n">
        <v>4</v>
      </c>
      <c r="D135" s="6" t="inlineStr">
        <is>
          <t>2012 Q4</t>
        </is>
      </c>
      <c r="E135" s="8" t="n">
        <v>84.3354566666667</v>
      </c>
      <c r="F135" s="10" t="n">
        <v>4.4065684191205</v>
      </c>
      <c r="G135" s="10" t="n">
        <v>0.7163498925288</v>
      </c>
      <c r="H135" s="8" t="n">
        <v>5.90502405647116</v>
      </c>
      <c r="I135" s="8" t="n">
        <v>14.0320487147958</v>
      </c>
      <c r="J135" s="8" t="n">
        <v>110.930348736149</v>
      </c>
      <c r="K135" s="8" t="n">
        <v>-3.55978400104843</v>
      </c>
      <c r="L135" s="8" t="n">
        <v>112.043606667623</v>
      </c>
      <c r="M135" s="8" t="n">
        <v>-0.116348255206267</v>
      </c>
      <c r="N135" s="8" t="n">
        <v>0.16</v>
      </c>
      <c r="O135" s="8" t="n">
        <v>0.0166666666666667</v>
      </c>
      <c r="P135" s="8" t="n">
        <v>110.086666666667</v>
      </c>
      <c r="Q135" s="8" t="n">
        <v>0.630732197812245</v>
      </c>
    </row>
    <row r="136" ht="19" customHeight="1">
      <c r="A136" s="6" t="inlineStr">
        <is>
          <t>Indonesia</t>
        </is>
      </c>
      <c r="B136" s="10" t="n">
        <v>2013</v>
      </c>
      <c r="C136" s="10" t="n">
        <v>1</v>
      </c>
      <c r="D136" s="6" t="inlineStr">
        <is>
          <t>2013 Q1</t>
        </is>
      </c>
      <c r="E136" s="8" t="n">
        <v>85.70163333333331</v>
      </c>
      <c r="F136" s="10" t="n">
        <v>4.7261339554922</v>
      </c>
      <c r="G136" s="10" t="n">
        <v>1.61993154559705</v>
      </c>
      <c r="H136" s="8" t="n">
        <v>5.77473992085144</v>
      </c>
      <c r="I136" s="8" t="n">
        <v>13.3239233175309</v>
      </c>
      <c r="J136" s="8" t="n">
        <v>113.272444648662</v>
      </c>
      <c r="K136" s="8" t="n">
        <v>-1.24588110051695</v>
      </c>
      <c r="L136" s="8" t="n">
        <v>112.344264317549</v>
      </c>
      <c r="M136" s="8" t="n">
        <v>-0.510765137598079</v>
      </c>
      <c r="N136" s="8" t="n">
        <v>0.143333333333333</v>
      </c>
      <c r="O136" s="8" t="n">
        <v>-0.0166666666666667</v>
      </c>
      <c r="P136" s="8" t="n">
        <v>112.493333333333</v>
      </c>
      <c r="Q136" s="8" t="n">
        <v>-5.06090528033308</v>
      </c>
    </row>
    <row r="137" ht="19" customHeight="1">
      <c r="A137" s="6" t="inlineStr">
        <is>
          <t>Indonesia</t>
        </is>
      </c>
      <c r="B137" s="10" t="n">
        <v>2013</v>
      </c>
      <c r="C137" s="10" t="n">
        <v>2</v>
      </c>
      <c r="D137" s="6" t="inlineStr">
        <is>
          <t>2013 Q2</t>
        </is>
      </c>
      <c r="E137" s="8" t="n">
        <v>86.56249333333329</v>
      </c>
      <c r="F137" s="10" t="n">
        <v>5.22905421466124</v>
      </c>
      <c r="G137" s="10" t="n">
        <v>1.00448493980474</v>
      </c>
      <c r="H137" s="8" t="n">
        <v>5.63563584425985</v>
      </c>
      <c r="I137" s="8" t="n">
        <v>12.8229832391727</v>
      </c>
      <c r="J137" s="8" t="n">
        <v>116.271393918809</v>
      </c>
      <c r="K137" s="8" t="n">
        <v>1.59581881850113</v>
      </c>
      <c r="L137" s="8" t="n">
        <v>111.205746192615</v>
      </c>
      <c r="M137" s="8" t="n">
        <v>2.32916140689856</v>
      </c>
      <c r="N137" s="8" t="n">
        <v>0.116666666666667</v>
      </c>
      <c r="O137" s="8" t="n">
        <v>-0.0266666666666667</v>
      </c>
      <c r="P137" s="8" t="n">
        <v>102.576666666667</v>
      </c>
      <c r="Q137" s="8" t="n">
        <v>-5.38662567255957</v>
      </c>
    </row>
    <row r="138" ht="19" customHeight="1">
      <c r="A138" s="6" t="inlineStr">
        <is>
          <t>Indonesia</t>
        </is>
      </c>
      <c r="B138" s="10" t="n">
        <v>2013</v>
      </c>
      <c r="C138" s="10" t="n">
        <v>3</v>
      </c>
      <c r="D138" s="6" t="inlineStr">
        <is>
          <t>2013 Q3</t>
        </is>
      </c>
      <c r="E138" s="8" t="n">
        <v>90.3270466666667</v>
      </c>
      <c r="F138" s="10" t="n">
        <v>7.87171607780599</v>
      </c>
      <c r="G138" s="10" t="n">
        <v>4.34894281387765</v>
      </c>
      <c r="H138" s="8" t="n">
        <v>5.48771168759057</v>
      </c>
      <c r="I138" s="8" t="n">
        <v>12.5292279788157</v>
      </c>
      <c r="J138" s="8" t="n">
        <v>110.855342240976</v>
      </c>
      <c r="K138" s="8" t="n">
        <v>-1.85444088475346</v>
      </c>
      <c r="L138" s="8" t="n">
        <v>106.517639660823</v>
      </c>
      <c r="M138" s="8" t="n">
        <v>-4.91313637859304</v>
      </c>
      <c r="N138" s="8" t="n">
        <v>0.0833333333333333</v>
      </c>
      <c r="O138" s="8" t="n">
        <v>-0.0333333333333333</v>
      </c>
      <c r="P138" s="8" t="n">
        <v>110.27</v>
      </c>
      <c r="Q138" s="8" t="n">
        <v>0.599075538255689</v>
      </c>
    </row>
    <row r="139" ht="19" customHeight="1">
      <c r="A139" s="6" t="inlineStr">
        <is>
          <t>Indonesia</t>
        </is>
      </c>
      <c r="B139" s="10" t="n">
        <v>2013</v>
      </c>
      <c r="C139" s="10" t="n">
        <v>4</v>
      </c>
      <c r="D139" s="6" t="inlineStr">
        <is>
          <t>2013 Q4</t>
        </is>
      </c>
      <c r="E139" s="8" t="n">
        <v>90.8751166666667</v>
      </c>
      <c r="F139" s="10" t="n">
        <v>7.75434231161847</v>
      </c>
      <c r="G139" s="10" t="n">
        <v>0.6067617842334</v>
      </c>
      <c r="H139" s="8" t="n">
        <v>5.33096730293127</v>
      </c>
      <c r="I139" s="8" t="n">
        <v>12.4426572426805</v>
      </c>
      <c r="J139" s="8" t="n">
        <v>100.421638782695</v>
      </c>
      <c r="K139" s="8" t="n">
        <v>-9.473250623640681</v>
      </c>
      <c r="L139" s="8" t="n">
        <v>108.042368791302</v>
      </c>
      <c r="M139" s="8" t="n">
        <v>-3.57114341043118</v>
      </c>
      <c r="N139" s="8" t="n">
        <v>0.0866666666666667</v>
      </c>
      <c r="O139" s="8" t="n">
        <v>0.0033333333333333</v>
      </c>
      <c r="P139" s="8" t="n">
        <v>109.21</v>
      </c>
      <c r="Q139" s="8" t="n">
        <v>-0.796342275782702</v>
      </c>
    </row>
    <row r="140" ht="19" customHeight="1">
      <c r="A140" s="6" t="inlineStr">
        <is>
          <t>Indonesia</t>
        </is>
      </c>
      <c r="B140" s="10" t="n">
        <v>2014</v>
      </c>
      <c r="C140" s="10" t="n">
        <v>1</v>
      </c>
      <c r="D140" s="6" t="inlineStr">
        <is>
          <t>2014 Q1</t>
        </is>
      </c>
      <c r="E140" s="8" t="n">
        <v>92.35326000000001</v>
      </c>
      <c r="F140" s="10" t="n">
        <v>7.76137677656086</v>
      </c>
      <c r="G140" s="10" t="n">
        <v>1.62656554131888</v>
      </c>
      <c r="H140" s="8" t="n">
        <v>5.16540253355557</v>
      </c>
      <c r="I140" s="8" t="n">
        <v>12.5632709442088</v>
      </c>
      <c r="J140" s="8" t="n">
        <v>100.974484030713</v>
      </c>
      <c r="K140" s="8" t="n">
        <v>-10.8569746650157</v>
      </c>
      <c r="L140" s="8" t="n">
        <v>109.985285302654</v>
      </c>
      <c r="M140" s="8" t="n">
        <v>-2.09977699282194</v>
      </c>
      <c r="N140" s="8" t="n">
        <v>0.07333333333333331</v>
      </c>
      <c r="O140" s="8" t="n">
        <v>-0.0133333333333333</v>
      </c>
      <c r="P140" s="8" t="n">
        <v>108.166666666667</v>
      </c>
      <c r="Q140" s="8" t="n">
        <v>-3.84615384615383</v>
      </c>
    </row>
    <row r="141" ht="19" customHeight="1">
      <c r="A141" s="6" t="inlineStr">
        <is>
          <t>Indonesia</t>
        </is>
      </c>
      <c r="B141" s="10" t="n">
        <v>2014</v>
      </c>
      <c r="C141" s="10" t="n">
        <v>2</v>
      </c>
      <c r="D141" s="6" t="inlineStr">
        <is>
          <t>2014 Q2</t>
        </is>
      </c>
      <c r="E141" s="8" t="n">
        <v>92.6992666666667</v>
      </c>
      <c r="F141" s="10" t="n">
        <v>7.08941378305954</v>
      </c>
      <c r="G141" s="10" t="n">
        <v>0.374655606815244</v>
      </c>
      <c r="H141" s="8" t="n">
        <v>5.03568304394546</v>
      </c>
      <c r="I141" s="8" t="n">
        <v>12.3380159390905</v>
      </c>
      <c r="J141" s="8" t="n">
        <v>102.435655188035</v>
      </c>
      <c r="K141" s="8" t="n">
        <v>-11.8995208231831</v>
      </c>
      <c r="L141" s="8" t="n">
        <v>111.498689744988</v>
      </c>
      <c r="M141" s="8" t="n">
        <v>0.26342483406061</v>
      </c>
      <c r="N141" s="8" t="n">
        <v>0.0933333333333333</v>
      </c>
      <c r="O141" s="8" t="n">
        <v>0.02</v>
      </c>
      <c r="P141" s="8" t="n">
        <v>109.7</v>
      </c>
      <c r="Q141" s="8" t="n">
        <v>6.94439931108439</v>
      </c>
    </row>
    <row r="142" ht="19" customHeight="1">
      <c r="A142" s="6" t="inlineStr">
        <is>
          <t>Indonesia</t>
        </is>
      </c>
      <c r="B142" s="10" t="n">
        <v>2014</v>
      </c>
      <c r="C142" s="10" t="n">
        <v>3</v>
      </c>
      <c r="D142" s="6" t="inlineStr">
        <is>
          <t>2014 Q3</t>
        </is>
      </c>
      <c r="E142" s="8" t="n">
        <v>94.2576766666667</v>
      </c>
      <c r="F142" s="10" t="n">
        <v>4.35155376495944</v>
      </c>
      <c r="G142" s="10" t="n">
        <v>1.68114598533322</v>
      </c>
      <c r="H142" s="8" t="n">
        <v>4.94180870443662</v>
      </c>
      <c r="I142" s="8" t="n">
        <v>11.7668920020567</v>
      </c>
      <c r="J142" s="8" t="n">
        <v>103.244470290238</v>
      </c>
      <c r="K142" s="8" t="n">
        <v>-6.86558879065433</v>
      </c>
      <c r="L142" s="8" t="n">
        <v>104.211407968198</v>
      </c>
      <c r="M142" s="8" t="n">
        <v>-2.16511715802957</v>
      </c>
      <c r="N142" s="8" t="n">
        <v>0.09</v>
      </c>
      <c r="O142" s="8" t="n">
        <v>-0.0033333333333333</v>
      </c>
      <c r="P142" s="8" t="n">
        <v>101.823333333333</v>
      </c>
      <c r="Q142" s="8" t="n">
        <v>-7.65998609473715</v>
      </c>
    </row>
    <row r="143" ht="19" customHeight="1">
      <c r="A143" s="6" t="inlineStr">
        <is>
          <t>Indonesia</t>
        </is>
      </c>
      <c r="B143" s="10" t="n">
        <v>2014</v>
      </c>
      <c r="C143" s="10" t="n">
        <v>4</v>
      </c>
      <c r="D143" s="6" t="inlineStr">
        <is>
          <t>2014 Q4</t>
        </is>
      </c>
      <c r="E143" s="8" t="n">
        <v>96.75999666666669</v>
      </c>
      <c r="F143" s="10" t="n">
        <v>6.47578810994649</v>
      </c>
      <c r="G143" s="10" t="n">
        <v>2.65476520161771</v>
      </c>
      <c r="H143" s="8" t="n">
        <v>4.88377942109485</v>
      </c>
      <c r="I143" s="8" t="n">
        <v>10.8498985619906</v>
      </c>
      <c r="J143" s="8" t="n">
        <v>106.624082709753</v>
      </c>
      <c r="K143" s="8" t="n">
        <v>6.17640182160326</v>
      </c>
      <c r="L143" s="8" t="n">
        <v>99.4046630544031</v>
      </c>
      <c r="M143" s="8" t="n">
        <v>-7.9947393171137</v>
      </c>
      <c r="N143" s="8" t="n">
        <v>0.1</v>
      </c>
      <c r="O143" s="8" t="n">
        <v>0.01</v>
      </c>
      <c r="P143" s="8" t="n">
        <v>76.40333333333329</v>
      </c>
      <c r="Q143" s="8" t="n">
        <v>-30.0399841284376</v>
      </c>
    </row>
    <row r="144" ht="19" customHeight="1">
      <c r="A144" s="6" t="inlineStr">
        <is>
          <t>Indonesia</t>
        </is>
      </c>
      <c r="B144" s="10" t="n">
        <v>2015</v>
      </c>
      <c r="C144" s="10" t="n">
        <v>1</v>
      </c>
      <c r="D144" s="6" t="inlineStr">
        <is>
          <t>2015 Q1</t>
        </is>
      </c>
      <c r="E144" s="8" t="n">
        <v>98.39591666666669</v>
      </c>
      <c r="F144" s="10" t="n">
        <v>6.54298144609802</v>
      </c>
      <c r="G144" s="10" t="n">
        <v>1.69069869404364</v>
      </c>
      <c r="H144" s="8" t="n">
        <v>4.86159513594811</v>
      </c>
      <c r="I144" s="8" t="n">
        <v>9.587034701907729</v>
      </c>
      <c r="J144" s="8" t="n">
        <v>108.338102922705</v>
      </c>
      <c r="K144" s="8" t="n">
        <v>7.292554116694</v>
      </c>
      <c r="L144" s="8" t="n">
        <v>100.657732001964</v>
      </c>
      <c r="M144" s="8" t="n">
        <v>-8.4807283765489</v>
      </c>
      <c r="N144" s="8" t="n">
        <v>0.11</v>
      </c>
      <c r="O144" s="8" t="n">
        <v>0.01</v>
      </c>
      <c r="P144" s="8" t="n">
        <v>53.9166666666667</v>
      </c>
      <c r="Q144" s="8" t="n">
        <v>-50.1540832049307</v>
      </c>
    </row>
    <row r="145" ht="19" customHeight="1">
      <c r="A145" s="6" t="inlineStr">
        <is>
          <t>Indonesia</t>
        </is>
      </c>
      <c r="B145" s="10" t="n">
        <v>2015</v>
      </c>
      <c r="C145" s="10" t="n">
        <v>2</v>
      </c>
      <c r="D145" s="6" t="inlineStr">
        <is>
          <t>2015 Q2</t>
        </is>
      </c>
      <c r="E145" s="8" t="n">
        <v>99.24847333333329</v>
      </c>
      <c r="F145" s="10" t="n">
        <v>7.06500375047914</v>
      </c>
      <c r="G145" s="10" t="n">
        <v>0.866455332241944</v>
      </c>
      <c r="H145" s="8" t="n">
        <v>4.85861228715996</v>
      </c>
      <c r="I145" s="8" t="n">
        <v>8.84587162608261</v>
      </c>
      <c r="J145" s="8" t="n">
        <v>107.288911995918</v>
      </c>
      <c r="K145" s="8" t="n">
        <v>4.73785890174054</v>
      </c>
      <c r="L145" s="8" t="n">
        <v>96.8474817130345</v>
      </c>
      <c r="M145" s="8" t="n">
        <v>-13.1402513029193</v>
      </c>
      <c r="N145" s="8" t="n">
        <v>0.123333333333333</v>
      </c>
      <c r="O145" s="8" t="n">
        <v>0.0133333333333333</v>
      </c>
      <c r="P145" s="8" t="n">
        <v>61.6933333333333</v>
      </c>
      <c r="Q145" s="8" t="n">
        <v>-43.761774536615</v>
      </c>
    </row>
    <row r="146" ht="19" customHeight="1">
      <c r="A146" s="6" t="inlineStr">
        <is>
          <t>Indonesia</t>
        </is>
      </c>
      <c r="B146" s="10" t="n">
        <v>2015</v>
      </c>
      <c r="C146" s="10" t="n">
        <v>3</v>
      </c>
      <c r="D146" s="6" t="inlineStr">
        <is>
          <t>2015 Q3</t>
        </is>
      </c>
      <c r="E146" s="8" t="n">
        <v>100.939766666667</v>
      </c>
      <c r="F146" s="10" t="n">
        <v>7.08917324965539</v>
      </c>
      <c r="G146" s="10" t="n">
        <v>1.70410010001161</v>
      </c>
      <c r="H146" s="8" t="n">
        <v>4.87483087178886</v>
      </c>
      <c r="I146" s="8" t="n">
        <v>8.626408593327721</v>
      </c>
      <c r="J146" s="8" t="n">
        <v>104.801696297751</v>
      </c>
      <c r="K146" s="8" t="n">
        <v>1.50828998699397</v>
      </c>
      <c r="L146" s="8" t="n">
        <v>92.7459060049042</v>
      </c>
      <c r="M146" s="8" t="n">
        <v>-11.002156277164</v>
      </c>
      <c r="N146" s="8" t="n">
        <v>0.136666666666667</v>
      </c>
      <c r="O146" s="8" t="n">
        <v>0.0133333333333333</v>
      </c>
      <c r="P146" s="8" t="n">
        <v>50.2333333333333</v>
      </c>
      <c r="Q146" s="8" t="n">
        <v>-50.666186532229</v>
      </c>
    </row>
    <row r="147" ht="19" customHeight="1">
      <c r="A147" s="6" t="inlineStr">
        <is>
          <t>Indonesia</t>
        </is>
      </c>
      <c r="B147" s="10" t="n">
        <v>2015</v>
      </c>
      <c r="C147" s="10" t="n">
        <v>4</v>
      </c>
      <c r="D147" s="6" t="inlineStr">
        <is>
          <t>2015 Q4</t>
        </is>
      </c>
      <c r="E147" s="8" t="n">
        <v>101.415866666667</v>
      </c>
      <c r="F147" s="10" t="n">
        <v>4.81177155890076</v>
      </c>
      <c r="G147" s="10" t="n">
        <v>0.471667426745914</v>
      </c>
      <c r="H147" s="8" t="n">
        <v>4.91025090602472</v>
      </c>
      <c r="I147" s="8" t="n">
        <v>8.928645384194279</v>
      </c>
      <c r="J147" s="8" t="n">
        <v>107.077150048177</v>
      </c>
      <c r="K147" s="8" t="n">
        <v>0.42492026839438</v>
      </c>
      <c r="L147" s="8" t="n">
        <v>90.3005619231251</v>
      </c>
      <c r="M147" s="8" t="n">
        <v>-9.15862581446042</v>
      </c>
      <c r="N147" s="8" t="n">
        <v>0.16</v>
      </c>
      <c r="O147" s="8" t="n">
        <v>0.0233333333333333</v>
      </c>
      <c r="P147" s="8" t="n">
        <v>43.57</v>
      </c>
      <c r="Q147" s="8" t="n">
        <v>-42.9736922472842</v>
      </c>
    </row>
    <row r="148" ht="19" customHeight="1">
      <c r="A148" s="6" t="inlineStr">
        <is>
          <t>Indonesia</t>
        </is>
      </c>
      <c r="B148" s="10" t="n">
        <v>2016</v>
      </c>
      <c r="C148" s="10" t="n">
        <v>1</v>
      </c>
      <c r="D148" s="6" t="inlineStr">
        <is>
          <t>2016 Q1</t>
        </is>
      </c>
      <c r="E148" s="8" t="n">
        <v>102.661466666667</v>
      </c>
      <c r="F148" s="10" t="n">
        <v>4.33508843100705</v>
      </c>
      <c r="G148" s="10" t="n">
        <v>1.22821018144434</v>
      </c>
      <c r="H148" s="8" t="n">
        <v>4.96487242530073</v>
      </c>
      <c r="I148" s="8" t="n">
        <v>9.752582300913931</v>
      </c>
      <c r="J148" s="8" t="n">
        <v>109.866532019879</v>
      </c>
      <c r="K148" s="8" t="n">
        <v>1.41079551509664</v>
      </c>
      <c r="L148" s="8" t="n">
        <v>91.66230580090431</v>
      </c>
      <c r="M148" s="8" t="n">
        <v>-8.936647013747329</v>
      </c>
      <c r="N148" s="8" t="n">
        <v>0.36</v>
      </c>
      <c r="O148" s="8" t="n">
        <v>0.2</v>
      </c>
      <c r="P148" s="8" t="n">
        <v>33.6966666666667</v>
      </c>
      <c r="Q148" s="8" t="n">
        <v>-37.5023183925811</v>
      </c>
    </row>
    <row r="149" ht="19" customHeight="1">
      <c r="A149" s="6" t="inlineStr">
        <is>
          <t>Indonesia</t>
        </is>
      </c>
      <c r="B149" s="10" t="n">
        <v>2016</v>
      </c>
      <c r="C149" s="10" t="n">
        <v>2</v>
      </c>
      <c r="D149" s="6" t="inlineStr">
        <is>
          <t>2016 Q2</t>
        </is>
      </c>
      <c r="E149" s="8" t="n">
        <v>102.683633333333</v>
      </c>
      <c r="F149" s="10" t="n">
        <v>3.46117162776172</v>
      </c>
      <c r="G149" s="10" t="n">
        <v>0.0215920027118122</v>
      </c>
      <c r="H149" s="8" t="n">
        <v>5.01399971199979</v>
      </c>
      <c r="I149" s="8" t="n">
        <v>10.1925234938782</v>
      </c>
      <c r="J149" s="8" t="n">
        <v>108.609714207301</v>
      </c>
      <c r="K149" s="8" t="n">
        <v>1.23107056154421</v>
      </c>
      <c r="L149" s="8" t="n">
        <v>96.9846126235507</v>
      </c>
      <c r="M149" s="8" t="n">
        <v>0.141594709630688</v>
      </c>
      <c r="N149" s="8" t="n">
        <v>0.373333333333333</v>
      </c>
      <c r="O149" s="8" t="n">
        <v>0.0133333333333334</v>
      </c>
      <c r="P149" s="8" t="n">
        <v>45.5233333333333</v>
      </c>
      <c r="Q149" s="8" t="n">
        <v>-26.2102874432678</v>
      </c>
    </row>
    <row r="150" ht="19" customHeight="1">
      <c r="A150" s="6" t="inlineStr">
        <is>
          <t>Indonesia</t>
        </is>
      </c>
      <c r="B150" s="10" t="n">
        <v>2016</v>
      </c>
      <c r="C150" s="10" t="n">
        <v>3</v>
      </c>
      <c r="D150" s="6" t="inlineStr">
        <is>
          <t>2016 Q3</t>
        </is>
      </c>
      <c r="E150" s="8" t="n">
        <v>103.992933333333</v>
      </c>
      <c r="F150" s="10" t="n">
        <v>3.02474115751539</v>
      </c>
      <c r="G150" s="10" t="n">
        <v>1.27508148815665</v>
      </c>
      <c r="H150" s="8" t="n">
        <v>5.05763281525122</v>
      </c>
      <c r="I150" s="8" t="n">
        <v>10.2484694029952</v>
      </c>
      <c r="J150" s="8" t="n">
        <v>110.16495844208</v>
      </c>
      <c r="K150" s="8" t="n">
        <v>5.11753371728947</v>
      </c>
      <c r="L150" s="8" t="n">
        <v>100.864699533998</v>
      </c>
      <c r="M150" s="8" t="n">
        <v>8.75380259767431</v>
      </c>
      <c r="N150" s="8" t="n">
        <v>0.396666666666667</v>
      </c>
      <c r="O150" s="8" t="n">
        <v>0.0233333333333333</v>
      </c>
      <c r="P150" s="8" t="n">
        <v>45.7866666666667</v>
      </c>
      <c r="Q150" s="8" t="n">
        <v>-8.852023888520231</v>
      </c>
    </row>
    <row r="151" ht="19" customHeight="1">
      <c r="A151" s="6" t="inlineStr">
        <is>
          <t>Indonesia</t>
        </is>
      </c>
      <c r="B151" s="10" t="n">
        <v>2016</v>
      </c>
      <c r="C151" s="10" t="n">
        <v>4</v>
      </c>
      <c r="D151" s="6" t="inlineStr">
        <is>
          <t>2016 Q4</t>
        </is>
      </c>
      <c r="E151" s="8" t="n">
        <v>104.7652</v>
      </c>
      <c r="F151" s="10" t="n">
        <v>3.30257329885266</v>
      </c>
      <c r="G151" s="10" t="n">
        <v>0.74261456227156</v>
      </c>
      <c r="H151" s="8" t="n">
        <v>5.0957717786572</v>
      </c>
      <c r="I151" s="8" t="n">
        <v>9.92042008426222</v>
      </c>
      <c r="J151" s="8" t="n">
        <v>113.210845679749</v>
      </c>
      <c r="K151" s="8" t="n">
        <v>5.72829555961569</v>
      </c>
      <c r="L151" s="8" t="n">
        <v>101.835604997953</v>
      </c>
      <c r="M151" s="8" t="n">
        <v>12.7740545896579</v>
      </c>
      <c r="N151" s="8" t="n">
        <v>0.45</v>
      </c>
      <c r="O151" s="8" t="n">
        <v>0.0533333333333333</v>
      </c>
      <c r="P151" s="8" t="n">
        <v>49.1866666666667</v>
      </c>
      <c r="Q151" s="8" t="n">
        <v>12.8911330426134</v>
      </c>
    </row>
    <row r="152" ht="19" customHeight="1">
      <c r="A152" s="6" t="inlineStr">
        <is>
          <t>Indonesia</t>
        </is>
      </c>
      <c r="B152" s="10" t="n">
        <v>2017</v>
      </c>
      <c r="C152" s="10" t="n">
        <v>1</v>
      </c>
      <c r="D152" s="6" t="inlineStr">
        <is>
          <t>2017 Q1</t>
        </is>
      </c>
      <c r="E152" s="8" t="n">
        <v>106.4039</v>
      </c>
      <c r="F152" s="10" t="n">
        <v>3.64541191047338</v>
      </c>
      <c r="G152" s="10" t="n">
        <v>1.56416443628227</v>
      </c>
      <c r="H152" s="8" t="n">
        <v>5.12841664039779</v>
      </c>
      <c r="I152" s="8" t="n">
        <v>9.20837520957148</v>
      </c>
      <c r="J152" s="8" t="n">
        <v>114.288729897149</v>
      </c>
      <c r="K152" s="8" t="n">
        <v>4.02506368042084</v>
      </c>
      <c r="L152" s="8" t="n">
        <v>100.125779631695</v>
      </c>
      <c r="M152" s="8" t="n">
        <v>9.23331980015236</v>
      </c>
      <c r="N152" s="8" t="n">
        <v>0.7</v>
      </c>
      <c r="O152" s="8" t="n">
        <v>0.25</v>
      </c>
      <c r="P152" s="8" t="n">
        <v>53.68</v>
      </c>
      <c r="Q152" s="8" t="n">
        <v>59.30359085963</v>
      </c>
    </row>
    <row r="153" ht="19" customHeight="1">
      <c r="A153" s="6" t="inlineStr">
        <is>
          <t>Indonesia</t>
        </is>
      </c>
      <c r="B153" s="10" t="n">
        <v>2017</v>
      </c>
      <c r="C153" s="10" t="n">
        <v>2</v>
      </c>
      <c r="D153" s="6" t="inlineStr">
        <is>
          <t>2017 Q2</t>
        </is>
      </c>
      <c r="E153" s="8" t="n">
        <v>107.090366666667</v>
      </c>
      <c r="F153" s="10" t="n">
        <v>4.29156350460265</v>
      </c>
      <c r="G153" s="10" t="n">
        <v>0.645151791115417</v>
      </c>
      <c r="H153" s="8" t="n">
        <v>5.11802229896247</v>
      </c>
      <c r="I153" s="8" t="n">
        <v>8.55041873113203</v>
      </c>
      <c r="J153" s="8" t="n">
        <v>113.421366365721</v>
      </c>
      <c r="K153" s="8" t="n">
        <v>4.43022264954733</v>
      </c>
      <c r="L153" s="8" t="n">
        <v>99.4605526807123</v>
      </c>
      <c r="M153" s="8" t="n">
        <v>2.55292049963849</v>
      </c>
      <c r="N153" s="8" t="n">
        <v>0.95</v>
      </c>
      <c r="O153" s="8" t="n">
        <v>0.25</v>
      </c>
      <c r="P153" s="8" t="n">
        <v>49.67</v>
      </c>
      <c r="Q153" s="8" t="n">
        <v>9.10888189207</v>
      </c>
    </row>
    <row r="154" ht="19" customHeight="1">
      <c r="A154" s="6" t="inlineStr">
        <is>
          <t>Indonesia</t>
        </is>
      </c>
      <c r="B154" s="10" t="n">
        <v>2017</v>
      </c>
      <c r="C154" s="10" t="n">
        <v>3</v>
      </c>
      <c r="D154" s="6" t="inlineStr">
        <is>
          <t>2017 Q3</t>
        </is>
      </c>
      <c r="E154" s="8" t="n">
        <v>107.951233333333</v>
      </c>
      <c r="F154" s="10" t="n">
        <v>3.80631632662221</v>
      </c>
      <c r="G154" s="10" t="n">
        <v>0.803869380096756</v>
      </c>
      <c r="H154" s="8" t="n">
        <v>5.06458874398906</v>
      </c>
      <c r="I154" s="8" t="n">
        <v>7.94654999100543</v>
      </c>
      <c r="J154" s="8" t="n">
        <v>111.051760027838</v>
      </c>
      <c r="K154" s="8" t="n">
        <v>0.804976099749921</v>
      </c>
      <c r="L154" s="8" t="n">
        <v>102.480667511988</v>
      </c>
      <c r="M154" s="8" t="n">
        <v>1.60211450136303</v>
      </c>
      <c r="N154" s="8" t="n">
        <v>1.15333333333333</v>
      </c>
      <c r="O154" s="8" t="n">
        <v>0.203333333333333</v>
      </c>
      <c r="P154" s="8" t="n">
        <v>52.11</v>
      </c>
      <c r="Q154" s="8" t="n">
        <v>13.8104251601631</v>
      </c>
    </row>
    <row r="155" ht="19" customHeight="1">
      <c r="A155" s="6" t="inlineStr">
        <is>
          <t>Indonesia</t>
        </is>
      </c>
      <c r="B155" s="10" t="n">
        <v>2017</v>
      </c>
      <c r="C155" s="10" t="n">
        <v>4</v>
      </c>
      <c r="D155" s="6" t="inlineStr">
        <is>
          <t>2017 Q4</t>
        </is>
      </c>
      <c r="E155" s="8" t="n">
        <v>108.430066666667</v>
      </c>
      <c r="F155" s="10" t="n">
        <v>3.4981717847784</v>
      </c>
      <c r="G155" s="10" t="n">
        <v>0.443564486062686</v>
      </c>
      <c r="H155" s="8" t="n">
        <v>4.96811592200967</v>
      </c>
      <c r="I155" s="8" t="n">
        <v>7.39676838530369</v>
      </c>
      <c r="J155" s="8" t="n">
        <v>109.705911392754</v>
      </c>
      <c r="K155" s="8" t="n">
        <v>-3.09593508108801</v>
      </c>
      <c r="L155" s="8" t="n">
        <v>100.792675769869</v>
      </c>
      <c r="M155" s="8" t="n">
        <v>-1.0241302421728</v>
      </c>
      <c r="N155" s="8" t="n">
        <v>1.20333333333333</v>
      </c>
      <c r="O155" s="8" t="n">
        <v>0.05</v>
      </c>
      <c r="P155" s="8" t="n">
        <v>61.53</v>
      </c>
      <c r="Q155" s="8" t="n">
        <v>25.0948766603416</v>
      </c>
    </row>
    <row r="156" ht="19" customHeight="1">
      <c r="A156" s="6" t="inlineStr">
        <is>
          <t>Indonesia</t>
        </is>
      </c>
      <c r="B156" s="10" t="n">
        <v>2018</v>
      </c>
      <c r="C156" s="10" t="n">
        <v>1</v>
      </c>
      <c r="D156" s="6" t="inlineStr">
        <is>
          <t>2018 Q1</t>
        </is>
      </c>
      <c r="E156" s="8" t="n">
        <v>109.891666666667</v>
      </c>
      <c r="F156" s="10" t="n">
        <v>3.27785604349715</v>
      </c>
      <c r="G156" s="10" t="n">
        <v>1.34796560117703</v>
      </c>
      <c r="H156" s="8" t="n">
        <v>4.82860373656148</v>
      </c>
      <c r="I156" s="8" t="n">
        <v>6.90107336424564</v>
      </c>
      <c r="J156" s="8" t="n">
        <v>106.724717971135</v>
      </c>
      <c r="K156" s="8" t="n">
        <v>-6.61833579988234</v>
      </c>
      <c r="L156" s="8" t="n">
        <v>96.02404012089779</v>
      </c>
      <c r="M156" s="8" t="n">
        <v>-4.09658683895945</v>
      </c>
      <c r="N156" s="8" t="n">
        <v>1.44666666666667</v>
      </c>
      <c r="O156" s="8" t="n">
        <v>0.243333333333333</v>
      </c>
      <c r="P156" s="8" t="n">
        <v>66.8066666666667</v>
      </c>
      <c r="Q156" s="8" t="n">
        <v>24.4535519125683</v>
      </c>
    </row>
    <row r="157" ht="19" customHeight="1">
      <c r="A157" s="6" t="inlineStr">
        <is>
          <t>Indonesia</t>
        </is>
      </c>
      <c r="B157" s="10" t="n">
        <v>2018</v>
      </c>
      <c r="C157" s="10" t="n">
        <v>2</v>
      </c>
      <c r="D157" s="6" t="inlineStr">
        <is>
          <t>2018 Q2</t>
        </is>
      </c>
      <c r="E157" s="8" t="n">
        <v>110.575333333333</v>
      </c>
      <c r="F157" s="10" t="n">
        <v>3.25422983891175</v>
      </c>
      <c r="G157" s="10" t="n">
        <v>0.622127853188736</v>
      </c>
      <c r="H157" s="8" t="n">
        <v>4.91107392013289</v>
      </c>
      <c r="I157" s="8" t="n">
        <v>6.45848187560665</v>
      </c>
      <c r="J157" s="8" t="n">
        <v>105.946208799285</v>
      </c>
      <c r="K157" s="8" t="n">
        <v>-6.59060793037232</v>
      </c>
      <c r="L157" s="8" t="n">
        <v>96.1737638878632</v>
      </c>
      <c r="M157" s="8" t="n">
        <v>-3.30461545231933</v>
      </c>
      <c r="N157" s="8" t="n">
        <v>1.73666666666667</v>
      </c>
      <c r="O157" s="8" t="n">
        <v>0.29</v>
      </c>
      <c r="P157" s="8" t="n">
        <v>74.5</v>
      </c>
      <c r="Q157" s="8" t="n">
        <v>49.9899335615059</v>
      </c>
    </row>
    <row r="158" ht="19" customHeight="1">
      <c r="A158" s="6" t="inlineStr">
        <is>
          <t>Indonesia</t>
        </is>
      </c>
      <c r="B158" s="10" t="n">
        <v>2018</v>
      </c>
      <c r="C158" s="10" t="n">
        <v>3</v>
      </c>
      <c r="D158" s="6" t="inlineStr">
        <is>
          <t>2018 Q3</t>
        </is>
      </c>
      <c r="E158" s="8" t="n">
        <v>111.286733333333</v>
      </c>
      <c r="F158" s="10" t="n">
        <v>3.08982111366953</v>
      </c>
      <c r="G158" s="10" t="n">
        <v>0.643362292976724</v>
      </c>
      <c r="H158" s="8" t="n">
        <v>5.21552655522892</v>
      </c>
      <c r="I158" s="8" t="n">
        <v>6.06899347678964</v>
      </c>
      <c r="J158" s="8" t="n">
        <v>103.938345622621</v>
      </c>
      <c r="K158" s="8" t="n">
        <v>-6.40549452204393</v>
      </c>
      <c r="L158" s="8" t="n">
        <v>93.2694805076009</v>
      </c>
      <c r="M158" s="8" t="n">
        <v>-8.98821917149397</v>
      </c>
      <c r="N158" s="8" t="n">
        <v>1.92333333333333</v>
      </c>
      <c r="O158" s="8" t="n">
        <v>0.186666666666667</v>
      </c>
      <c r="P158" s="8" t="n">
        <v>75.2233333333333</v>
      </c>
      <c r="Q158" s="8" t="n">
        <v>44.3548902961683</v>
      </c>
    </row>
    <row r="159" ht="19" customHeight="1">
      <c r="A159" s="6" t="inlineStr">
        <is>
          <t>Indonesia</t>
        </is>
      </c>
      <c r="B159" s="10" t="n">
        <v>2018</v>
      </c>
      <c r="C159" s="10" t="n">
        <v>4</v>
      </c>
      <c r="D159" s="6" t="inlineStr">
        <is>
          <t>2018 Q4</t>
        </is>
      </c>
      <c r="E159" s="8" t="n">
        <v>111.870766666667</v>
      </c>
      <c r="F159" s="10" t="n">
        <v>3.17319734809103</v>
      </c>
      <c r="G159" s="10" t="n">
        <v>0.524800500329192</v>
      </c>
      <c r="H159" s="8" t="n">
        <v>5.7419619462532</v>
      </c>
      <c r="I159" s="8" t="n">
        <v>5.73260777830029</v>
      </c>
      <c r="J159" s="8" t="n">
        <v>104.354701002112</v>
      </c>
      <c r="K159" s="8" t="n">
        <v>-4.87777761718202</v>
      </c>
      <c r="L159" s="8" t="n">
        <v>90.7369363173618</v>
      </c>
      <c r="M159" s="8" t="n">
        <v>-9.976656910534739</v>
      </c>
      <c r="N159" s="8" t="n">
        <v>2.22</v>
      </c>
      <c r="O159" s="8" t="n">
        <v>0.296666666666667</v>
      </c>
      <c r="P159" s="8" t="n">
        <v>67.7133333333333</v>
      </c>
      <c r="Q159" s="8" t="n">
        <v>10.0492984452029</v>
      </c>
    </row>
    <row r="160" ht="19" customHeight="1">
      <c r="A160" s="6" t="inlineStr">
        <is>
          <t>Indonesia</t>
        </is>
      </c>
      <c r="B160" s="10" t="n">
        <v>2019</v>
      </c>
      <c r="C160" s="10" t="n">
        <v>1</v>
      </c>
      <c r="D160" s="6" t="inlineStr">
        <is>
          <t>2019 Q1</t>
        </is>
      </c>
      <c r="E160" s="8" t="n">
        <v>112.775933333333</v>
      </c>
      <c r="F160" s="10" t="n">
        <v>2.62464548418897</v>
      </c>
      <c r="G160" s="10" t="n">
        <v>0.809118140187337</v>
      </c>
      <c r="H160" s="8" t="n">
        <v>6.49038061970444</v>
      </c>
      <c r="I160" s="8" t="n">
        <v>5.44932444377251</v>
      </c>
      <c r="J160" s="8" t="n">
        <v>108.655234391625</v>
      </c>
      <c r="K160" s="8" t="n">
        <v>1.80887469856024</v>
      </c>
      <c r="L160" s="8" t="n">
        <v>93.8324987094736</v>
      </c>
      <c r="M160" s="8" t="n">
        <v>-2.2822841120463</v>
      </c>
      <c r="N160" s="8" t="n">
        <v>2.40333333333333</v>
      </c>
      <c r="O160" s="8" t="n">
        <v>0.183333333333333</v>
      </c>
      <c r="P160" s="8" t="n">
        <v>63.17</v>
      </c>
      <c r="Q160" s="8" t="n">
        <v>-5.4435685061371</v>
      </c>
    </row>
    <row r="161" ht="19" customHeight="1">
      <c r="A161" s="6" t="inlineStr">
        <is>
          <t>Indonesia</t>
        </is>
      </c>
      <c r="B161" s="10" t="n">
        <v>2019</v>
      </c>
      <c r="C161" s="10" t="n">
        <v>2</v>
      </c>
      <c r="D161" s="6" t="inlineStr">
        <is>
          <t>2019 Q2</t>
        </is>
      </c>
      <c r="E161" s="8" t="n">
        <v>114.052033333333</v>
      </c>
      <c r="F161" s="10" t="n">
        <v>3.14419129040233</v>
      </c>
      <c r="G161" s="10" t="n">
        <v>1.13153574728415</v>
      </c>
      <c r="H161" s="8" t="n">
        <v>6.20131116166554</v>
      </c>
      <c r="I161" s="8" t="n">
        <v>5.77244306276484</v>
      </c>
      <c r="J161" s="8" t="n">
        <v>109.128396260806</v>
      </c>
      <c r="K161" s="8" t="n">
        <v>3.003587856125</v>
      </c>
      <c r="L161" s="8" t="n">
        <v>94.8842784155444</v>
      </c>
      <c r="M161" s="8" t="n">
        <v>-1.34078715461562</v>
      </c>
      <c r="N161" s="8" t="n">
        <v>2.39666666666667</v>
      </c>
      <c r="O161" s="8" t="n">
        <v>-0.0066666666666668</v>
      </c>
      <c r="P161" s="8" t="n">
        <v>68.9233333333333</v>
      </c>
      <c r="Q161" s="8" t="n">
        <v>-7.48545861297539</v>
      </c>
    </row>
    <row r="162" ht="19" customHeight="1">
      <c r="A162" s="6" t="inlineStr">
        <is>
          <t>Indonesia</t>
        </is>
      </c>
      <c r="B162" s="10" t="n">
        <v>2019</v>
      </c>
      <c r="C162" s="10" t="n">
        <v>3</v>
      </c>
      <c r="D162" s="6" t="inlineStr">
        <is>
          <t>2019 Q3</t>
        </is>
      </c>
      <c r="E162" s="8" t="n">
        <v>115.070666666667</v>
      </c>
      <c r="F162" s="10" t="n">
        <v>3.4001656980976</v>
      </c>
      <c r="G162" s="10" t="n">
        <v>0.893130357751915</v>
      </c>
      <c r="H162" s="8" t="n">
        <v>4.87475328307813</v>
      </c>
      <c r="I162" s="8" t="n">
        <v>6.70196395842294</v>
      </c>
      <c r="J162" s="8" t="n">
        <v>111.113888239047</v>
      </c>
      <c r="K162" s="8" t="n">
        <v>6.90365290446213</v>
      </c>
      <c r="L162" s="8" t="n">
        <v>94.5983508132319</v>
      </c>
      <c r="M162" s="8" t="n">
        <v>1.42476434777905</v>
      </c>
      <c r="N162" s="8" t="n">
        <v>2.19</v>
      </c>
      <c r="O162" s="8" t="n">
        <v>-0.206666666666667</v>
      </c>
      <c r="P162" s="8" t="n">
        <v>61.93</v>
      </c>
      <c r="Q162" s="8" t="n">
        <v>-17.6718216865334</v>
      </c>
    </row>
    <row r="163" ht="19" customHeight="1">
      <c r="A163" s="6" t="inlineStr">
        <is>
          <t>Indonesia</t>
        </is>
      </c>
      <c r="B163" s="10" t="n">
        <v>2019</v>
      </c>
      <c r="C163" s="10" t="n">
        <v>4</v>
      </c>
      <c r="D163" s="6" t="inlineStr">
        <is>
          <t>2019 Q4</t>
        </is>
      </c>
      <c r="E163" s="8" t="n">
        <v>115.170333333333</v>
      </c>
      <c r="F163" s="10" t="n">
        <v>2.94944493989047</v>
      </c>
      <c r="G163" s="10" t="n">
        <v>0.086613443333361</v>
      </c>
      <c r="H163" s="8" t="n">
        <v>2.51070565739451</v>
      </c>
      <c r="I163" s="8" t="n">
        <v>8.23788806023297</v>
      </c>
      <c r="J163" s="8" t="n">
        <v>111.479790617269</v>
      </c>
      <c r="K163" s="8" t="n">
        <v>6.82776103686236</v>
      </c>
      <c r="L163" s="8" t="n">
        <v>98.5900431134575</v>
      </c>
      <c r="M163" s="8" t="n">
        <v>8.654807088293911</v>
      </c>
      <c r="N163" s="8" t="n">
        <v>1.64333333333333</v>
      </c>
      <c r="O163" s="8" t="n">
        <v>-0.546666666666667</v>
      </c>
      <c r="P163" s="8" t="n">
        <v>63.41</v>
      </c>
      <c r="Q163" s="8" t="n">
        <v>-6.35522299891701</v>
      </c>
    </row>
    <row r="164" ht="19" customHeight="1">
      <c r="A164" s="6" t="inlineStr">
        <is>
          <t>Indonesia</t>
        </is>
      </c>
      <c r="B164" s="10" t="n">
        <v>2020</v>
      </c>
      <c r="C164" s="10" t="n">
        <v>1</v>
      </c>
      <c r="D164" s="6" t="inlineStr">
        <is>
          <t>2020 Q1</t>
        </is>
      </c>
      <c r="E164" s="8" t="n">
        <v>116.069666666667</v>
      </c>
      <c r="F164" s="10" t="n">
        <v>2.92059948960741</v>
      </c>
      <c r="G164" s="10" t="n">
        <v>0.78087238901221</v>
      </c>
      <c r="H164" s="8" t="n">
        <v>-0.890834079423425</v>
      </c>
      <c r="I164" s="8" t="n">
        <v>10.3802169041525</v>
      </c>
      <c r="J164" s="8" t="n">
        <v>111.309392674559</v>
      </c>
      <c r="K164" s="8" t="n">
        <v>2.44273393527281</v>
      </c>
      <c r="L164" s="8" t="n">
        <v>101.264856657347</v>
      </c>
      <c r="M164" s="8" t="n">
        <v>7.92087821393919</v>
      </c>
      <c r="N164" s="8" t="n">
        <v>1.26</v>
      </c>
      <c r="O164" s="8" t="n">
        <v>-0.383333333333333</v>
      </c>
      <c r="P164" s="8" t="n">
        <v>50.44</v>
      </c>
      <c r="Q164" s="8" t="n">
        <v>-20.1519708722495</v>
      </c>
    </row>
    <row r="165" ht="19" customHeight="1">
      <c r="A165" s="6" t="inlineStr">
        <is>
          <t>Indonesia</t>
        </is>
      </c>
      <c r="B165" s="10" t="n">
        <v>2020</v>
      </c>
      <c r="C165" s="10" t="n">
        <v>2</v>
      </c>
      <c r="D165" s="6" t="inlineStr">
        <is>
          <t>2020 Q2</t>
        </is>
      </c>
      <c r="E165" s="8" t="n">
        <v>116.4619</v>
      </c>
      <c r="F165" s="10" t="n">
        <v>2.11295370738678</v>
      </c>
      <c r="G165" s="10" t="n">
        <v>0.337929232156542</v>
      </c>
      <c r="H165" s="8" t="n">
        <v>-2.72132031601471</v>
      </c>
      <c r="I165" s="8" t="n">
        <v>12.0985252121044</v>
      </c>
      <c r="J165" s="8" t="n">
        <v>107.801508102116</v>
      </c>
      <c r="K165" s="8" t="n">
        <v>-1.21589632410477</v>
      </c>
      <c r="L165" s="8" t="n">
        <v>94.2610802411244</v>
      </c>
      <c r="M165" s="8" t="n">
        <v>-0.656798138560644</v>
      </c>
      <c r="N165" s="8" t="n">
        <v>0.06</v>
      </c>
      <c r="O165" s="8" t="n">
        <v>-1.2</v>
      </c>
      <c r="P165" s="8" t="n">
        <v>29.3433333333333</v>
      </c>
      <c r="Q165" s="8" t="n">
        <v>-57.426125646854</v>
      </c>
    </row>
    <row r="166" ht="19" customHeight="1">
      <c r="A166" s="6" t="inlineStr">
        <is>
          <t>Indonesia</t>
        </is>
      </c>
      <c r="B166" s="10" t="n">
        <v>2020</v>
      </c>
      <c r="C166" s="10" t="n">
        <v>3</v>
      </c>
      <c r="D166" s="6" t="inlineStr">
        <is>
          <t>2020 Q3</t>
        </is>
      </c>
      <c r="E166" s="8" t="n">
        <v>116.4508</v>
      </c>
      <c r="F166" s="10" t="n">
        <v>1.19937893236619</v>
      </c>
      <c r="G166" s="10" t="n">
        <v>-0.0095310140054372</v>
      </c>
      <c r="H166" s="8" t="n">
        <v>-2.98075488276129</v>
      </c>
      <c r="I166" s="8" t="n">
        <v>13.3928147023938</v>
      </c>
      <c r="J166" s="8" t="n">
        <v>106.150979090589</v>
      </c>
      <c r="K166" s="8" t="n">
        <v>-4.46650659707045</v>
      </c>
      <c r="L166" s="8" t="n">
        <v>97.88852553233011</v>
      </c>
      <c r="M166" s="8" t="n">
        <v>3.47804659469599</v>
      </c>
      <c r="N166" s="8" t="n">
        <v>0.0933333333333333</v>
      </c>
      <c r="O166" s="8" t="n">
        <v>0.0333333333333333</v>
      </c>
      <c r="P166" s="8" t="n">
        <v>42.9633333333333</v>
      </c>
      <c r="Q166" s="8" t="n">
        <v>-30.6259755638086</v>
      </c>
    </row>
    <row r="167" ht="19" customHeight="1">
      <c r="A167" s="6" t="inlineStr">
        <is>
          <t>Indonesia</t>
        </is>
      </c>
      <c r="B167" s="10" t="n">
        <v>2020</v>
      </c>
      <c r="C167" s="10" t="n">
        <v>4</v>
      </c>
      <c r="D167" s="6" t="inlineStr">
        <is>
          <t>2020 Q4</t>
        </is>
      </c>
      <c r="E167" s="8" t="n">
        <v>116.861533333333</v>
      </c>
      <c r="F167" s="10" t="n">
        <v>1.46843371122771</v>
      </c>
      <c r="G167" s="10" t="n">
        <v>0.352709756681202</v>
      </c>
      <c r="H167" s="8" t="n">
        <v>-1.66913803918228</v>
      </c>
      <c r="I167" s="8" t="n">
        <v>14.2630866693458</v>
      </c>
      <c r="J167" s="8" t="n">
        <v>106.928084289912</v>
      </c>
      <c r="K167" s="8" t="n">
        <v>-4.08298786906022</v>
      </c>
      <c r="L167" s="8" t="n">
        <v>107.405441783652</v>
      </c>
      <c r="M167" s="8" t="n">
        <v>8.9414695356711</v>
      </c>
      <c r="N167" s="8" t="n">
        <v>0.09</v>
      </c>
      <c r="O167" s="8" t="n">
        <v>-0.0033333333333333</v>
      </c>
      <c r="P167" s="8" t="n">
        <v>44.29</v>
      </c>
      <c r="Q167" s="8" t="n">
        <v>-30.152972717237</v>
      </c>
    </row>
    <row r="168" ht="19" customHeight="1">
      <c r="A168" s="6" t="inlineStr">
        <is>
          <t>Indonesia</t>
        </is>
      </c>
      <c r="B168" s="10" t="n">
        <v>2021</v>
      </c>
      <c r="C168" s="10" t="n">
        <v>1</v>
      </c>
      <c r="D168" s="6" t="inlineStr">
        <is>
          <t>2021 Q1</t>
        </is>
      </c>
      <c r="E168" s="8" t="n">
        <v>117.7311</v>
      </c>
      <c r="F168" s="10" t="n">
        <v>1.43141044602524</v>
      </c>
      <c r="G168" s="10" t="n">
        <v>0.744099997546965</v>
      </c>
      <c r="H168" s="8" t="n">
        <v>1.21353152635758</v>
      </c>
      <c r="I168" s="8" t="n">
        <v>14.7093419831961</v>
      </c>
      <c r="J168" s="8" t="n">
        <v>107.257553279899</v>
      </c>
      <c r="K168" s="8" t="n">
        <v>-3.64015946660197</v>
      </c>
      <c r="L168" s="8" t="n">
        <v>106.418456967928</v>
      </c>
      <c r="M168" s="8" t="n">
        <v>5.08922886053087</v>
      </c>
      <c r="N168" s="8" t="n">
        <v>0.08</v>
      </c>
      <c r="O168" s="8" t="n">
        <v>-0.01</v>
      </c>
      <c r="P168" s="8" t="n">
        <v>60.82</v>
      </c>
      <c r="Q168" s="8" t="n">
        <v>20.578905630452</v>
      </c>
    </row>
    <row r="169" ht="19" customHeight="1">
      <c r="A169" s="6" t="inlineStr">
        <is>
          <t>Indonesia</t>
        </is>
      </c>
      <c r="B169" s="10" t="n">
        <v>2021</v>
      </c>
      <c r="C169" s="10" t="n">
        <v>2</v>
      </c>
      <c r="D169" s="6" t="inlineStr">
        <is>
          <t>2021 Q2</t>
        </is>
      </c>
      <c r="E169" s="8" t="n">
        <v>118.1826</v>
      </c>
      <c r="F169" s="10" t="n">
        <v>1.47747890082508</v>
      </c>
      <c r="G169" s="10" t="n">
        <v>0.383501046027757</v>
      </c>
      <c r="H169" s="8" t="n">
        <v>3.36233999233002</v>
      </c>
      <c r="I169" s="8" t="n">
        <v>14.590681617915</v>
      </c>
      <c r="J169" s="8" t="n">
        <v>105.611749595051</v>
      </c>
      <c r="K169" s="8" t="n">
        <v>-2.03128745192541</v>
      </c>
      <c r="L169" s="8" t="n">
        <v>114.551815876528</v>
      </c>
      <c r="M169" s="8" t="n">
        <v>21.5261013172124</v>
      </c>
      <c r="N169" s="8" t="n">
        <v>0.07000000000000001</v>
      </c>
      <c r="O169" s="8" t="n">
        <v>-0.01</v>
      </c>
      <c r="P169" s="8" t="n">
        <v>68.8333333333333</v>
      </c>
      <c r="Q169" s="8" t="n">
        <v>134.579120754288</v>
      </c>
    </row>
    <row r="170" ht="19" customHeight="1">
      <c r="A170" s="6" t="inlineStr">
        <is>
          <t>Indonesia</t>
        </is>
      </c>
      <c r="B170" s="10" t="n">
        <v>2021</v>
      </c>
      <c r="C170" s="10" t="n">
        <v>3</v>
      </c>
      <c r="D170" s="6" t="inlineStr">
        <is>
          <t>2021 Q3</t>
        </is>
      </c>
      <c r="E170" s="8" t="n">
        <v>118.2788</v>
      </c>
      <c r="F170" s="10" t="n">
        <v>1.56976165041374</v>
      </c>
      <c r="G170" s="10" t="n">
        <v>0.0813994615112668</v>
      </c>
      <c r="H170" s="8" t="n">
        <v>4.77728950751502</v>
      </c>
      <c r="I170" s="8" t="n">
        <v>13.9071054548686</v>
      </c>
      <c r="J170" s="8" t="n">
        <v>106.441997910802</v>
      </c>
      <c r="K170" s="8" t="n">
        <v>0.274155568517664</v>
      </c>
      <c r="L170" s="8" t="n">
        <v>116.298331246585</v>
      </c>
      <c r="M170" s="8" t="n">
        <v>18.8069087915464</v>
      </c>
      <c r="N170" s="8" t="n">
        <v>0.09</v>
      </c>
      <c r="O170" s="8" t="n">
        <v>0.02</v>
      </c>
      <c r="P170" s="8" t="n">
        <v>73.47</v>
      </c>
      <c r="Q170" s="8" t="n">
        <v>71.0062844285825</v>
      </c>
    </row>
    <row r="171" ht="19" customHeight="1">
      <c r="A171" s="6" t="inlineStr">
        <is>
          <t>Indonesia</t>
        </is>
      </c>
      <c r="B171" s="10" t="n">
        <v>2021</v>
      </c>
      <c r="C171" s="10" t="n">
        <v>4</v>
      </c>
      <c r="D171" s="6" t="inlineStr">
        <is>
          <t>2021 Q4</t>
        </is>
      </c>
      <c r="E171" s="8" t="n">
        <v>118.918933333333</v>
      </c>
      <c r="F171" s="10" t="n">
        <v>1.76054510095425</v>
      </c>
      <c r="G171" s="10" t="n">
        <v>0.541207159130241</v>
      </c>
      <c r="H171" s="8" t="n">
        <v>5.45838148688498</v>
      </c>
      <c r="I171" s="8" t="n">
        <v>12.6586128104341</v>
      </c>
      <c r="J171" s="8" t="n">
        <v>108.412669854822</v>
      </c>
      <c r="K171" s="8" t="n">
        <v>1.38839629903458</v>
      </c>
      <c r="L171" s="8" t="n">
        <v>122.679602624024</v>
      </c>
      <c r="M171" s="8" t="n">
        <v>14.2210306914792</v>
      </c>
      <c r="N171" s="8" t="n">
        <v>0.08</v>
      </c>
      <c r="O171" s="8" t="n">
        <v>-0.01</v>
      </c>
      <c r="P171" s="8" t="n">
        <v>79.5866666666667</v>
      </c>
      <c r="Q171" s="8" t="n">
        <v>79.69443817265</v>
      </c>
    </row>
    <row r="172" ht="19" customHeight="1">
      <c r="A172" s="6" t="inlineStr">
        <is>
          <t>Indonesia</t>
        </is>
      </c>
      <c r="B172" s="10" t="n">
        <v>2022</v>
      </c>
      <c r="C172" s="10" t="n">
        <v>1</v>
      </c>
      <c r="D172" s="6" t="inlineStr">
        <is>
          <t>2022 Q1</t>
        </is>
      </c>
      <c r="E172" s="8" t="n">
        <v>120.4287</v>
      </c>
      <c r="F172" s="10" t="n">
        <v>2.2913231932769</v>
      </c>
      <c r="G172" s="10" t="n">
        <v>1.26957636126346</v>
      </c>
      <c r="H172" s="8" t="n">
        <v>5.40561661151345</v>
      </c>
      <c r="I172" s="8" t="n">
        <v>10.8452024361399</v>
      </c>
      <c r="J172" s="8" t="n">
        <v>108.227468212291</v>
      </c>
      <c r="K172" s="8" t="n">
        <v>0.9042859013025371</v>
      </c>
      <c r="L172" s="8" t="n">
        <v>124.25343875034</v>
      </c>
      <c r="M172" s="8" t="n">
        <v>16.7592937264516</v>
      </c>
      <c r="N172" s="8" t="n">
        <v>0.12</v>
      </c>
      <c r="O172" s="8" t="n">
        <v>0.04</v>
      </c>
      <c r="P172" s="8" t="n">
        <v>100.296666666667</v>
      </c>
      <c r="Q172" s="8" t="n">
        <v>64.9073769593335</v>
      </c>
    </row>
    <row r="173" ht="19" customHeight="1">
      <c r="A173" s="6" t="inlineStr">
        <is>
          <t>Indonesia</t>
        </is>
      </c>
      <c r="B173" s="10" t="n">
        <v>2022</v>
      </c>
      <c r="C173" s="10" t="n">
        <v>2</v>
      </c>
      <c r="D173" s="6" t="inlineStr">
        <is>
          <t>2022 Q2</t>
        </is>
      </c>
      <c r="E173" s="8" t="n">
        <v>122.663733333333</v>
      </c>
      <c r="F173" s="10" t="n">
        <v>3.7917031215537</v>
      </c>
      <c r="G173" s="10" t="n">
        <v>1.85589758366014</v>
      </c>
      <c r="H173" s="8" t="n">
        <v>5.34514293842495</v>
      </c>
      <c r="I173" s="8" t="n">
        <v>9.123723185222129</v>
      </c>
      <c r="J173" s="8" t="n">
        <v>110.902477541566</v>
      </c>
      <c r="K173" s="8" t="n">
        <v>5.00960164640829</v>
      </c>
      <c r="L173" s="8" t="n">
        <v>134.351432934678</v>
      </c>
      <c r="M173" s="8" t="n">
        <v>17.2844200736996</v>
      </c>
      <c r="N173" s="8" t="n">
        <v>0.77</v>
      </c>
      <c r="O173" s="8" t="n">
        <v>0.65</v>
      </c>
      <c r="P173" s="8" t="n">
        <v>113.543333333333</v>
      </c>
      <c r="Q173" s="8" t="n">
        <v>64.95399515738499</v>
      </c>
    </row>
    <row r="174" ht="19" customHeight="1">
      <c r="A174" s="6" t="inlineStr">
        <is>
          <t>Indonesia</t>
        </is>
      </c>
      <c r="B174" s="10" t="n">
        <v>2022</v>
      </c>
      <c r="C174" s="10" t="n">
        <v>3</v>
      </c>
      <c r="D174" s="6" t="inlineStr">
        <is>
          <t>2022 Q3</t>
        </is>
      </c>
      <c r="E174" s="8" t="n">
        <v>124.4214</v>
      </c>
      <c r="F174" s="10" t="n">
        <v>5.19332289471994</v>
      </c>
      <c r="G174" s="10" t="n">
        <v>1.43291470013414</v>
      </c>
      <c r="H174" s="8" t="n">
        <v>5.27696040714458</v>
      </c>
      <c r="I174" s="8" t="n">
        <v>7.49417333617489</v>
      </c>
      <c r="J174" s="8" t="n">
        <v>112.722799417656</v>
      </c>
      <c r="K174" s="8" t="n">
        <v>5.90067983515075</v>
      </c>
      <c r="L174" s="8" t="n">
        <v>118.584751746656</v>
      </c>
      <c r="M174" s="8" t="n">
        <v>1.96599596534466</v>
      </c>
      <c r="N174" s="8" t="n">
        <v>2.19</v>
      </c>
      <c r="O174" s="8" t="n">
        <v>1.42</v>
      </c>
      <c r="P174" s="8" t="n">
        <v>100.713333333333</v>
      </c>
      <c r="Q174" s="8" t="n">
        <v>37.0808946962479</v>
      </c>
    </row>
    <row r="175" ht="19" customHeight="1">
      <c r="A175" s="6" t="inlineStr">
        <is>
          <t>Indonesia</t>
        </is>
      </c>
      <c r="B175" s="10" t="n">
        <v>2022</v>
      </c>
      <c r="C175" s="10" t="n">
        <v>4</v>
      </c>
      <c r="D175" s="6" t="inlineStr">
        <is>
          <t>2022 Q4</t>
        </is>
      </c>
      <c r="E175" s="8" t="n">
        <v>125.513033333333</v>
      </c>
      <c r="F175" s="10" t="n">
        <v>5.54503796423782</v>
      </c>
      <c r="G175" s="10" t="n">
        <v>0.877367826863651</v>
      </c>
      <c r="H175" s="8" t="n">
        <v>5.20106894948094</v>
      </c>
      <c r="I175" s="8" t="n">
        <v>5.95655125945665</v>
      </c>
      <c r="J175" s="8" t="n">
        <v>108.967836902893</v>
      </c>
      <c r="K175" s="8" t="n">
        <v>0.512086870302553</v>
      </c>
      <c r="L175" s="8" t="n">
        <v>115.210051245214</v>
      </c>
      <c r="M175" s="8" t="n">
        <v>-6.08866610181539</v>
      </c>
      <c r="N175" s="8" t="n">
        <v>3.65333333333333</v>
      </c>
      <c r="O175" s="8" t="n">
        <v>1.46333333333333</v>
      </c>
      <c r="P175" s="8" t="n">
        <v>88.5566666666667</v>
      </c>
      <c r="Q175" s="8" t="n">
        <v>11.2707321159323</v>
      </c>
    </row>
    <row r="176" ht="19" customHeight="1">
      <c r="A176" s="6" t="inlineStr">
        <is>
          <t>Indonesia</t>
        </is>
      </c>
      <c r="B176" s="10" t="n">
        <v>2023</v>
      </c>
      <c r="C176" s="10" t="n">
        <v>1</v>
      </c>
      <c r="D176" s="6" t="inlineStr">
        <is>
          <t>2023 Q1</t>
        </is>
      </c>
      <c r="E176" s="8" t="n">
        <v>126.737833333333</v>
      </c>
      <c r="F176" s="10" t="n">
        <v>5.23889515815859</v>
      </c>
      <c r="G176" s="10" t="n">
        <v>0.975834913293205</v>
      </c>
      <c r="H176" s="8" t="n">
        <v>5.11746848950299</v>
      </c>
      <c r="I176" s="8" t="n">
        <v>4.51085541744099</v>
      </c>
      <c r="J176" s="8" t="n">
        <v>107.160272312727</v>
      </c>
      <c r="K176" s="8" t="n">
        <v>-0.986067508731547</v>
      </c>
      <c r="L176" s="8" t="n">
        <v>114.034689515825</v>
      </c>
      <c r="M176" s="8" t="n">
        <v>-8.224117849203459</v>
      </c>
      <c r="N176" s="8" t="n">
        <v>4.51666666666667</v>
      </c>
      <c r="O176" s="8" t="n">
        <v>0.863333333333333</v>
      </c>
      <c r="P176" s="8" t="n">
        <v>81.1733333333333</v>
      </c>
      <c r="Q176" s="8" t="n">
        <v>-19.0667685865266</v>
      </c>
    </row>
    <row r="177" ht="19" customHeight="1">
      <c r="A177" s="6" t="inlineStr">
        <is>
          <t>Indonesia</t>
        </is>
      </c>
      <c r="B177" s="10" t="n">
        <v>2023</v>
      </c>
      <c r="C177" s="10" t="n">
        <v>2</v>
      </c>
      <c r="D177" s="6" t="inlineStr">
        <is>
          <t>2023 Q2</t>
        </is>
      </c>
      <c r="E177" s="8" t="n">
        <v>127.5075</v>
      </c>
      <c r="F177" s="10" t="n">
        <v>3.94881725432565</v>
      </c>
      <c r="G177" s="10" t="n">
        <v>0.607290377643066</v>
      </c>
      <c r="H177" s="8" t="n">
        <v>5.05657340933068</v>
      </c>
      <c r="I177" s="8" t="n">
        <v>3.52836637001981</v>
      </c>
      <c r="J177" s="8" t="n">
        <v>110.261343594388</v>
      </c>
      <c r="K177" s="8" t="n">
        <v>-0.578106063443928</v>
      </c>
      <c r="L177" s="8" t="n">
        <v>109.857789884183</v>
      </c>
      <c r="M177" s="8" t="n">
        <v>-18.2310247948031</v>
      </c>
      <c r="N177" s="8" t="n">
        <v>4.99</v>
      </c>
      <c r="O177" s="8" t="n">
        <v>0.473333333333334</v>
      </c>
      <c r="P177" s="8" t="n">
        <v>78.31666666666671</v>
      </c>
      <c r="Q177" s="8" t="n">
        <v>-31.0248656900449</v>
      </c>
    </row>
    <row r="178" ht="19" customHeight="1">
      <c r="A178" s="6" t="inlineStr">
        <is>
          <t>Indonesia</t>
        </is>
      </c>
      <c r="B178" s="10" t="n">
        <v>2023</v>
      </c>
      <c r="C178" s="10" t="n">
        <v>3</v>
      </c>
      <c r="D178" s="6" t="inlineStr">
        <is>
          <t>2023 Q3</t>
        </is>
      </c>
      <c r="E178" s="8" t="n">
        <v>127.996</v>
      </c>
      <c r="F178" s="10" t="n">
        <v>2.87297844261516</v>
      </c>
      <c r="G178" s="10" t="n">
        <v>0.383114718742039</v>
      </c>
      <c r="H178" s="8" t="n">
        <v>5.01838364801216</v>
      </c>
      <c r="I178" s="8" t="n">
        <v>3.00908313467095</v>
      </c>
      <c r="J178" s="8" t="n">
        <v>109.196741362267</v>
      </c>
      <c r="K178" s="8" t="n">
        <v>-3.12807885681092</v>
      </c>
      <c r="L178" s="8" t="n">
        <v>107.510614988168</v>
      </c>
      <c r="M178" s="8" t="n">
        <v>-9.338584088911441</v>
      </c>
      <c r="N178" s="8" t="n">
        <v>5.26</v>
      </c>
      <c r="O178" s="8" t="n">
        <v>0.27</v>
      </c>
      <c r="P178" s="8" t="n">
        <v>86.66</v>
      </c>
      <c r="Q178" s="8" t="n">
        <v>-13.9537962533925</v>
      </c>
    </row>
    <row r="179" ht="19" customHeight="1">
      <c r="A179" s="6" t="inlineStr">
        <is>
          <t>Indonesia</t>
        </is>
      </c>
      <c r="B179" s="10" t="n">
        <v>2023</v>
      </c>
      <c r="C179" s="10" t="n">
        <v>4</v>
      </c>
      <c r="D179" s="6" t="inlineStr">
        <is>
          <t>2023 Q4</t>
        </is>
      </c>
      <c r="E179" s="8" t="n">
        <v>128.876633333333</v>
      </c>
      <c r="F179" s="10" t="n">
        <v>2.67988105352139</v>
      </c>
      <c r="G179" s="10" t="n">
        <v>0.688016292175808</v>
      </c>
      <c r="H179" s="8" t="n">
        <v>5.0028991673625</v>
      </c>
      <c r="I179" s="8" t="n">
        <v>2.95300519214014</v>
      </c>
      <c r="J179" s="8" t="n">
        <v>107.525182091176</v>
      </c>
      <c r="K179" s="8" t="n">
        <v>-1.32392718137719</v>
      </c>
      <c r="L179" s="8" t="n">
        <v>105.339533846651</v>
      </c>
      <c r="M179" s="8" t="n">
        <v>-8.56740995414912</v>
      </c>
      <c r="N179" s="8" t="n">
        <v>5.33</v>
      </c>
      <c r="O179" s="8" t="n">
        <v>0.0700000000000003</v>
      </c>
      <c r="P179" s="8" t="n">
        <v>83.7233333333333</v>
      </c>
      <c r="Q179" s="8" t="n">
        <v>-5.45789889712802</v>
      </c>
    </row>
    <row r="180" ht="19" customHeight="1">
      <c r="A180" s="6" t="inlineStr">
        <is>
          <t>Indonesia</t>
        </is>
      </c>
      <c r="B180" s="10" t="n">
        <v>2024</v>
      </c>
      <c r="C180" s="10" t="n">
        <v>1</v>
      </c>
      <c r="D180" s="6" t="inlineStr">
        <is>
          <t>2024 Q1</t>
        </is>
      </c>
      <c r="E180" s="8" t="n">
        <v>129.9958</v>
      </c>
      <c r="F180" s="10" t="n">
        <v>2.57063465658109</v>
      </c>
      <c r="G180" s="10" t="n">
        <v>0.868401538525609</v>
      </c>
      <c r="H180" s="8" t="n">
        <v>5.01011995191923</v>
      </c>
      <c r="I180" s="8" t="n">
        <v>3.36013248633251</v>
      </c>
      <c r="J180" s="8" t="n">
        <v>107.182284989646</v>
      </c>
      <c r="K180" s="8" t="n">
        <v>0.0205418262229751</v>
      </c>
      <c r="L180" s="8" t="n">
        <v>102.582568583479</v>
      </c>
      <c r="M180" s="8" t="n">
        <v>-10.0426641936497</v>
      </c>
      <c r="N180" s="8" t="n">
        <v>5.33</v>
      </c>
      <c r="O180" s="8" t="n">
        <v>0</v>
      </c>
      <c r="P180" s="8" t="n">
        <v>83.0033333333333</v>
      </c>
      <c r="Q180" s="8" t="n">
        <v>2.25443495400788</v>
      </c>
    </row>
    <row r="181" ht="19" customHeight="1">
      <c r="A181" s="6" t="inlineStr">
        <is>
          <t>Indonesia</t>
        </is>
      </c>
      <c r="B181" s="10" t="n">
        <v>2024</v>
      </c>
      <c r="C181" s="10" t="n">
        <v>2</v>
      </c>
      <c r="D181" s="6" t="inlineStr">
        <is>
          <t>2024 Q2</t>
        </is>
      </c>
      <c r="E181" s="8" t="n">
        <v>130.877766666667</v>
      </c>
      <c r="F181" s="10" t="n">
        <v>2.64319092340974</v>
      </c>
      <c r="G181" s="10" t="n">
        <v>0.678457816842282</v>
      </c>
      <c r="H181" s="8" t="n">
        <v>5.02199018693656</v>
      </c>
      <c r="I181" s="8" t="n">
        <v>4.08273159715583</v>
      </c>
      <c r="J181" s="8" t="n">
        <v>105.189264314592</v>
      </c>
      <c r="K181" s="8" t="n">
        <v>-4.60005212566129</v>
      </c>
      <c r="L181" s="8" t="n">
        <v>104.519793640698</v>
      </c>
      <c r="M181" s="8" t="n">
        <v>-4.85900567371084</v>
      </c>
      <c r="N181" s="8" t="n">
        <v>5.33</v>
      </c>
      <c r="O181" s="8" t="n">
        <v>0</v>
      </c>
      <c r="P181" s="8" t="n">
        <v>84.6466666666667</v>
      </c>
      <c r="Q181" s="8" t="n">
        <v>8.082570759736109</v>
      </c>
    </row>
    <row r="182" ht="19" customHeight="1">
      <c r="A182" s="6" t="inlineStr">
        <is>
          <t>Indonesia</t>
        </is>
      </c>
      <c r="B182" s="10" t="n">
        <v>2024</v>
      </c>
      <c r="C182" s="10" t="n">
        <v>3</v>
      </c>
      <c r="D182" s="6" t="inlineStr">
        <is>
          <t>2024 Q3</t>
        </is>
      </c>
      <c r="E182" s="8" t="n">
        <v>130.479866666667</v>
      </c>
      <c r="F182" s="10" t="n">
        <v>1.94058147650447</v>
      </c>
      <c r="G182" s="10" t="n">
        <v>-0.304024136516201</v>
      </c>
      <c r="H182" s="8" t="n">
        <v>5.03850988426174</v>
      </c>
      <c r="I182" s="8" t="n">
        <v>5.12080324722909</v>
      </c>
      <c r="J182" s="8" t="n">
        <v>105.129273963533</v>
      </c>
      <c r="K182" s="8" t="n">
        <v>-3.72489814988125</v>
      </c>
      <c r="L182" s="8" t="n">
        <v>106.377099329068</v>
      </c>
      <c r="M182" s="8" t="n">
        <v>-1.05432906250624</v>
      </c>
      <c r="N182" s="8" t="n">
        <v>5.26333333333333</v>
      </c>
      <c r="O182" s="8" t="n">
        <v>-0.0666666666666664</v>
      </c>
      <c r="P182" s="8" t="n">
        <v>79.84333333333331</v>
      </c>
      <c r="Q182" s="8" t="n">
        <v>-7.86598969151473</v>
      </c>
    </row>
    <row r="183" ht="19" customHeight="1">
      <c r="A183" s="6" t="inlineStr">
        <is>
          <t>Indonesia</t>
        </is>
      </c>
      <c r="B183" s="10" t="n">
        <v>2024</v>
      </c>
      <c r="C183" s="10" t="n">
        <v>4</v>
      </c>
      <c r="D183" s="6" t="inlineStr">
        <is>
          <t>2024 Q4</t>
        </is>
      </c>
      <c r="E183" s="8" t="n">
        <v>130.914633333333</v>
      </c>
      <c r="F183" s="10" t="n">
        <v>1.5813572618155</v>
      </c>
      <c r="G183" s="10" t="n">
        <v>0.333205940328996</v>
      </c>
      <c r="H183" s="8" t="n">
        <v>5.0596790604339</v>
      </c>
      <c r="I183" s="8" t="n">
        <v>6.47434847462747</v>
      </c>
      <c r="J183" s="8" t="n">
        <v>106.555195075595</v>
      </c>
      <c r="K183" s="8" t="n">
        <v>-0.90210218361565</v>
      </c>
      <c r="L183" s="8" t="n">
        <v>110.645361455409</v>
      </c>
      <c r="M183" s="8" t="n">
        <v>5.03688161035707</v>
      </c>
      <c r="N183" s="8" t="n">
        <v>4.65</v>
      </c>
      <c r="O183" s="8" t="n">
        <v>-0.613333333333333</v>
      </c>
      <c r="P183" s="8" t="n">
        <v>74.6133333333333</v>
      </c>
      <c r="Q183" s="8" t="n">
        <v>-10.8810765616913</v>
      </c>
    </row>
    <row r="184" ht="19" customHeight="1">
      <c r="A184" s="6" t="inlineStr">
        <is>
          <t>Indonesia</t>
        </is>
      </c>
      <c r="B184" s="10" t="n">
        <v>2025</v>
      </c>
      <c r="C184" s="10" t="n">
        <v>1</v>
      </c>
      <c r="D184" s="6" t="inlineStr">
        <is>
          <t>2025 Q1</t>
        </is>
      </c>
      <c r="E184" s="8" t="n">
        <v>130.730066666667</v>
      </c>
      <c r="F184" s="10" t="n">
        <v>0.564838761457409</v>
      </c>
      <c r="G184" s="10" t="n">
        <v>-0.140982457015892</v>
      </c>
      <c r="H184" s="8" t="n">
        <v>5.08549773660975</v>
      </c>
      <c r="I184" s="8" t="n">
        <v>8.14336863289212</v>
      </c>
      <c r="J184" s="8" t="n">
        <v>102.946950846124</v>
      </c>
      <c r="K184" s="8" t="n">
        <v>-3.95152439970016</v>
      </c>
      <c r="L184" s="8" t="n">
        <v>108.711496383905</v>
      </c>
      <c r="M184" s="8" t="n">
        <v>5.97462891118643</v>
      </c>
      <c r="N184" s="8" t="n">
        <v>4.33</v>
      </c>
      <c r="O184" s="8" t="n">
        <v>-0.32</v>
      </c>
      <c r="P184" s="8" t="n">
        <v>75.8133333333333</v>
      </c>
      <c r="Q184" s="8" t="n">
        <v>-8.662302718766311</v>
      </c>
    </row>
    <row r="185" ht="19" customHeight="1">
      <c r="A185" s="6" t="inlineStr">
        <is>
          <t>Laos</t>
        </is>
      </c>
      <c r="B185" s="10" t="n">
        <v>2010</v>
      </c>
      <c r="C185" s="10" t="n">
        <v>1</v>
      </c>
      <c r="D185" s="6" t="inlineStr">
        <is>
          <t>2010 Q1</t>
        </is>
      </c>
      <c r="E185" s="8" t="n">
        <v>76.7363249860672</v>
      </c>
      <c r="F185" s="9" t="inlineStr"/>
      <c r="G185" s="9" t="inlineStr"/>
      <c r="H185" s="8" t="n">
        <v>8.64239724791101</v>
      </c>
      <c r="I185" s="8" t="n">
        <v>39.128963871411</v>
      </c>
      <c r="J185" s="8" t="n">
        <v>116.073385384143</v>
      </c>
      <c r="K185" s="9" t="inlineStr"/>
      <c r="L185" s="8" t="n">
        <v>99.24199528149821</v>
      </c>
      <c r="M185" s="9" t="inlineStr"/>
      <c r="N185" s="8" t="n">
        <v>0.133333333333333</v>
      </c>
      <c r="O185" s="9" t="inlineStr"/>
      <c r="P185" s="8" t="n">
        <v>76.25</v>
      </c>
      <c r="Q185" s="9" t="inlineStr"/>
    </row>
    <row r="186" ht="19" customHeight="1">
      <c r="A186" s="6" t="inlineStr">
        <is>
          <t>Laos</t>
        </is>
      </c>
      <c r="B186" s="10" t="n">
        <v>2010</v>
      </c>
      <c r="C186" s="10" t="n">
        <v>2</v>
      </c>
      <c r="D186" s="6" t="inlineStr">
        <is>
          <t>2010 Q2</t>
        </is>
      </c>
      <c r="E186" s="8" t="n">
        <v>78.09207000000001</v>
      </c>
      <c r="F186" s="9" t="inlineStr"/>
      <c r="G186" s="10" t="n">
        <v>1.76675780887208</v>
      </c>
      <c r="H186" s="8" t="n">
        <v>8.5962005834275</v>
      </c>
      <c r="I186" s="8" t="n">
        <v>39.128963871411</v>
      </c>
      <c r="J186" s="8" t="n">
        <v>121.11001619704</v>
      </c>
      <c r="K186" s="9" t="inlineStr"/>
      <c r="L186" s="8" t="n">
        <v>96.4984622523225</v>
      </c>
      <c r="M186" s="9" t="inlineStr"/>
      <c r="N186" s="8" t="n">
        <v>0.193333333333333</v>
      </c>
      <c r="O186" s="8" t="n">
        <v>0.06</v>
      </c>
      <c r="P186" s="8" t="n">
        <v>78.51000000000001</v>
      </c>
      <c r="Q186" s="9" t="inlineStr"/>
    </row>
    <row r="187" ht="19" customHeight="1">
      <c r="A187" s="6" t="inlineStr">
        <is>
          <t>Laos</t>
        </is>
      </c>
      <c r="B187" s="10" t="n">
        <v>2010</v>
      </c>
      <c r="C187" s="10" t="n">
        <v>3</v>
      </c>
      <c r="D187" s="6" t="inlineStr">
        <is>
          <t>2010 Q3</t>
        </is>
      </c>
      <c r="E187" s="8" t="n">
        <v>81.23267</v>
      </c>
      <c r="F187" s="9" t="inlineStr"/>
      <c r="G187" s="10" t="n">
        <v>4.02166314710315</v>
      </c>
      <c r="H187" s="8" t="n">
        <v>8.50380720825804</v>
      </c>
      <c r="I187" s="8" t="n">
        <v>39.128963871411</v>
      </c>
      <c r="J187" s="8" t="n">
        <v>123.709178025132</v>
      </c>
      <c r="K187" s="9" t="inlineStr"/>
      <c r="L187" s="8" t="n">
        <v>107.356970480027</v>
      </c>
      <c r="M187" s="9" t="inlineStr"/>
      <c r="N187" s="8" t="n">
        <v>0.186666666666667</v>
      </c>
      <c r="O187" s="8" t="n">
        <v>-0.0066666666666666</v>
      </c>
      <c r="P187" s="8" t="n">
        <v>76.81999999999999</v>
      </c>
      <c r="Q187" s="9" t="inlineStr"/>
    </row>
    <row r="188" ht="19" customHeight="1">
      <c r="A188" s="6" t="inlineStr">
        <is>
          <t>Laos</t>
        </is>
      </c>
      <c r="B188" s="10" t="n">
        <v>2010</v>
      </c>
      <c r="C188" s="10" t="n">
        <v>4</v>
      </c>
      <c r="D188" s="6" t="inlineStr">
        <is>
          <t>2010 Q4</t>
        </is>
      </c>
      <c r="E188" s="8" t="n">
        <v>80.9801033333333</v>
      </c>
      <c r="F188" s="9" t="inlineStr"/>
      <c r="G188" s="10" t="n">
        <v>-0.310917598383342</v>
      </c>
      <c r="H188" s="8" t="n">
        <v>8.36521703001441</v>
      </c>
      <c r="I188" s="8" t="n">
        <v>39.128963871411</v>
      </c>
      <c r="J188" s="8" t="n">
        <v>120.634148914246</v>
      </c>
      <c r="K188" s="9" t="inlineStr"/>
      <c r="L188" s="8" t="n">
        <v>124.608736829891</v>
      </c>
      <c r="M188" s="9" t="inlineStr"/>
      <c r="N188" s="8" t="n">
        <v>0.186666666666667</v>
      </c>
      <c r="O188" s="8" t="n">
        <v>0</v>
      </c>
      <c r="P188" s="8" t="n">
        <v>86.4666666666667</v>
      </c>
      <c r="Q188" s="9" t="inlineStr"/>
    </row>
    <row r="189" ht="19" customHeight="1">
      <c r="A189" s="6" t="inlineStr">
        <is>
          <t>Laos</t>
        </is>
      </c>
      <c r="B189" s="10" t="n">
        <v>2011</v>
      </c>
      <c r="C189" s="10" t="n">
        <v>1</v>
      </c>
      <c r="D189" s="6" t="inlineStr">
        <is>
          <t>2011 Q1</t>
        </is>
      </c>
      <c r="E189" s="8" t="n">
        <v>81.96196999999999</v>
      </c>
      <c r="F189" s="10" t="n">
        <v>6.80987135477442</v>
      </c>
      <c r="G189" s="10" t="n">
        <v>1.21247890068139</v>
      </c>
      <c r="H189" s="8" t="n">
        <v>8.180429910105479</v>
      </c>
      <c r="I189" s="9" t="inlineStr"/>
      <c r="J189" s="8" t="n">
        <v>121.750951363481</v>
      </c>
      <c r="K189" s="8" t="n">
        <v>4.89135899719695</v>
      </c>
      <c r="L189" s="8" t="n">
        <v>121.875946057639</v>
      </c>
      <c r="M189" s="8" t="n">
        <v>22.8068276055313</v>
      </c>
      <c r="N189" s="8" t="n">
        <v>0.156666666666667</v>
      </c>
      <c r="O189" s="8" t="n">
        <v>-0.03</v>
      </c>
      <c r="P189" s="8" t="n">
        <v>104.96</v>
      </c>
      <c r="Q189" s="8" t="n">
        <v>37.6524590163934</v>
      </c>
    </row>
    <row r="190" ht="19" customHeight="1">
      <c r="A190" s="6" t="inlineStr">
        <is>
          <t>Laos</t>
        </is>
      </c>
      <c r="B190" s="10" t="n">
        <v>2011</v>
      </c>
      <c r="C190" s="10" t="n">
        <v>2</v>
      </c>
      <c r="D190" s="6" t="inlineStr">
        <is>
          <t>2011 Q2</t>
        </is>
      </c>
      <c r="E190" s="8" t="n">
        <v>85.50985</v>
      </c>
      <c r="F190" s="10" t="n">
        <v>9.49876216624812</v>
      </c>
      <c r="G190" s="10" t="n">
        <v>4.32869048901583</v>
      </c>
      <c r="H190" s="8" t="n">
        <v>8.04980423008875</v>
      </c>
      <c r="I190" s="9" t="inlineStr"/>
      <c r="J190" s="8" t="n">
        <v>121.53177982122</v>
      </c>
      <c r="K190" s="8" t="n">
        <v>0.348248342642243</v>
      </c>
      <c r="L190" s="8" t="n">
        <v>122.00081812372</v>
      </c>
      <c r="M190" s="8" t="n">
        <v>26.4277329152819</v>
      </c>
      <c r="N190" s="8" t="n">
        <v>0.0933333333333333</v>
      </c>
      <c r="O190" s="8" t="n">
        <v>-0.0633333333333333</v>
      </c>
      <c r="P190" s="8" t="n">
        <v>117.36</v>
      </c>
      <c r="Q190" s="8" t="n">
        <v>49.4841421474971</v>
      </c>
    </row>
    <row r="191" ht="19" customHeight="1">
      <c r="A191" s="6" t="inlineStr">
        <is>
          <t>Laos</t>
        </is>
      </c>
      <c r="B191" s="10" t="n">
        <v>2011</v>
      </c>
      <c r="C191" s="10" t="n">
        <v>3</v>
      </c>
      <c r="D191" s="6" t="inlineStr">
        <is>
          <t>2011 Q3</t>
        </is>
      </c>
      <c r="E191" s="8" t="n">
        <v>86.57705666666671</v>
      </c>
      <c r="F191" s="10" t="n">
        <v>6.57910994020838</v>
      </c>
      <c r="G191" s="10" t="n">
        <v>1.24805115044251</v>
      </c>
      <c r="H191" s="8" t="n">
        <v>7.97333985933397</v>
      </c>
      <c r="I191" s="9" t="inlineStr"/>
      <c r="J191" s="8" t="n">
        <v>122.524556919425</v>
      </c>
      <c r="K191" s="8" t="n">
        <v>-0.957585463438149</v>
      </c>
      <c r="L191" s="8" t="n">
        <v>118.888757234176</v>
      </c>
      <c r="M191" s="8" t="n">
        <v>10.7415351817278</v>
      </c>
      <c r="N191" s="8" t="n">
        <v>0.0833333333333333</v>
      </c>
      <c r="O191" s="8" t="n">
        <v>-0.01</v>
      </c>
      <c r="P191" s="8" t="n">
        <v>113.34</v>
      </c>
      <c r="Q191" s="8" t="n">
        <v>47.5397032022911</v>
      </c>
    </row>
    <row r="192" ht="19" customHeight="1">
      <c r="A192" s="6" t="inlineStr">
        <is>
          <t>Laos</t>
        </is>
      </c>
      <c r="B192" s="10" t="n">
        <v>2011</v>
      </c>
      <c r="C192" s="10" t="n">
        <v>4</v>
      </c>
      <c r="D192" s="6" t="inlineStr">
        <is>
          <t>2011 Q4</t>
        </is>
      </c>
      <c r="E192" s="8" t="n">
        <v>86.9890966666667</v>
      </c>
      <c r="F192" s="10" t="n">
        <v>7.42033300278575</v>
      </c>
      <c r="G192" s="10" t="n">
        <v>0.475922855158273</v>
      </c>
      <c r="H192" s="8" t="n">
        <v>7.95103672139202</v>
      </c>
      <c r="I192" s="9" t="inlineStr"/>
      <c r="J192" s="8" t="n">
        <v>127.404253685878</v>
      </c>
      <c r="K192" s="8" t="n">
        <v>5.61209643584808</v>
      </c>
      <c r="L192" s="8" t="n">
        <v>112.174119298219</v>
      </c>
      <c r="M192" s="8" t="n">
        <v>-9.978929124887189</v>
      </c>
      <c r="N192" s="8" t="n">
        <v>0.07333333333333331</v>
      </c>
      <c r="O192" s="8" t="n">
        <v>-0.01</v>
      </c>
      <c r="P192" s="8" t="n">
        <v>109.396666666667</v>
      </c>
      <c r="Q192" s="8" t="n">
        <v>26.5188897455667</v>
      </c>
    </row>
    <row r="193" ht="19" customHeight="1">
      <c r="A193" s="6" t="inlineStr">
        <is>
          <t>Laos</t>
        </is>
      </c>
      <c r="B193" s="10" t="n">
        <v>2012</v>
      </c>
      <c r="C193" s="10" t="n">
        <v>1</v>
      </c>
      <c r="D193" s="6" t="inlineStr">
        <is>
          <t>2012 Q1</t>
        </is>
      </c>
      <c r="E193" s="8" t="n">
        <v>86.90788000000001</v>
      </c>
      <c r="F193" s="10" t="n">
        <v>6.03439619618711</v>
      </c>
      <c r="G193" s="10" t="n">
        <v>-0.0933641913513306</v>
      </c>
      <c r="H193" s="8" t="n">
        <v>7.98289479395035</v>
      </c>
      <c r="I193" s="9" t="inlineStr"/>
      <c r="J193" s="8" t="n">
        <v>128.105204370981</v>
      </c>
      <c r="K193" s="8" t="n">
        <v>5.21905819736026</v>
      </c>
      <c r="L193" s="8" t="n">
        <v>112.921025549072</v>
      </c>
      <c r="M193" s="8" t="n">
        <v>-7.3475700482622</v>
      </c>
      <c r="N193" s="8" t="n">
        <v>0.103333333333333</v>
      </c>
      <c r="O193" s="8" t="n">
        <v>0.03</v>
      </c>
      <c r="P193" s="8" t="n">
        <v>118.49</v>
      </c>
      <c r="Q193" s="8" t="n">
        <v>12.890625</v>
      </c>
    </row>
    <row r="194" ht="19" customHeight="1">
      <c r="A194" s="6" t="inlineStr">
        <is>
          <t>Laos</t>
        </is>
      </c>
      <c r="B194" s="10" t="n">
        <v>2012</v>
      </c>
      <c r="C194" s="10" t="n">
        <v>2</v>
      </c>
      <c r="D194" s="6" t="inlineStr">
        <is>
          <t>2012 Q2</t>
        </is>
      </c>
      <c r="E194" s="8" t="n">
        <v>88.8430266666667</v>
      </c>
      <c r="F194" s="10" t="n">
        <v>3.89800317351352</v>
      </c>
      <c r="G194" s="10" t="n">
        <v>2.22666421809696</v>
      </c>
      <c r="H194" s="8" t="n">
        <v>8.012919464409411</v>
      </c>
      <c r="I194" s="9" t="inlineStr"/>
      <c r="J194" s="8" t="n">
        <v>130.391403311613</v>
      </c>
      <c r="K194" s="8" t="n">
        <v>7.28996440554517</v>
      </c>
      <c r="L194" s="8" t="n">
        <v>108.674540730789</v>
      </c>
      <c r="M194" s="8" t="n">
        <v>-10.9231049413272</v>
      </c>
      <c r="N194" s="8" t="n">
        <v>0.153333333333333</v>
      </c>
      <c r="O194" s="8" t="n">
        <v>0.05</v>
      </c>
      <c r="P194" s="8" t="n">
        <v>108.416666666667</v>
      </c>
      <c r="Q194" s="8" t="n">
        <v>-7.6204271756419</v>
      </c>
    </row>
    <row r="195" ht="19" customHeight="1">
      <c r="A195" s="6" t="inlineStr">
        <is>
          <t>Laos</t>
        </is>
      </c>
      <c r="B195" s="10" t="n">
        <v>2012</v>
      </c>
      <c r="C195" s="10" t="n">
        <v>3</v>
      </c>
      <c r="D195" s="6" t="inlineStr">
        <is>
          <t>2012 Q3</t>
        </is>
      </c>
      <c r="E195" s="8" t="n">
        <v>89.4461366666667</v>
      </c>
      <c r="F195" s="10" t="n">
        <v>3.31390337170545</v>
      </c>
      <c r="G195" s="10" t="n">
        <v>0.678849002142656</v>
      </c>
      <c r="H195" s="8" t="n">
        <v>8.041110762797221</v>
      </c>
      <c r="I195" s="9" t="inlineStr"/>
      <c r="J195" s="8" t="n">
        <v>131.013014323257</v>
      </c>
      <c r="K195" s="8" t="n">
        <v>6.92796417081867</v>
      </c>
      <c r="L195" s="8" t="n">
        <v>112.021404013206</v>
      </c>
      <c r="M195" s="8" t="n">
        <v>-5.77628480668088</v>
      </c>
      <c r="N195" s="8" t="n">
        <v>0.143333333333333</v>
      </c>
      <c r="O195" s="8" t="n">
        <v>-0.01</v>
      </c>
      <c r="P195" s="8" t="n">
        <v>109.613333333333</v>
      </c>
      <c r="Q195" s="8" t="n">
        <v>-3.28804187988943</v>
      </c>
    </row>
    <row r="196" ht="19" customHeight="1">
      <c r="A196" s="6" t="inlineStr">
        <is>
          <t>Laos</t>
        </is>
      </c>
      <c r="B196" s="10" t="n">
        <v>2012</v>
      </c>
      <c r="C196" s="10" t="n">
        <v>4</v>
      </c>
      <c r="D196" s="6" t="inlineStr">
        <is>
          <t>2012 Q4</t>
        </is>
      </c>
      <c r="E196" s="8" t="n">
        <v>90.35253</v>
      </c>
      <c r="F196" s="10" t="n">
        <v>3.86649989736261</v>
      </c>
      <c r="G196" s="10" t="n">
        <v>1.01333983457681</v>
      </c>
      <c r="H196" s="8" t="n">
        <v>8.067468717308801</v>
      </c>
      <c r="I196" s="9" t="inlineStr"/>
      <c r="J196" s="8" t="n">
        <v>130.012065762626</v>
      </c>
      <c r="K196" s="8" t="n">
        <v>2.04687991279926</v>
      </c>
      <c r="L196" s="8" t="n">
        <v>112.043606667623</v>
      </c>
      <c r="M196" s="8" t="n">
        <v>-0.116348255206267</v>
      </c>
      <c r="N196" s="8" t="n">
        <v>0.16</v>
      </c>
      <c r="O196" s="8" t="n">
        <v>0.0166666666666667</v>
      </c>
      <c r="P196" s="8" t="n">
        <v>110.086666666667</v>
      </c>
      <c r="Q196" s="8" t="n">
        <v>0.630732197812245</v>
      </c>
    </row>
    <row r="197" ht="19" customHeight="1">
      <c r="A197" s="6" t="inlineStr">
        <is>
          <t>Laos</t>
        </is>
      </c>
      <c r="B197" s="10" t="n">
        <v>2013</v>
      </c>
      <c r="C197" s="10" t="n">
        <v>1</v>
      </c>
      <c r="D197" s="6" t="inlineStr">
        <is>
          <t>2013 Q1</t>
        </is>
      </c>
      <c r="E197" s="8" t="n">
        <v>91.98716</v>
      </c>
      <c r="F197" s="10" t="n">
        <v>5.84444126355401</v>
      </c>
      <c r="G197" s="10" t="n">
        <v>1.80916904042421</v>
      </c>
      <c r="H197" s="8" t="n">
        <v>8.09199335430087</v>
      </c>
      <c r="I197" s="9" t="inlineStr"/>
      <c r="J197" s="8" t="n">
        <v>132.817536517934</v>
      </c>
      <c r="K197" s="8" t="n">
        <v>3.67848610842254</v>
      </c>
      <c r="L197" s="8" t="n">
        <v>112.344264317549</v>
      </c>
      <c r="M197" s="8" t="n">
        <v>-0.510765137598079</v>
      </c>
      <c r="N197" s="8" t="n">
        <v>0.143333333333333</v>
      </c>
      <c r="O197" s="8" t="n">
        <v>-0.0166666666666667</v>
      </c>
      <c r="P197" s="8" t="n">
        <v>112.493333333333</v>
      </c>
      <c r="Q197" s="8" t="n">
        <v>-5.06090528033308</v>
      </c>
    </row>
    <row r="198" ht="19" customHeight="1">
      <c r="A198" s="6" t="inlineStr">
        <is>
          <t>Laos</t>
        </is>
      </c>
      <c r="B198" s="10" t="n">
        <v>2013</v>
      </c>
      <c r="C198" s="10" t="n">
        <v>2</v>
      </c>
      <c r="D198" s="6" t="inlineStr">
        <is>
          <t>2013 Q2</t>
        </is>
      </c>
      <c r="E198" s="8" t="n">
        <v>93.9995233333333</v>
      </c>
      <c r="F198" s="10" t="n">
        <v>5.80405335132661</v>
      </c>
      <c r="G198" s="10" t="n">
        <v>2.18765677006805</v>
      </c>
      <c r="H198" s="8" t="n">
        <v>8.07552597050443</v>
      </c>
      <c r="I198" s="9" t="inlineStr"/>
      <c r="J198" s="8" t="n">
        <v>139.171160116821</v>
      </c>
      <c r="K198" s="8" t="n">
        <v>6.73338623730153</v>
      </c>
      <c r="L198" s="8" t="n">
        <v>111.205746192615</v>
      </c>
      <c r="M198" s="8" t="n">
        <v>2.32916140689856</v>
      </c>
      <c r="N198" s="8" t="n">
        <v>0.116666666666667</v>
      </c>
      <c r="O198" s="8" t="n">
        <v>-0.0266666666666667</v>
      </c>
      <c r="P198" s="8" t="n">
        <v>102.576666666667</v>
      </c>
      <c r="Q198" s="8" t="n">
        <v>-5.38662567255957</v>
      </c>
    </row>
    <row r="199" ht="19" customHeight="1">
      <c r="A199" s="6" t="inlineStr">
        <is>
          <t>Laos</t>
        </is>
      </c>
      <c r="B199" s="10" t="n">
        <v>2013</v>
      </c>
      <c r="C199" s="10" t="n">
        <v>3</v>
      </c>
      <c r="D199" s="6" t="inlineStr">
        <is>
          <t>2013 Q3</t>
        </is>
      </c>
      <c r="E199" s="8" t="n">
        <v>95.7445366666667</v>
      </c>
      <c r="F199" s="10" t="n">
        <v>7.04155621999847</v>
      </c>
      <c r="G199" s="10" t="n">
        <v>1.8564065768135</v>
      </c>
      <c r="H199" s="8" t="n">
        <v>8.018066549457521</v>
      </c>
      <c r="I199" s="9" t="inlineStr"/>
      <c r="J199" s="8" t="n">
        <v>141.457203953917</v>
      </c>
      <c r="K199" s="8" t="n">
        <v>7.97187186678339</v>
      </c>
      <c r="L199" s="8" t="n">
        <v>106.517639660823</v>
      </c>
      <c r="M199" s="8" t="n">
        <v>-4.91313637859304</v>
      </c>
      <c r="N199" s="8" t="n">
        <v>0.0833333333333333</v>
      </c>
      <c r="O199" s="8" t="n">
        <v>-0.0333333333333333</v>
      </c>
      <c r="P199" s="8" t="n">
        <v>110.27</v>
      </c>
      <c r="Q199" s="8" t="n">
        <v>0.599075538255689</v>
      </c>
    </row>
    <row r="200" ht="19" customHeight="1">
      <c r="A200" s="6" t="inlineStr">
        <is>
          <t>Laos</t>
        </is>
      </c>
      <c r="B200" s="10" t="n">
        <v>2013</v>
      </c>
      <c r="C200" s="10" t="n">
        <v>4</v>
      </c>
      <c r="D200" s="6" t="inlineStr">
        <is>
          <t>2013 Q4</t>
        </is>
      </c>
      <c r="E200" s="8" t="n">
        <v>96.4719333333333</v>
      </c>
      <c r="F200" s="10" t="n">
        <v>6.77280794830353</v>
      </c>
      <c r="G200" s="10" t="n">
        <v>0.759726551499318</v>
      </c>
      <c r="H200" s="8" t="n">
        <v>7.91961503370144</v>
      </c>
      <c r="I200" s="9" t="inlineStr"/>
      <c r="J200" s="8" t="n">
        <v>139.543719946047</v>
      </c>
      <c r="K200" s="8" t="n">
        <v>7.33136122982878</v>
      </c>
      <c r="L200" s="8" t="n">
        <v>108.042368791302</v>
      </c>
      <c r="M200" s="8" t="n">
        <v>-3.57114341043118</v>
      </c>
      <c r="N200" s="8" t="n">
        <v>0.0866666666666667</v>
      </c>
      <c r="O200" s="8" t="n">
        <v>0.0033333333333333</v>
      </c>
      <c r="P200" s="8" t="n">
        <v>109.21</v>
      </c>
      <c r="Q200" s="8" t="n">
        <v>-0.796342275782702</v>
      </c>
    </row>
    <row r="201" ht="19" customHeight="1">
      <c r="A201" s="6" t="inlineStr">
        <is>
          <t>Laos</t>
        </is>
      </c>
      <c r="B201" s="10" t="n">
        <v>2014</v>
      </c>
      <c r="C201" s="10" t="n">
        <v>1</v>
      </c>
      <c r="D201" s="6" t="inlineStr">
        <is>
          <t>2014 Q1</t>
        </is>
      </c>
      <c r="E201" s="8" t="n">
        <v>97.18880666666669</v>
      </c>
      <c r="F201" s="10" t="n">
        <v>5.65475297494418</v>
      </c>
      <c r="G201" s="10" t="n">
        <v>0.743090045533101</v>
      </c>
      <c r="H201" s="8" t="n">
        <v>7.78017132479342</v>
      </c>
      <c r="I201" s="9" t="inlineStr"/>
      <c r="J201" s="8" t="n">
        <v>140.597714118778</v>
      </c>
      <c r="K201" s="8" t="n">
        <v>5.85779393656631</v>
      </c>
      <c r="L201" s="8" t="n">
        <v>109.985285302654</v>
      </c>
      <c r="M201" s="8" t="n">
        <v>-2.09977699282194</v>
      </c>
      <c r="N201" s="8" t="n">
        <v>0.07333333333333331</v>
      </c>
      <c r="O201" s="8" t="n">
        <v>-0.0133333333333333</v>
      </c>
      <c r="P201" s="8" t="n">
        <v>108.166666666667</v>
      </c>
      <c r="Q201" s="8" t="n">
        <v>-3.84615384615383</v>
      </c>
    </row>
    <row r="202" ht="19" customHeight="1">
      <c r="A202" s="6" t="inlineStr">
        <is>
          <t>Laos</t>
        </is>
      </c>
      <c r="B202" s="10" t="n">
        <v>2014</v>
      </c>
      <c r="C202" s="10" t="n">
        <v>2</v>
      </c>
      <c r="D202" s="6" t="inlineStr">
        <is>
          <t>2014 Q2</t>
        </is>
      </c>
      <c r="E202" s="8" t="n">
        <v>98.4577666666667</v>
      </c>
      <c r="F202" s="10" t="n">
        <v>4.74283610728949</v>
      </c>
      <c r="G202" s="10" t="n">
        <v>1.30566476070872</v>
      </c>
      <c r="H202" s="8" t="n">
        <v>7.65711074711729</v>
      </c>
      <c r="I202" s="9" t="inlineStr"/>
      <c r="J202" s="8" t="n">
        <v>139.59080740912</v>
      </c>
      <c r="K202" s="8" t="n">
        <v>0.301533228541762</v>
      </c>
      <c r="L202" s="8" t="n">
        <v>111.498689744988</v>
      </c>
      <c r="M202" s="8" t="n">
        <v>0.26342483406061</v>
      </c>
      <c r="N202" s="8" t="n">
        <v>0.0933333333333333</v>
      </c>
      <c r="O202" s="8" t="n">
        <v>0.02</v>
      </c>
      <c r="P202" s="8" t="n">
        <v>109.7</v>
      </c>
      <c r="Q202" s="8" t="n">
        <v>6.94439931108439</v>
      </c>
    </row>
    <row r="203" ht="19" customHeight="1">
      <c r="A203" s="6" t="inlineStr">
        <is>
          <t>Laos</t>
        </is>
      </c>
      <c r="B203" s="10" t="n">
        <v>2014</v>
      </c>
      <c r="C203" s="10" t="n">
        <v>3</v>
      </c>
      <c r="D203" s="6" t="inlineStr">
        <is>
          <t>2014 Q3</t>
        </is>
      </c>
      <c r="E203" s="8" t="n">
        <v>99.05127666666669</v>
      </c>
      <c r="F203" s="10" t="n">
        <v>3.45371142325579</v>
      </c>
      <c r="G203" s="10" t="n">
        <v>0.602806685641522</v>
      </c>
      <c r="H203" s="8" t="n">
        <v>7.55043317763597</v>
      </c>
      <c r="I203" s="9" t="inlineStr"/>
      <c r="J203" s="8" t="n">
        <v>141.163185015967</v>
      </c>
      <c r="K203" s="8" t="n">
        <v>-0.207850098639328</v>
      </c>
      <c r="L203" s="8" t="n">
        <v>104.211407968198</v>
      </c>
      <c r="M203" s="8" t="n">
        <v>-2.16511715802957</v>
      </c>
      <c r="N203" s="8" t="n">
        <v>0.09</v>
      </c>
      <c r="O203" s="8" t="n">
        <v>-0.0033333333333333</v>
      </c>
      <c r="P203" s="8" t="n">
        <v>101.823333333333</v>
      </c>
      <c r="Q203" s="8" t="n">
        <v>-7.65998609473715</v>
      </c>
    </row>
    <row r="204" ht="19" customHeight="1">
      <c r="A204" s="6" t="inlineStr">
        <is>
          <t>Laos</t>
        </is>
      </c>
      <c r="B204" s="10" t="n">
        <v>2014</v>
      </c>
      <c r="C204" s="10" t="n">
        <v>4</v>
      </c>
      <c r="D204" s="6" t="inlineStr">
        <is>
          <t>2014 Q4</t>
        </is>
      </c>
      <c r="E204" s="8" t="n">
        <v>99.12222666666671</v>
      </c>
      <c r="F204" s="10" t="n">
        <v>2.74721697986082</v>
      </c>
      <c r="G204" s="10" t="n">
        <v>0.0716295664101141</v>
      </c>
      <c r="H204" s="8" t="n">
        <v>7.46013850964773</v>
      </c>
      <c r="I204" s="9" t="inlineStr"/>
      <c r="J204" s="8" t="n">
        <v>147.09207161131</v>
      </c>
      <c r="K204" s="8" t="n">
        <v>5.40930947532547</v>
      </c>
      <c r="L204" s="8" t="n">
        <v>99.4046630544031</v>
      </c>
      <c r="M204" s="8" t="n">
        <v>-7.9947393171137</v>
      </c>
      <c r="N204" s="8" t="n">
        <v>0.1</v>
      </c>
      <c r="O204" s="8" t="n">
        <v>0.01</v>
      </c>
      <c r="P204" s="8" t="n">
        <v>76.40333333333329</v>
      </c>
      <c r="Q204" s="8" t="n">
        <v>-30.0399841284376</v>
      </c>
    </row>
    <row r="205" ht="19" customHeight="1">
      <c r="A205" s="6" t="inlineStr">
        <is>
          <t>Laos</t>
        </is>
      </c>
      <c r="B205" s="10" t="n">
        <v>2015</v>
      </c>
      <c r="C205" s="10" t="n">
        <v>1</v>
      </c>
      <c r="D205" s="6" t="inlineStr">
        <is>
          <t>2015 Q1</t>
        </is>
      </c>
      <c r="E205" s="8" t="n">
        <v>98.70072</v>
      </c>
      <c r="F205" s="10" t="n">
        <v>1.55564553695862</v>
      </c>
      <c r="G205" s="10" t="n">
        <v>-0.425239303878977</v>
      </c>
      <c r="H205" s="8" t="n">
        <v>7.38622665287953</v>
      </c>
      <c r="I205" s="9" t="inlineStr"/>
      <c r="J205" s="8" t="n">
        <v>152.715911605448</v>
      </c>
      <c r="K205" s="8" t="n">
        <v>8.61905726037042</v>
      </c>
      <c r="L205" s="8" t="n">
        <v>100.657732001964</v>
      </c>
      <c r="M205" s="8" t="n">
        <v>-8.4807283765489</v>
      </c>
      <c r="N205" s="8" t="n">
        <v>0.11</v>
      </c>
      <c r="O205" s="8" t="n">
        <v>0.01</v>
      </c>
      <c r="P205" s="8" t="n">
        <v>53.9166666666667</v>
      </c>
      <c r="Q205" s="8" t="n">
        <v>-50.1540832049307</v>
      </c>
    </row>
    <row r="206" ht="19" customHeight="1">
      <c r="A206" s="6" t="inlineStr">
        <is>
          <t>Laos</t>
        </is>
      </c>
      <c r="B206" s="10" t="n">
        <v>2015</v>
      </c>
      <c r="C206" s="10" t="n">
        <v>2</v>
      </c>
      <c r="D206" s="6" t="inlineStr">
        <is>
          <t>2015 Q2</t>
        </is>
      </c>
      <c r="E206" s="8" t="n">
        <v>99.6098833333333</v>
      </c>
      <c r="F206" s="10" t="n">
        <v>1.17016331537074</v>
      </c>
      <c r="G206" s="10" t="n">
        <v>0.921131409510823</v>
      </c>
      <c r="H206" s="8" t="n">
        <v>7.31019762473993</v>
      </c>
      <c r="I206" s="9" t="inlineStr"/>
      <c r="J206" s="8" t="n">
        <v>154.848336134493</v>
      </c>
      <c r="K206" s="8" t="n">
        <v>10.9301815847053</v>
      </c>
      <c r="L206" s="8" t="n">
        <v>96.8474817130345</v>
      </c>
      <c r="M206" s="8" t="n">
        <v>-13.1402513029193</v>
      </c>
      <c r="N206" s="8" t="n">
        <v>0.123333333333333</v>
      </c>
      <c r="O206" s="8" t="n">
        <v>0.0133333333333333</v>
      </c>
      <c r="P206" s="8" t="n">
        <v>61.6933333333333</v>
      </c>
      <c r="Q206" s="8" t="n">
        <v>-43.761774536615</v>
      </c>
    </row>
    <row r="207" ht="19" customHeight="1">
      <c r="A207" s="6" t="inlineStr">
        <is>
          <t>Laos</t>
        </is>
      </c>
      <c r="B207" s="10" t="n">
        <v>2015</v>
      </c>
      <c r="C207" s="10" t="n">
        <v>3</v>
      </c>
      <c r="D207" s="6" t="inlineStr">
        <is>
          <t>2015 Q3</t>
        </is>
      </c>
      <c r="E207" s="8" t="n">
        <v>100.268116666667</v>
      </c>
      <c r="F207" s="10" t="n">
        <v>1.22849501889308</v>
      </c>
      <c r="G207" s="10" t="n">
        <v>0.660811268225903</v>
      </c>
      <c r="H207" s="8" t="n">
        <v>7.23205134922082</v>
      </c>
      <c r="I207" s="9" t="inlineStr"/>
      <c r="J207" s="8" t="n">
        <v>158.864907292338</v>
      </c>
      <c r="K207" s="8" t="n">
        <v>12.5399000273118</v>
      </c>
      <c r="L207" s="8" t="n">
        <v>92.7459060049042</v>
      </c>
      <c r="M207" s="8" t="n">
        <v>-11.002156277164</v>
      </c>
      <c r="N207" s="8" t="n">
        <v>0.136666666666667</v>
      </c>
      <c r="O207" s="8" t="n">
        <v>0.0133333333333333</v>
      </c>
      <c r="P207" s="8" t="n">
        <v>50.2333333333333</v>
      </c>
      <c r="Q207" s="8" t="n">
        <v>-50.666186532229</v>
      </c>
    </row>
    <row r="208" ht="19" customHeight="1">
      <c r="A208" s="6" t="inlineStr">
        <is>
          <t>Laos</t>
        </is>
      </c>
      <c r="B208" s="10" t="n">
        <v>2015</v>
      </c>
      <c r="C208" s="10" t="n">
        <v>4</v>
      </c>
      <c r="D208" s="6" t="inlineStr">
        <is>
          <t>2015 Q4</t>
        </is>
      </c>
      <c r="E208" s="8" t="n">
        <v>100.27184</v>
      </c>
      <c r="F208" s="10" t="n">
        <v>1.15979369309298</v>
      </c>
      <c r="G208" s="10" t="n">
        <v>0.0037133771502828</v>
      </c>
      <c r="H208" s="8" t="n">
        <v>7.15178774815868</v>
      </c>
      <c r="I208" s="9" t="inlineStr"/>
      <c r="J208" s="8" t="n">
        <v>161.942420519214</v>
      </c>
      <c r="K208" s="8" t="n">
        <v>10.0959546937007</v>
      </c>
      <c r="L208" s="8" t="n">
        <v>90.3005619231251</v>
      </c>
      <c r="M208" s="8" t="n">
        <v>-9.15862581446042</v>
      </c>
      <c r="N208" s="8" t="n">
        <v>0.16</v>
      </c>
      <c r="O208" s="8" t="n">
        <v>0.0233333333333333</v>
      </c>
      <c r="P208" s="8" t="n">
        <v>43.57</v>
      </c>
      <c r="Q208" s="8" t="n">
        <v>-42.9736922472842</v>
      </c>
    </row>
    <row r="209" ht="19" customHeight="1">
      <c r="A209" s="6" t="inlineStr">
        <is>
          <t>Laos</t>
        </is>
      </c>
      <c r="B209" s="10" t="n">
        <v>2016</v>
      </c>
      <c r="C209" s="10" t="n">
        <v>1</v>
      </c>
      <c r="D209" s="6" t="inlineStr">
        <is>
          <t>2016 Q1</t>
        </is>
      </c>
      <c r="E209" s="8" t="n">
        <v>99.77977</v>
      </c>
      <c r="F209" s="10" t="n">
        <v>1.09325443623915</v>
      </c>
      <c r="G209" s="10" t="n">
        <v>-0.490735983302992</v>
      </c>
      <c r="H209" s="8" t="n">
        <v>7.06940674130232</v>
      </c>
      <c r="I209" s="9" t="inlineStr"/>
      <c r="J209" s="8" t="n">
        <v>162.425190227477</v>
      </c>
      <c r="K209" s="8" t="n">
        <v>6.35773870578307</v>
      </c>
      <c r="L209" s="8" t="n">
        <v>91.66230580090431</v>
      </c>
      <c r="M209" s="8" t="n">
        <v>-8.936647013747329</v>
      </c>
      <c r="N209" s="8" t="n">
        <v>0.36</v>
      </c>
      <c r="O209" s="8" t="n">
        <v>0.2</v>
      </c>
      <c r="P209" s="8" t="n">
        <v>33.6966666666667</v>
      </c>
      <c r="Q209" s="8" t="n">
        <v>-37.5023183925811</v>
      </c>
    </row>
    <row r="210" ht="19" customHeight="1">
      <c r="A210" s="6" t="inlineStr">
        <is>
          <t>Laos</t>
        </is>
      </c>
      <c r="B210" s="10" t="n">
        <v>2016</v>
      </c>
      <c r="C210" s="10" t="n">
        <v>2</v>
      </c>
      <c r="D210" s="6" t="inlineStr">
        <is>
          <t>2016 Q2</t>
        </is>
      </c>
      <c r="E210" s="8" t="n">
        <v>100.858703333333</v>
      </c>
      <c r="F210" s="10" t="n">
        <v>1.25371093531048</v>
      </c>
      <c r="G210" s="10" t="n">
        <v>1.08131471272517</v>
      </c>
      <c r="H210" s="8" t="n">
        <v>7.01782616674709</v>
      </c>
      <c r="I210" s="9" t="inlineStr"/>
      <c r="J210" s="8" t="n">
        <v>159.9059300339</v>
      </c>
      <c r="K210" s="8" t="n">
        <v>3.26615966671642</v>
      </c>
      <c r="L210" s="8" t="n">
        <v>96.9846126235507</v>
      </c>
      <c r="M210" s="8" t="n">
        <v>0.141594709630688</v>
      </c>
      <c r="N210" s="8" t="n">
        <v>0.373333333333333</v>
      </c>
      <c r="O210" s="8" t="n">
        <v>0.0133333333333334</v>
      </c>
      <c r="P210" s="8" t="n">
        <v>45.5233333333333</v>
      </c>
      <c r="Q210" s="8" t="n">
        <v>-26.2102874432678</v>
      </c>
    </row>
    <row r="211" ht="19" customHeight="1">
      <c r="A211" s="6" t="inlineStr">
        <is>
          <t>Laos</t>
        </is>
      </c>
      <c r="B211" s="10" t="n">
        <v>2016</v>
      </c>
      <c r="C211" s="10" t="n">
        <v>3</v>
      </c>
      <c r="D211" s="6" t="inlineStr">
        <is>
          <t>2016 Q3</t>
        </is>
      </c>
      <c r="E211" s="8" t="n">
        <v>102.15992</v>
      </c>
      <c r="F211" s="10" t="n">
        <v>1.88674465645193</v>
      </c>
      <c r="G211" s="10" t="n">
        <v>1.29013820687958</v>
      </c>
      <c r="H211" s="8" t="n">
        <v>6.99704597294189</v>
      </c>
      <c r="I211" s="9" t="inlineStr"/>
      <c r="J211" s="8" t="n">
        <v>161.205305533476</v>
      </c>
      <c r="K211" s="8" t="n">
        <v>1.47320026872353</v>
      </c>
      <c r="L211" s="8" t="n">
        <v>100.864699533998</v>
      </c>
      <c r="M211" s="8" t="n">
        <v>8.75380259767431</v>
      </c>
      <c r="N211" s="8" t="n">
        <v>0.396666666666667</v>
      </c>
      <c r="O211" s="8" t="n">
        <v>0.0233333333333333</v>
      </c>
      <c r="P211" s="8" t="n">
        <v>45.7866666666667</v>
      </c>
      <c r="Q211" s="8" t="n">
        <v>-8.852023888520231</v>
      </c>
    </row>
    <row r="212" ht="19" customHeight="1">
      <c r="A212" s="6" t="inlineStr">
        <is>
          <t>Laos</t>
        </is>
      </c>
      <c r="B212" s="10" t="n">
        <v>2016</v>
      </c>
      <c r="C212" s="10" t="n">
        <v>4</v>
      </c>
      <c r="D212" s="6" t="inlineStr">
        <is>
          <t>2016 Q4</t>
        </is>
      </c>
      <c r="E212" s="8" t="n">
        <v>102.421456666667</v>
      </c>
      <c r="F212" s="10" t="n">
        <v>2.14378899067442</v>
      </c>
      <c r="G212" s="10" t="n">
        <v>0.256007117729418</v>
      </c>
      <c r="H212" s="8" t="n">
        <v>7.00706613906479</v>
      </c>
      <c r="I212" s="9" t="inlineStr"/>
      <c r="J212" s="8" t="n">
        <v>164.31033689507</v>
      </c>
      <c r="K212" s="8" t="n">
        <v>1.46219648209776</v>
      </c>
      <c r="L212" s="8" t="n">
        <v>101.835604997953</v>
      </c>
      <c r="M212" s="8" t="n">
        <v>12.7740545896579</v>
      </c>
      <c r="N212" s="8" t="n">
        <v>0.45</v>
      </c>
      <c r="O212" s="8" t="n">
        <v>0.0533333333333333</v>
      </c>
      <c r="P212" s="8" t="n">
        <v>49.1866666666667</v>
      </c>
      <c r="Q212" s="8" t="n">
        <v>12.8911330426134</v>
      </c>
    </row>
    <row r="213" ht="19" customHeight="1">
      <c r="A213" s="6" t="inlineStr">
        <is>
          <t>Laos</t>
        </is>
      </c>
      <c r="B213" s="10" t="n">
        <v>2017</v>
      </c>
      <c r="C213" s="10" t="n">
        <v>1</v>
      </c>
      <c r="D213" s="6" t="inlineStr">
        <is>
          <t>2017 Q1</t>
        </is>
      </c>
      <c r="E213" s="8" t="n">
        <v>101.671143333333</v>
      </c>
      <c r="F213" s="10" t="n">
        <v>1.89554789847013</v>
      </c>
      <c r="G213" s="10" t="n">
        <v>-0.732574362592064</v>
      </c>
      <c r="H213" s="8" t="n">
        <v>7.0478866751705</v>
      </c>
      <c r="I213" s="9" t="inlineStr"/>
      <c r="J213" s="8" t="n">
        <v>162.860067399009</v>
      </c>
      <c r="K213" s="8" t="n">
        <v>0.267739979817061</v>
      </c>
      <c r="L213" s="8" t="n">
        <v>100.125779631695</v>
      </c>
      <c r="M213" s="8" t="n">
        <v>9.23331980015236</v>
      </c>
      <c r="N213" s="8" t="n">
        <v>0.7</v>
      </c>
      <c r="O213" s="8" t="n">
        <v>0.25</v>
      </c>
      <c r="P213" s="8" t="n">
        <v>53.68</v>
      </c>
      <c r="Q213" s="8" t="n">
        <v>59.30359085963</v>
      </c>
    </row>
    <row r="214" ht="19" customHeight="1">
      <c r="A214" s="6" t="inlineStr">
        <is>
          <t>Laos</t>
        </is>
      </c>
      <c r="B214" s="10" t="n">
        <v>2017</v>
      </c>
      <c r="C214" s="10" t="n">
        <v>2</v>
      </c>
      <c r="D214" s="6" t="inlineStr">
        <is>
          <t>2017 Q2</t>
        </is>
      </c>
      <c r="E214" s="8" t="n">
        <v>101.866443333333</v>
      </c>
      <c r="F214" s="10" t="n">
        <v>0.999160178244085</v>
      </c>
      <c r="G214" s="10" t="n">
        <v>0.192089902402004</v>
      </c>
      <c r="H214" s="8" t="n">
        <v>7.00207260018713</v>
      </c>
      <c r="I214" s="9" t="inlineStr"/>
      <c r="J214" s="8" t="n">
        <v>158.608551402304</v>
      </c>
      <c r="K214" s="8" t="n">
        <v>-0.811338660999239</v>
      </c>
      <c r="L214" s="8" t="n">
        <v>99.4605526807123</v>
      </c>
      <c r="M214" s="8" t="n">
        <v>2.55292049963849</v>
      </c>
      <c r="N214" s="8" t="n">
        <v>0.95</v>
      </c>
      <c r="O214" s="8" t="n">
        <v>0.25</v>
      </c>
      <c r="P214" s="8" t="n">
        <v>49.67</v>
      </c>
      <c r="Q214" s="8" t="n">
        <v>9.10888189207</v>
      </c>
    </row>
    <row r="215" ht="19" customHeight="1">
      <c r="A215" s="6" t="inlineStr">
        <is>
          <t>Laos</t>
        </is>
      </c>
      <c r="B215" s="10" t="n">
        <v>2017</v>
      </c>
      <c r="C215" s="10" t="n">
        <v>3</v>
      </c>
      <c r="D215" s="6" t="inlineStr">
        <is>
          <t>2017 Q3</t>
        </is>
      </c>
      <c r="E215" s="8" t="n">
        <v>102.309293333333</v>
      </c>
      <c r="F215" s="10" t="n">
        <v>0.146215201943534</v>
      </c>
      <c r="G215" s="10" t="n">
        <v>0.434735900762617</v>
      </c>
      <c r="H215" s="8" t="n">
        <v>6.86962386832588</v>
      </c>
      <c r="I215" s="9" t="inlineStr"/>
      <c r="J215" s="8" t="n">
        <v>151.503083820774</v>
      </c>
      <c r="K215" s="8" t="n">
        <v>-6.01854987377423</v>
      </c>
      <c r="L215" s="8" t="n">
        <v>102.480667511988</v>
      </c>
      <c r="M215" s="8" t="n">
        <v>1.60211450136303</v>
      </c>
      <c r="N215" s="8" t="n">
        <v>1.15333333333333</v>
      </c>
      <c r="O215" s="8" t="n">
        <v>0.203333333333333</v>
      </c>
      <c r="P215" s="8" t="n">
        <v>52.11</v>
      </c>
      <c r="Q215" s="8" t="n">
        <v>13.8104251601631</v>
      </c>
    </row>
    <row r="216" ht="19" customHeight="1">
      <c r="A216" s="6" t="inlineStr">
        <is>
          <t>Laos</t>
        </is>
      </c>
      <c r="B216" s="10" t="n">
        <v>2017</v>
      </c>
      <c r="C216" s="10" t="n">
        <v>4</v>
      </c>
      <c r="D216" s="6" t="inlineStr">
        <is>
          <t>2017 Q4</t>
        </is>
      </c>
      <c r="E216" s="8" t="n">
        <v>102.717976666667</v>
      </c>
      <c r="F216" s="10" t="n">
        <v>0.28950964929646</v>
      </c>
      <c r="G216" s="10" t="n">
        <v>0.399458661103047</v>
      </c>
      <c r="H216" s="8" t="n">
        <v>6.65054034710756</v>
      </c>
      <c r="I216" s="9" t="inlineStr"/>
      <c r="J216" s="8" t="n">
        <v>150.52305248378</v>
      </c>
      <c r="K216" s="8" t="n">
        <v>-8.39100246023729</v>
      </c>
      <c r="L216" s="8" t="n">
        <v>100.792675769869</v>
      </c>
      <c r="M216" s="8" t="n">
        <v>-1.0241302421728</v>
      </c>
      <c r="N216" s="8" t="n">
        <v>1.20333333333333</v>
      </c>
      <c r="O216" s="8" t="n">
        <v>0.05</v>
      </c>
      <c r="P216" s="8" t="n">
        <v>61.53</v>
      </c>
      <c r="Q216" s="8" t="n">
        <v>25.0948766603416</v>
      </c>
    </row>
    <row r="217" ht="19" customHeight="1">
      <c r="A217" s="6" t="inlineStr">
        <is>
          <t>Laos</t>
        </is>
      </c>
      <c r="B217" s="10" t="n">
        <v>2018</v>
      </c>
      <c r="C217" s="10" t="n">
        <v>1</v>
      </c>
      <c r="D217" s="6" t="inlineStr">
        <is>
          <t>2018 Q1</t>
        </is>
      </c>
      <c r="E217" s="8" t="n">
        <v>103.230106666667</v>
      </c>
      <c r="F217" s="10" t="n">
        <v>1.53333904018587</v>
      </c>
      <c r="G217" s="10" t="n">
        <v>0.498578746018286</v>
      </c>
      <c r="H217" s="8" t="n">
        <v>6.34482181746769</v>
      </c>
      <c r="I217" s="9" t="inlineStr"/>
      <c r="J217" s="8" t="n">
        <v>146.338273001266</v>
      </c>
      <c r="K217" s="8" t="n">
        <v>-10.1447792952613</v>
      </c>
      <c r="L217" s="8" t="n">
        <v>96.02404012089779</v>
      </c>
      <c r="M217" s="8" t="n">
        <v>-4.09658683895945</v>
      </c>
      <c r="N217" s="8" t="n">
        <v>1.44666666666667</v>
      </c>
      <c r="O217" s="8" t="n">
        <v>0.243333333333333</v>
      </c>
      <c r="P217" s="8" t="n">
        <v>66.8066666666667</v>
      </c>
      <c r="Q217" s="8" t="n">
        <v>24.4535519125683</v>
      </c>
    </row>
    <row r="218" ht="19" customHeight="1">
      <c r="A218" s="6" t="inlineStr">
        <is>
          <t>Laos</t>
        </is>
      </c>
      <c r="B218" s="10" t="n">
        <v>2018</v>
      </c>
      <c r="C218" s="10" t="n">
        <v>2</v>
      </c>
      <c r="D218" s="6" t="inlineStr">
        <is>
          <t>2018 Q2</t>
        </is>
      </c>
      <c r="E218" s="8" t="n">
        <v>103.914083333333</v>
      </c>
      <c r="F218" s="10" t="n">
        <v>2.0101222080559</v>
      </c>
      <c r="G218" s="10" t="n">
        <v>0.6625747940717019</v>
      </c>
      <c r="H218" s="8" t="n">
        <v>6.18378974769721</v>
      </c>
      <c r="I218" s="9" t="inlineStr"/>
      <c r="J218" s="8" t="n">
        <v>148.146330198269</v>
      </c>
      <c r="K218" s="8" t="n">
        <v>-6.59625292049858</v>
      </c>
      <c r="L218" s="8" t="n">
        <v>96.1737638878632</v>
      </c>
      <c r="M218" s="8" t="n">
        <v>-3.30461545231933</v>
      </c>
      <c r="N218" s="8" t="n">
        <v>1.73666666666667</v>
      </c>
      <c r="O218" s="8" t="n">
        <v>0.29</v>
      </c>
      <c r="P218" s="8" t="n">
        <v>74.5</v>
      </c>
      <c r="Q218" s="8" t="n">
        <v>49.9899335615059</v>
      </c>
    </row>
    <row r="219" ht="19" customHeight="1">
      <c r="A219" s="6" t="inlineStr">
        <is>
          <t>Laos</t>
        </is>
      </c>
      <c r="B219" s="10" t="n">
        <v>2018</v>
      </c>
      <c r="C219" s="10" t="n">
        <v>3</v>
      </c>
      <c r="D219" s="6" t="inlineStr">
        <is>
          <t>2018 Q3</t>
        </is>
      </c>
      <c r="E219" s="8" t="n">
        <v>105.063146666667</v>
      </c>
      <c r="F219" s="10" t="n">
        <v>2.69169421819875</v>
      </c>
      <c r="G219" s="10" t="n">
        <v>1.10578210043715</v>
      </c>
      <c r="H219" s="8" t="n">
        <v>6.16744397676037</v>
      </c>
      <c r="I219" s="9" t="inlineStr"/>
      <c r="J219" s="8" t="n">
        <v>150.246960169516</v>
      </c>
      <c r="K219" s="8" t="n">
        <v>-0.829107645586924</v>
      </c>
      <c r="L219" s="8" t="n">
        <v>93.2694805076009</v>
      </c>
      <c r="M219" s="8" t="n">
        <v>-8.98821917149397</v>
      </c>
      <c r="N219" s="8" t="n">
        <v>1.92333333333333</v>
      </c>
      <c r="O219" s="8" t="n">
        <v>0.186666666666667</v>
      </c>
      <c r="P219" s="8" t="n">
        <v>75.2233333333333</v>
      </c>
      <c r="Q219" s="8" t="n">
        <v>44.3548902961683</v>
      </c>
    </row>
    <row r="220" ht="19" customHeight="1">
      <c r="A220" s="6" t="inlineStr">
        <is>
          <t>Laos</t>
        </is>
      </c>
      <c r="B220" s="10" t="n">
        <v>2018</v>
      </c>
      <c r="C220" s="10" t="n">
        <v>4</v>
      </c>
      <c r="D220" s="6" t="inlineStr">
        <is>
          <t>2018 Q4</t>
        </is>
      </c>
      <c r="E220" s="8" t="n">
        <v>104.693846666667</v>
      </c>
      <c r="F220" s="10" t="n">
        <v>1.92358734480524</v>
      </c>
      <c r="G220" s="10" t="n">
        <v>-0.35150289299033</v>
      </c>
      <c r="H220" s="8" t="n">
        <v>6.29578448831366</v>
      </c>
      <c r="I220" s="9" t="inlineStr"/>
      <c r="J220" s="8" t="n">
        <v>149.783195151236</v>
      </c>
      <c r="K220" s="8" t="n">
        <v>-0.491524268432941</v>
      </c>
      <c r="L220" s="8" t="n">
        <v>90.7369363173618</v>
      </c>
      <c r="M220" s="8" t="n">
        <v>-9.976656910534739</v>
      </c>
      <c r="N220" s="8" t="n">
        <v>2.22</v>
      </c>
      <c r="O220" s="8" t="n">
        <v>0.296666666666667</v>
      </c>
      <c r="P220" s="8" t="n">
        <v>67.7133333333333</v>
      </c>
      <c r="Q220" s="8" t="n">
        <v>10.0492984452029</v>
      </c>
    </row>
    <row r="221" ht="19" customHeight="1">
      <c r="A221" s="6" t="inlineStr">
        <is>
          <t>Laos</t>
        </is>
      </c>
      <c r="B221" s="10" t="n">
        <v>2019</v>
      </c>
      <c r="C221" s="10" t="n">
        <v>1</v>
      </c>
      <c r="D221" s="6" t="inlineStr">
        <is>
          <t>2019 Q1</t>
        </is>
      </c>
      <c r="E221" s="8" t="n">
        <v>104.861023333333</v>
      </c>
      <c r="F221" s="10" t="n">
        <v>1.57988470546964</v>
      </c>
      <c r="G221" s="10" t="n">
        <v>0.15968146360974</v>
      </c>
      <c r="H221" s="8" t="n">
        <v>6.56881141070119</v>
      </c>
      <c r="I221" s="9" t="inlineStr"/>
      <c r="J221" s="8" t="n">
        <v>148.154079105405</v>
      </c>
      <c r="K221" s="8" t="n">
        <v>1.24082788931308</v>
      </c>
      <c r="L221" s="8" t="n">
        <v>93.8324987094736</v>
      </c>
      <c r="M221" s="8" t="n">
        <v>-2.2822841120463</v>
      </c>
      <c r="N221" s="8" t="n">
        <v>2.40333333333333</v>
      </c>
      <c r="O221" s="8" t="n">
        <v>0.183333333333333</v>
      </c>
      <c r="P221" s="8" t="n">
        <v>63.17</v>
      </c>
      <c r="Q221" s="8" t="n">
        <v>-5.4435685061371</v>
      </c>
    </row>
    <row r="222" ht="19" customHeight="1">
      <c r="A222" s="6" t="inlineStr">
        <is>
          <t>Laos</t>
        </is>
      </c>
      <c r="B222" s="10" t="n">
        <v>2019</v>
      </c>
      <c r="C222" s="10" t="n">
        <v>2</v>
      </c>
      <c r="D222" s="6" t="inlineStr">
        <is>
          <t>2019 Q2</t>
        </is>
      </c>
      <c r="E222" s="8" t="n">
        <v>106.419573333333</v>
      </c>
      <c r="F222" s="10" t="n">
        <v>2.41111687620141</v>
      </c>
      <c r="G222" s="10" t="n">
        <v>1.48630058190988</v>
      </c>
      <c r="H222" s="8" t="n">
        <v>6.23359188080736</v>
      </c>
      <c r="I222" s="9" t="inlineStr"/>
      <c r="J222" s="8" t="n">
        <v>148.571776044607</v>
      </c>
      <c r="K222" s="8" t="n">
        <v>0.287179470303567</v>
      </c>
      <c r="L222" s="8" t="n">
        <v>94.8842784155444</v>
      </c>
      <c r="M222" s="8" t="n">
        <v>-1.34078715461562</v>
      </c>
      <c r="N222" s="8" t="n">
        <v>2.39666666666667</v>
      </c>
      <c r="O222" s="8" t="n">
        <v>-0.0066666666666668</v>
      </c>
      <c r="P222" s="8" t="n">
        <v>68.9233333333333</v>
      </c>
      <c r="Q222" s="8" t="n">
        <v>-7.48545861297539</v>
      </c>
    </row>
    <row r="223" ht="19" customHeight="1">
      <c r="A223" s="6" t="inlineStr">
        <is>
          <t>Laos</t>
        </is>
      </c>
      <c r="B223" s="10" t="n">
        <v>2019</v>
      </c>
      <c r="C223" s="10" t="n">
        <v>3</v>
      </c>
      <c r="D223" s="6" t="inlineStr">
        <is>
          <t>2019 Q3</t>
        </is>
      </c>
      <c r="E223" s="8" t="n">
        <v>108.65835</v>
      </c>
      <c r="F223" s="10" t="n">
        <v>3.42194522760662</v>
      </c>
      <c r="G223" s="10" t="n">
        <v>2.10372640722234</v>
      </c>
      <c r="H223" s="8" t="n">
        <v>5.29012556340512</v>
      </c>
      <c r="I223" s="9" t="inlineStr"/>
      <c r="J223" s="8" t="n">
        <v>147.191215571596</v>
      </c>
      <c r="K223" s="8" t="n">
        <v>-2.03381459063974</v>
      </c>
      <c r="L223" s="8" t="n">
        <v>94.5983508132319</v>
      </c>
      <c r="M223" s="8" t="n">
        <v>1.42476434777905</v>
      </c>
      <c r="N223" s="8" t="n">
        <v>2.19</v>
      </c>
      <c r="O223" s="8" t="n">
        <v>-0.206666666666667</v>
      </c>
      <c r="P223" s="8" t="n">
        <v>61.93</v>
      </c>
      <c r="Q223" s="8" t="n">
        <v>-17.6718216865334</v>
      </c>
    </row>
    <row r="224" ht="19" customHeight="1">
      <c r="A224" s="6" t="inlineStr">
        <is>
          <t>Laos</t>
        </is>
      </c>
      <c r="B224" s="10" t="n">
        <v>2019</v>
      </c>
      <c r="C224" s="10" t="n">
        <v>4</v>
      </c>
      <c r="D224" s="6" t="inlineStr">
        <is>
          <t>2019 Q4</t>
        </is>
      </c>
      <c r="E224" s="8" t="n">
        <v>110.814023333333</v>
      </c>
      <c r="F224" s="10" t="n">
        <v>5.8457845055141</v>
      </c>
      <c r="G224" s="10" t="n">
        <v>1.98390030157216</v>
      </c>
      <c r="H224" s="8" t="n">
        <v>3.73841151503471</v>
      </c>
      <c r="I224" s="9" t="inlineStr"/>
      <c r="J224" s="8" t="n">
        <v>147.529247410385</v>
      </c>
      <c r="K224" s="8" t="n">
        <v>-1.50480682333942</v>
      </c>
      <c r="L224" s="8" t="n">
        <v>98.5900431134575</v>
      </c>
      <c r="M224" s="8" t="n">
        <v>8.654807088293911</v>
      </c>
      <c r="N224" s="8" t="n">
        <v>1.64333333333333</v>
      </c>
      <c r="O224" s="8" t="n">
        <v>-0.546666666666667</v>
      </c>
      <c r="P224" s="8" t="n">
        <v>63.41</v>
      </c>
      <c r="Q224" s="8" t="n">
        <v>-6.35522299891701</v>
      </c>
    </row>
    <row r="225" ht="19" customHeight="1">
      <c r="A225" s="6" t="inlineStr">
        <is>
          <t>Laos</t>
        </is>
      </c>
      <c r="B225" s="10" t="n">
        <v>2020</v>
      </c>
      <c r="C225" s="10" t="n">
        <v>1</v>
      </c>
      <c r="D225" s="6" t="inlineStr">
        <is>
          <t>2020 Q1</t>
        </is>
      </c>
      <c r="E225" s="8" t="n">
        <v>111.612376666667</v>
      </c>
      <c r="F225" s="10" t="n">
        <v>6.4383820782218</v>
      </c>
      <c r="G225" s="10" t="n">
        <v>0.720444316809843</v>
      </c>
      <c r="H225" s="8" t="n">
        <v>1.57844818398955</v>
      </c>
      <c r="I225" s="9" t="inlineStr"/>
      <c r="J225" s="8" t="n">
        <v>151.862762065351</v>
      </c>
      <c r="K225" s="8" t="n">
        <v>2.5032607825181</v>
      </c>
      <c r="L225" s="8" t="n">
        <v>101.264856657347</v>
      </c>
      <c r="M225" s="8" t="n">
        <v>7.92087821393919</v>
      </c>
      <c r="N225" s="8" t="n">
        <v>1.26</v>
      </c>
      <c r="O225" s="8" t="n">
        <v>-0.383333333333333</v>
      </c>
      <c r="P225" s="8" t="n">
        <v>50.44</v>
      </c>
      <c r="Q225" s="8" t="n">
        <v>-20.1519708722495</v>
      </c>
    </row>
    <row r="226" ht="19" customHeight="1">
      <c r="A226" s="6" t="inlineStr">
        <is>
          <t>Laos</t>
        </is>
      </c>
      <c r="B226" s="10" t="n">
        <v>2020</v>
      </c>
      <c r="C226" s="10" t="n">
        <v>2</v>
      </c>
      <c r="D226" s="6" t="inlineStr">
        <is>
          <t>2020 Q2</t>
        </is>
      </c>
      <c r="E226" s="8" t="n">
        <v>112.348476666667</v>
      </c>
      <c r="F226" s="10" t="n">
        <v>5.57125268183749</v>
      </c>
      <c r="G226" s="10" t="n">
        <v>0.659514672103434</v>
      </c>
      <c r="H226" s="8" t="n">
        <v>0.284296870070841</v>
      </c>
      <c r="I226" s="9" t="inlineStr"/>
      <c r="J226" s="8" t="n">
        <v>154.972074494507</v>
      </c>
      <c r="K226" s="8" t="n">
        <v>4.30788311232062</v>
      </c>
      <c r="L226" s="8" t="n">
        <v>94.2610802411244</v>
      </c>
      <c r="M226" s="8" t="n">
        <v>-0.656798138560644</v>
      </c>
      <c r="N226" s="8" t="n">
        <v>0.06</v>
      </c>
      <c r="O226" s="8" t="n">
        <v>-1.2</v>
      </c>
      <c r="P226" s="8" t="n">
        <v>29.3433333333333</v>
      </c>
      <c r="Q226" s="8" t="n">
        <v>-57.426125646854</v>
      </c>
    </row>
    <row r="227" ht="19" customHeight="1">
      <c r="A227" s="6" t="inlineStr">
        <is>
          <t>Laos</t>
        </is>
      </c>
      <c r="B227" s="10" t="n">
        <v>2020</v>
      </c>
      <c r="C227" s="10" t="n">
        <v>3</v>
      </c>
      <c r="D227" s="6" t="inlineStr">
        <is>
          <t>2020 Q3</t>
        </is>
      </c>
      <c r="E227" s="8" t="n">
        <v>114.350286666667</v>
      </c>
      <c r="F227" s="10" t="n">
        <v>5.23837944038967</v>
      </c>
      <c r="G227" s="10" t="n">
        <v>1.78178650872078</v>
      </c>
      <c r="H227" s="8" t="n">
        <v>-0.14404372084654</v>
      </c>
      <c r="I227" s="9" t="inlineStr"/>
      <c r="J227" s="8" t="n">
        <v>147.497444036377</v>
      </c>
      <c r="K227" s="8" t="n">
        <v>0.208048057482424</v>
      </c>
      <c r="L227" s="8" t="n">
        <v>97.88852553233011</v>
      </c>
      <c r="M227" s="8" t="n">
        <v>3.47804659469599</v>
      </c>
      <c r="N227" s="8" t="n">
        <v>0.0933333333333333</v>
      </c>
      <c r="O227" s="8" t="n">
        <v>0.0333333333333333</v>
      </c>
      <c r="P227" s="8" t="n">
        <v>42.9633333333333</v>
      </c>
      <c r="Q227" s="8" t="n">
        <v>-30.6259755638086</v>
      </c>
    </row>
    <row r="228" ht="19" customHeight="1">
      <c r="A228" s="6" t="inlineStr">
        <is>
          <t>Laos</t>
        </is>
      </c>
      <c r="B228" s="10" t="n">
        <v>2020</v>
      </c>
      <c r="C228" s="10" t="n">
        <v>4</v>
      </c>
      <c r="D228" s="6" t="inlineStr">
        <is>
          <t>2020 Q4</t>
        </is>
      </c>
      <c r="E228" s="8" t="n">
        <v>114.42779</v>
      </c>
      <c r="F228" s="10" t="n">
        <v>3.26110952202889</v>
      </c>
      <c r="G228" s="10" t="n">
        <v>0.0677771220279233</v>
      </c>
      <c r="H228" s="8" t="n">
        <v>0.293425982863218</v>
      </c>
      <c r="I228" s="9" t="inlineStr"/>
      <c r="J228" s="8" t="n">
        <v>142.160071703334</v>
      </c>
      <c r="K228" s="8" t="n">
        <v>-3.63939747629488</v>
      </c>
      <c r="L228" s="8" t="n">
        <v>107.405441783652</v>
      </c>
      <c r="M228" s="8" t="n">
        <v>8.9414695356711</v>
      </c>
      <c r="N228" s="8" t="n">
        <v>0.09</v>
      </c>
      <c r="O228" s="8" t="n">
        <v>-0.0033333333333333</v>
      </c>
      <c r="P228" s="8" t="n">
        <v>44.29</v>
      </c>
      <c r="Q228" s="8" t="n">
        <v>-30.152972717237</v>
      </c>
    </row>
    <row r="229" ht="19" customHeight="1">
      <c r="A229" s="6" t="inlineStr">
        <is>
          <t>Laos</t>
        </is>
      </c>
      <c r="B229" s="10" t="n">
        <v>2021</v>
      </c>
      <c r="C229" s="10" t="n">
        <v>1</v>
      </c>
      <c r="D229" s="6" t="inlineStr">
        <is>
          <t>2021 Q1</t>
        </is>
      </c>
      <c r="E229" s="8" t="n">
        <v>114.023433333333</v>
      </c>
      <c r="F229" s="10" t="n">
        <v>2.1602054706418</v>
      </c>
      <c r="G229" s="10" t="n">
        <v>-0.353372783540318</v>
      </c>
      <c r="H229" s="8" t="n">
        <v>1.59670641869024</v>
      </c>
      <c r="I229" s="9" t="inlineStr"/>
      <c r="J229" s="8" t="n">
        <v>140.323890726339</v>
      </c>
      <c r="K229" s="8" t="n">
        <v>-7.59822301536078</v>
      </c>
      <c r="L229" s="8" t="n">
        <v>106.418456967928</v>
      </c>
      <c r="M229" s="8" t="n">
        <v>5.08922886053087</v>
      </c>
      <c r="N229" s="8" t="n">
        <v>0.08</v>
      </c>
      <c r="O229" s="8" t="n">
        <v>-0.01</v>
      </c>
      <c r="P229" s="8" t="n">
        <v>60.82</v>
      </c>
      <c r="Q229" s="8" t="n">
        <v>20.578905630452</v>
      </c>
    </row>
    <row r="230" ht="19" customHeight="1">
      <c r="A230" s="6" t="inlineStr">
        <is>
          <t>Laos</t>
        </is>
      </c>
      <c r="B230" s="10" t="n">
        <v>2021</v>
      </c>
      <c r="C230" s="10" t="n">
        <v>2</v>
      </c>
      <c r="D230" s="6" t="inlineStr">
        <is>
          <t>2021 Q2</t>
        </is>
      </c>
      <c r="E230" s="8" t="n">
        <v>116.379966666667</v>
      </c>
      <c r="F230" s="10" t="n">
        <v>3.58837976233648</v>
      </c>
      <c r="G230" s="10" t="n">
        <v>2.06670967926768</v>
      </c>
      <c r="H230" s="8" t="n">
        <v>2.49067602144546</v>
      </c>
      <c r="I230" s="9" t="inlineStr"/>
      <c r="J230" s="8" t="n">
        <v>142.427000703407</v>
      </c>
      <c r="K230" s="8" t="n">
        <v>-8.095054436110781</v>
      </c>
      <c r="L230" s="8" t="n">
        <v>114.551815876528</v>
      </c>
      <c r="M230" s="8" t="n">
        <v>21.5261013172124</v>
      </c>
      <c r="N230" s="8" t="n">
        <v>0.07000000000000001</v>
      </c>
      <c r="O230" s="8" t="n">
        <v>-0.01</v>
      </c>
      <c r="P230" s="8" t="n">
        <v>68.8333333333333</v>
      </c>
      <c r="Q230" s="8" t="n">
        <v>134.579120754288</v>
      </c>
    </row>
    <row r="231" ht="19" customHeight="1">
      <c r="A231" s="6" t="inlineStr">
        <is>
          <t>Laos</t>
        </is>
      </c>
      <c r="B231" s="10" t="n">
        <v>2021</v>
      </c>
      <c r="C231" s="10" t="n">
        <v>3</v>
      </c>
      <c r="D231" s="6" t="inlineStr">
        <is>
          <t>2021 Q3</t>
        </is>
      </c>
      <c r="E231" s="8" t="n">
        <v>119.1797</v>
      </c>
      <c r="F231" s="10" t="n">
        <v>4.22335043847435</v>
      </c>
      <c r="G231" s="10" t="n">
        <v>2.40568322325807</v>
      </c>
      <c r="H231" s="8" t="n">
        <v>2.97533568506898</v>
      </c>
      <c r="I231" s="9" t="inlineStr"/>
      <c r="J231" s="8" t="n">
        <v>144.085634413595</v>
      </c>
      <c r="K231" s="8" t="n">
        <v>-2.31313135293447</v>
      </c>
      <c r="L231" s="8" t="n">
        <v>116.298331246585</v>
      </c>
      <c r="M231" s="8" t="n">
        <v>18.8069087915464</v>
      </c>
      <c r="N231" s="8" t="n">
        <v>0.09</v>
      </c>
      <c r="O231" s="8" t="n">
        <v>0.02</v>
      </c>
      <c r="P231" s="8" t="n">
        <v>73.47</v>
      </c>
      <c r="Q231" s="8" t="n">
        <v>71.0062844285825</v>
      </c>
    </row>
    <row r="232" ht="19" customHeight="1">
      <c r="A232" s="6" t="inlineStr">
        <is>
          <t>Laos</t>
        </is>
      </c>
      <c r="B232" s="10" t="n">
        <v>2021</v>
      </c>
      <c r="C232" s="10" t="n">
        <v>4</v>
      </c>
      <c r="D232" s="6" t="inlineStr">
        <is>
          <t>2021 Q4</t>
        </is>
      </c>
      <c r="E232" s="8" t="n">
        <v>120.158966666667</v>
      </c>
      <c r="F232" s="10" t="n">
        <v>5.00855313789306</v>
      </c>
      <c r="G232" s="10" t="n">
        <v>0.821672370937909</v>
      </c>
      <c r="H232" s="8" t="n">
        <v>3.05068589424845</v>
      </c>
      <c r="I232" s="9" t="inlineStr"/>
      <c r="J232" s="8" t="n">
        <v>133.567363906585</v>
      </c>
      <c r="K232" s="8" t="n">
        <v>-6.04438904243199</v>
      </c>
      <c r="L232" s="8" t="n">
        <v>122.679602624024</v>
      </c>
      <c r="M232" s="8" t="n">
        <v>14.2210306914792</v>
      </c>
      <c r="N232" s="8" t="n">
        <v>0.08</v>
      </c>
      <c r="O232" s="8" t="n">
        <v>-0.01</v>
      </c>
      <c r="P232" s="8" t="n">
        <v>79.5866666666667</v>
      </c>
      <c r="Q232" s="8" t="n">
        <v>79.69443817265</v>
      </c>
    </row>
    <row r="233" ht="19" customHeight="1">
      <c r="A233" s="6" t="inlineStr">
        <is>
          <t>Laos</t>
        </is>
      </c>
      <c r="B233" s="10" t="n">
        <v>2022</v>
      </c>
      <c r="C233" s="10" t="n">
        <v>1</v>
      </c>
      <c r="D233" s="6" t="inlineStr">
        <is>
          <t>2022 Q1</t>
        </is>
      </c>
      <c r="E233" s="8" t="n">
        <v>122.423366666667</v>
      </c>
      <c r="F233" s="10" t="n">
        <v>7.36684827650924</v>
      </c>
      <c r="G233" s="10" t="n">
        <v>1.88450355626115</v>
      </c>
      <c r="H233" s="8" t="n">
        <v>2.71672672432259</v>
      </c>
      <c r="I233" s="9" t="inlineStr"/>
      <c r="J233" s="8" t="n">
        <v>126.964818193009</v>
      </c>
      <c r="K233" s="8" t="n">
        <v>-9.52016970466085</v>
      </c>
      <c r="L233" s="8" t="n">
        <v>124.25343875034</v>
      </c>
      <c r="M233" s="8" t="n">
        <v>16.7592937264516</v>
      </c>
      <c r="N233" s="8" t="n">
        <v>0.12</v>
      </c>
      <c r="O233" s="8" t="n">
        <v>0.04</v>
      </c>
      <c r="P233" s="8" t="n">
        <v>100.296666666667</v>
      </c>
      <c r="Q233" s="8" t="n">
        <v>64.9073769593335</v>
      </c>
    </row>
    <row r="234" ht="19" customHeight="1">
      <c r="A234" s="6" t="inlineStr">
        <is>
          <t>Laos</t>
        </is>
      </c>
      <c r="B234" s="10" t="n">
        <v>2022</v>
      </c>
      <c r="C234" s="10" t="n">
        <v>2</v>
      </c>
      <c r="D234" s="6" t="inlineStr">
        <is>
          <t>2022 Q2</t>
        </is>
      </c>
      <c r="E234" s="8" t="n">
        <v>134.345866666667</v>
      </c>
      <c r="F234" s="10" t="n">
        <v>15.4372788672965</v>
      </c>
      <c r="G234" s="10" t="n">
        <v>9.738745408352051</v>
      </c>
      <c r="H234" s="8" t="n">
        <v>2.57942302618465</v>
      </c>
      <c r="I234" s="9" t="inlineStr"/>
      <c r="J234" s="8" t="n">
        <v>122.253021901063</v>
      </c>
      <c r="K234" s="8" t="n">
        <v>-14.1644342032832</v>
      </c>
      <c r="L234" s="8" t="n">
        <v>134.351432934678</v>
      </c>
      <c r="M234" s="8" t="n">
        <v>17.2844200736996</v>
      </c>
      <c r="N234" s="8" t="n">
        <v>0.77</v>
      </c>
      <c r="O234" s="8" t="n">
        <v>0.65</v>
      </c>
      <c r="P234" s="8" t="n">
        <v>113.543333333333</v>
      </c>
      <c r="Q234" s="8" t="n">
        <v>64.95399515738499</v>
      </c>
    </row>
    <row r="235" ht="19" customHeight="1">
      <c r="A235" s="6" t="inlineStr">
        <is>
          <t>Laos</t>
        </is>
      </c>
      <c r="B235" s="10" t="n">
        <v>2022</v>
      </c>
      <c r="C235" s="10" t="n">
        <v>3</v>
      </c>
      <c r="D235" s="6" t="inlineStr">
        <is>
          <t>2022 Q3</t>
        </is>
      </c>
      <c r="E235" s="8" t="n">
        <v>154.796733333333</v>
      </c>
      <c r="F235" s="10" t="n">
        <v>29.8851510226434</v>
      </c>
      <c r="G235" s="10" t="n">
        <v>15.2225499556369</v>
      </c>
      <c r="H235" s="8" t="n">
        <v>2.63877466253312</v>
      </c>
      <c r="I235" s="9" t="inlineStr"/>
      <c r="J235" s="8" t="n">
        <v>122.674915177071</v>
      </c>
      <c r="K235" s="8" t="n">
        <v>-14.8597181972105</v>
      </c>
      <c r="L235" s="8" t="n">
        <v>118.584751746656</v>
      </c>
      <c r="M235" s="8" t="n">
        <v>1.96599596534466</v>
      </c>
      <c r="N235" s="8" t="n">
        <v>2.19</v>
      </c>
      <c r="O235" s="8" t="n">
        <v>1.42</v>
      </c>
      <c r="P235" s="8" t="n">
        <v>100.713333333333</v>
      </c>
      <c r="Q235" s="8" t="n">
        <v>37.0808946962479</v>
      </c>
    </row>
    <row r="236" ht="19" customHeight="1">
      <c r="A236" s="6" t="inlineStr">
        <is>
          <t>Laos</t>
        </is>
      </c>
      <c r="B236" s="10" t="n">
        <v>2022</v>
      </c>
      <c r="C236" s="10" t="n">
        <v>4</v>
      </c>
      <c r="D236" s="6" t="inlineStr">
        <is>
          <t>2022 Q4</t>
        </is>
      </c>
      <c r="E236" s="8" t="n">
        <v>166.011166666667</v>
      </c>
      <c r="F236" s="10" t="n">
        <v>38.1596157756572</v>
      </c>
      <c r="G236" s="10" t="n">
        <v>7.24461885715932</v>
      </c>
      <c r="H236" s="8" t="n">
        <v>2.89478169270697</v>
      </c>
      <c r="I236" s="9" t="inlineStr"/>
      <c r="J236" s="8" t="n">
        <v>120.053556815065</v>
      </c>
      <c r="K236" s="8" t="n">
        <v>-10.1175966166191</v>
      </c>
      <c r="L236" s="8" t="n">
        <v>115.210051245214</v>
      </c>
      <c r="M236" s="8" t="n">
        <v>-6.08866610181539</v>
      </c>
      <c r="N236" s="8" t="n">
        <v>3.65333333333333</v>
      </c>
      <c r="O236" s="8" t="n">
        <v>1.46333333333333</v>
      </c>
      <c r="P236" s="8" t="n">
        <v>88.5566666666667</v>
      </c>
      <c r="Q236" s="8" t="n">
        <v>11.2707321159323</v>
      </c>
    </row>
    <row r="237" ht="19" customHeight="1">
      <c r="A237" s="6" t="inlineStr">
        <is>
          <t>Laos</t>
        </is>
      </c>
      <c r="B237" s="10" t="n">
        <v>2023</v>
      </c>
      <c r="C237" s="10" t="n">
        <v>1</v>
      </c>
      <c r="D237" s="6" t="inlineStr">
        <is>
          <t>2023 Q1</t>
        </is>
      </c>
      <c r="E237" s="8" t="n">
        <v>172.4292</v>
      </c>
      <c r="F237" s="10" t="n">
        <v>40.8466412049334</v>
      </c>
      <c r="G237" s="10" t="n">
        <v>3.86602507662637</v>
      </c>
      <c r="H237" s="8" t="n">
        <v>3.34744437270419</v>
      </c>
      <c r="I237" s="9" t="inlineStr"/>
      <c r="J237" s="8" t="n">
        <v>122.955243387835</v>
      </c>
      <c r="K237" s="8" t="n">
        <v>-3.1580203573232</v>
      </c>
      <c r="L237" s="8" t="n">
        <v>114.034689515825</v>
      </c>
      <c r="M237" s="8" t="n">
        <v>-8.224117849203459</v>
      </c>
      <c r="N237" s="8" t="n">
        <v>4.51666666666667</v>
      </c>
      <c r="O237" s="8" t="n">
        <v>0.863333333333333</v>
      </c>
      <c r="P237" s="8" t="n">
        <v>81.1733333333333</v>
      </c>
      <c r="Q237" s="8" t="n">
        <v>-19.0667685865266</v>
      </c>
    </row>
    <row r="238" ht="19" customHeight="1">
      <c r="A238" s="6" t="inlineStr">
        <is>
          <t>Laos</t>
        </is>
      </c>
      <c r="B238" s="10" t="n">
        <v>2023</v>
      </c>
      <c r="C238" s="10" t="n">
        <v>2</v>
      </c>
      <c r="D238" s="6" t="inlineStr">
        <is>
          <t>2023 Q2</t>
        </is>
      </c>
      <c r="E238" s="8" t="n">
        <v>182.066166666667</v>
      </c>
      <c r="F238" s="10" t="n">
        <v>35.5204824562274</v>
      </c>
      <c r="G238" s="10" t="n">
        <v>5.58894123887756</v>
      </c>
      <c r="H238" s="8" t="n">
        <v>3.6878040973156</v>
      </c>
      <c r="I238" s="9" t="inlineStr"/>
      <c r="J238" s="8" t="n">
        <v>123.796561891172</v>
      </c>
      <c r="K238" s="8" t="n">
        <v>1.26257818915767</v>
      </c>
      <c r="L238" s="8" t="n">
        <v>109.857789884183</v>
      </c>
      <c r="M238" s="8" t="n">
        <v>-18.2310247948031</v>
      </c>
      <c r="N238" s="8" t="n">
        <v>4.99</v>
      </c>
      <c r="O238" s="8" t="n">
        <v>0.473333333333334</v>
      </c>
      <c r="P238" s="8" t="n">
        <v>78.31666666666671</v>
      </c>
      <c r="Q238" s="8" t="n">
        <v>-31.0248656900449</v>
      </c>
    </row>
    <row r="239" ht="19" customHeight="1">
      <c r="A239" s="6" t="inlineStr">
        <is>
          <t>Laos</t>
        </is>
      </c>
      <c r="B239" s="10" t="n">
        <v>2023</v>
      </c>
      <c r="C239" s="10" t="n">
        <v>3</v>
      </c>
      <c r="D239" s="6" t="inlineStr">
        <is>
          <t>2023 Q3</t>
        </is>
      </c>
      <c r="E239" s="8" t="n">
        <v>195.7106</v>
      </c>
      <c r="F239" s="10" t="n">
        <v>26.4307041793733</v>
      </c>
      <c r="G239" s="10" t="n">
        <v>7.49421684607336</v>
      </c>
      <c r="H239" s="8" t="n">
        <v>3.91586120687685</v>
      </c>
      <c r="I239" s="9" t="inlineStr"/>
      <c r="J239" s="8" t="n">
        <v>122.220637936048</v>
      </c>
      <c r="K239" s="8" t="n">
        <v>-0.370309806505542</v>
      </c>
      <c r="L239" s="8" t="n">
        <v>107.510614988168</v>
      </c>
      <c r="M239" s="8" t="n">
        <v>-9.338584088911441</v>
      </c>
      <c r="N239" s="8" t="n">
        <v>5.26</v>
      </c>
      <c r="O239" s="8" t="n">
        <v>0.27</v>
      </c>
      <c r="P239" s="8" t="n">
        <v>86.66</v>
      </c>
      <c r="Q239" s="8" t="n">
        <v>-13.9537962533925</v>
      </c>
    </row>
    <row r="240" ht="19" customHeight="1">
      <c r="A240" s="6" t="inlineStr">
        <is>
          <t>Laos</t>
        </is>
      </c>
      <c r="B240" s="10" t="n">
        <v>2023</v>
      </c>
      <c r="C240" s="10" t="n">
        <v>4</v>
      </c>
      <c r="D240" s="6" t="inlineStr">
        <is>
          <t>2023 Q4</t>
        </is>
      </c>
      <c r="E240" s="8" t="n">
        <v>207.749266666667</v>
      </c>
      <c r="F240" s="10" t="n">
        <v>25.1417424731469</v>
      </c>
      <c r="G240" s="10" t="n">
        <v>6.15125939354673</v>
      </c>
      <c r="H240" s="8" t="n">
        <v>4.03161592943637</v>
      </c>
      <c r="I240" s="9" t="inlineStr"/>
      <c r="J240" s="8" t="n">
        <v>124.677297903596</v>
      </c>
      <c r="K240" s="8" t="n">
        <v>3.85139866839062</v>
      </c>
      <c r="L240" s="8" t="n">
        <v>105.339533846651</v>
      </c>
      <c r="M240" s="8" t="n">
        <v>-8.56740995414912</v>
      </c>
      <c r="N240" s="8" t="n">
        <v>5.33</v>
      </c>
      <c r="O240" s="8" t="n">
        <v>0.0700000000000003</v>
      </c>
      <c r="P240" s="8" t="n">
        <v>83.7233333333333</v>
      </c>
      <c r="Q240" s="8" t="n">
        <v>-5.45789889712802</v>
      </c>
    </row>
    <row r="241" ht="19" customHeight="1">
      <c r="A241" s="6" t="inlineStr">
        <is>
          <t>Laos</t>
        </is>
      </c>
      <c r="B241" s="10" t="n">
        <v>2024</v>
      </c>
      <c r="C241" s="10" t="n">
        <v>1</v>
      </c>
      <c r="D241" s="6" t="inlineStr">
        <is>
          <t>2024 Q1</t>
        </is>
      </c>
      <c r="E241" s="8" t="n">
        <v>215.415733333333</v>
      </c>
      <c r="F241" s="10" t="n">
        <v>24.9299615919655</v>
      </c>
      <c r="G241" s="10" t="n">
        <v>3.69024968880758</v>
      </c>
      <c r="H241" s="8" t="n">
        <v>4.03506838077906</v>
      </c>
      <c r="I241" s="9" t="inlineStr"/>
      <c r="J241" s="8" t="n">
        <v>130.232567992751</v>
      </c>
      <c r="K241" s="8" t="n">
        <v>5.91867772727723</v>
      </c>
      <c r="L241" s="8" t="n">
        <v>102.582568583479</v>
      </c>
      <c r="M241" s="8" t="n">
        <v>-10.0426641936497</v>
      </c>
      <c r="N241" s="8" t="n">
        <v>5.33</v>
      </c>
      <c r="O241" s="8" t="n">
        <v>0</v>
      </c>
      <c r="P241" s="8" t="n">
        <v>83.0033333333333</v>
      </c>
      <c r="Q241" s="8" t="n">
        <v>2.25443495400788</v>
      </c>
    </row>
    <row r="242" ht="19" customHeight="1">
      <c r="A242" s="6" t="inlineStr">
        <is>
          <t>Laos</t>
        </is>
      </c>
      <c r="B242" s="10" t="n">
        <v>2024</v>
      </c>
      <c r="C242" s="10" t="n">
        <v>2</v>
      </c>
      <c r="D242" s="6" t="inlineStr">
        <is>
          <t>2024 Q2</t>
        </is>
      </c>
      <c r="E242" s="8" t="n">
        <v>228.721433333333</v>
      </c>
      <c r="F242" s="10" t="n">
        <v>25.6254456941936</v>
      </c>
      <c r="G242" s="10" t="n">
        <v>6.17675403467897</v>
      </c>
      <c r="H242" s="8" t="n">
        <v>4.07449904344782</v>
      </c>
      <c r="I242" s="9" t="inlineStr"/>
      <c r="J242" s="8" t="n">
        <v>133.888126743236</v>
      </c>
      <c r="K242" s="8" t="n">
        <v>8.151732728196089</v>
      </c>
      <c r="L242" s="8" t="n">
        <v>104.519793640698</v>
      </c>
      <c r="M242" s="8" t="n">
        <v>-4.85900567371084</v>
      </c>
      <c r="N242" s="8" t="n">
        <v>5.33</v>
      </c>
      <c r="O242" s="8" t="n">
        <v>0</v>
      </c>
      <c r="P242" s="8" t="n">
        <v>84.6466666666667</v>
      </c>
      <c r="Q242" s="8" t="n">
        <v>8.082570759736109</v>
      </c>
    </row>
    <row r="243" ht="19" customHeight="1">
      <c r="A243" s="6" t="inlineStr">
        <is>
          <t>Laos</t>
        </is>
      </c>
      <c r="B243" s="10" t="n">
        <v>2024</v>
      </c>
      <c r="C243" s="10" t="n">
        <v>3</v>
      </c>
      <c r="D243" s="6" t="inlineStr">
        <is>
          <t>2024 Q3</t>
        </is>
      </c>
      <c r="E243" s="8" t="n">
        <v>242.6712</v>
      </c>
      <c r="F243" s="10" t="n">
        <v>23.9949190284021</v>
      </c>
      <c r="G243" s="10" t="n">
        <v>6.09902030752694</v>
      </c>
      <c r="H243" s="8" t="n">
        <v>4.14990795686948</v>
      </c>
      <c r="I243" s="9" t="inlineStr"/>
      <c r="J243" s="8" t="n">
        <v>130.810317783145</v>
      </c>
      <c r="K243" s="8" t="n">
        <v>7.0280109743746</v>
      </c>
      <c r="L243" s="8" t="n">
        <v>106.377099329068</v>
      </c>
      <c r="M243" s="8" t="n">
        <v>-1.05432906250624</v>
      </c>
      <c r="N243" s="8" t="n">
        <v>5.26333333333333</v>
      </c>
      <c r="O243" s="8" t="n">
        <v>-0.0666666666666664</v>
      </c>
      <c r="P243" s="8" t="n">
        <v>79.84333333333331</v>
      </c>
      <c r="Q243" s="8" t="n">
        <v>-7.86598969151473</v>
      </c>
    </row>
    <row r="244" ht="19" customHeight="1">
      <c r="A244" s="6" t="inlineStr">
        <is>
          <t>Laos</t>
        </is>
      </c>
      <c r="B244" s="10" t="n">
        <v>2024</v>
      </c>
      <c r="C244" s="10" t="n">
        <v>4</v>
      </c>
      <c r="D244" s="6" t="inlineStr">
        <is>
          <t>2024 Q4</t>
        </is>
      </c>
      <c r="E244" s="8" t="n">
        <v>246.466166666667</v>
      </c>
      <c r="F244" s="10" t="n">
        <v>18.6363594063228</v>
      </c>
      <c r="G244" s="10" t="n">
        <v>1.56383067569066</v>
      </c>
      <c r="H244" s="8" t="n">
        <v>4.26129519645931</v>
      </c>
      <c r="I244" s="9" t="inlineStr"/>
      <c r="J244" s="8" t="n">
        <v>134.234748613367</v>
      </c>
      <c r="K244" s="8" t="n">
        <v>7.6657505981252</v>
      </c>
      <c r="L244" s="8" t="n">
        <v>110.645361455409</v>
      </c>
      <c r="M244" s="8" t="n">
        <v>5.03688161035707</v>
      </c>
      <c r="N244" s="8" t="n">
        <v>4.65</v>
      </c>
      <c r="O244" s="8" t="n">
        <v>-0.613333333333333</v>
      </c>
      <c r="P244" s="8" t="n">
        <v>74.6133333333333</v>
      </c>
      <c r="Q244" s="8" t="n">
        <v>-10.8810765616913</v>
      </c>
    </row>
    <row r="245" ht="19" customHeight="1">
      <c r="A245" s="6" t="inlineStr">
        <is>
          <t>Laos</t>
        </is>
      </c>
      <c r="B245" s="10" t="n">
        <v>2025</v>
      </c>
      <c r="C245" s="10" t="n">
        <v>1</v>
      </c>
      <c r="D245" s="6" t="inlineStr">
        <is>
          <t>2025 Q1</t>
        </is>
      </c>
      <c r="E245" s="8" t="n">
        <v>243.6554</v>
      </c>
      <c r="F245" s="10" t="n">
        <v>13.1093798162684</v>
      </c>
      <c r="G245" s="10" t="n">
        <v>-1.14042698220242</v>
      </c>
      <c r="H245" s="8" t="n">
        <v>4.40866087359683</v>
      </c>
      <c r="I245" s="9" t="inlineStr"/>
      <c r="J245" s="8" t="n">
        <v>136.506079984931</v>
      </c>
      <c r="K245" s="8" t="n">
        <v>4.81716062953612</v>
      </c>
      <c r="L245" s="8" t="n">
        <v>108.711496383905</v>
      </c>
      <c r="M245" s="8" t="n">
        <v>5.97462891118643</v>
      </c>
      <c r="N245" s="8" t="n">
        <v>4.33</v>
      </c>
      <c r="O245" s="8" t="n">
        <v>-0.32</v>
      </c>
      <c r="P245" s="8" t="n">
        <v>75.8133333333333</v>
      </c>
      <c r="Q245" s="8" t="n">
        <v>-8.662302718766311</v>
      </c>
    </row>
    <row r="246" ht="19" customHeight="1">
      <c r="A246" s="6" t="inlineStr">
        <is>
          <t>Malaysia</t>
        </is>
      </c>
      <c r="B246" s="10" t="n">
        <v>2010</v>
      </c>
      <c r="C246" s="10" t="n">
        <v>1</v>
      </c>
      <c r="D246" s="6" t="inlineStr">
        <is>
          <t>2010 Q1</t>
        </is>
      </c>
      <c r="E246" s="8" t="n">
        <v>99.40000000000001</v>
      </c>
      <c r="F246" s="9" t="inlineStr"/>
      <c r="G246" s="9" t="inlineStr"/>
      <c r="H246" s="8" t="n">
        <v>7.9632684067353</v>
      </c>
      <c r="I246" s="8" t="n">
        <v>5.28235609685161</v>
      </c>
      <c r="J246" s="8" t="n">
        <v>99.822019547134</v>
      </c>
      <c r="K246" s="9" t="inlineStr"/>
      <c r="L246" s="8" t="n">
        <v>99.24199528149821</v>
      </c>
      <c r="M246" s="9" t="inlineStr"/>
      <c r="N246" s="8" t="n">
        <v>0.133333333333333</v>
      </c>
      <c r="O246" s="9" t="inlineStr"/>
      <c r="P246" s="8" t="n">
        <v>76.25</v>
      </c>
      <c r="Q246" s="9" t="inlineStr"/>
    </row>
    <row r="247" ht="19" customHeight="1">
      <c r="A247" s="6" t="inlineStr">
        <is>
          <t>Malaysia</t>
        </is>
      </c>
      <c r="B247" s="10" t="n">
        <v>2010</v>
      </c>
      <c r="C247" s="10" t="n">
        <v>2</v>
      </c>
      <c r="D247" s="6" t="inlineStr">
        <is>
          <t>2010 Q2</t>
        </is>
      </c>
      <c r="E247" s="8" t="n">
        <v>99.56666666666671</v>
      </c>
      <c r="F247" s="9" t="inlineStr"/>
      <c r="G247" s="10" t="n">
        <v>0.167672702883959</v>
      </c>
      <c r="H247" s="8" t="n">
        <v>7.74790012656604</v>
      </c>
      <c r="I247" s="8" t="n">
        <v>6.10850758274527</v>
      </c>
      <c r="J247" s="8" t="n">
        <v>105.530502161132</v>
      </c>
      <c r="K247" s="9" t="inlineStr"/>
      <c r="L247" s="8" t="n">
        <v>96.4984622523225</v>
      </c>
      <c r="M247" s="9" t="inlineStr"/>
      <c r="N247" s="8" t="n">
        <v>0.193333333333333</v>
      </c>
      <c r="O247" s="8" t="n">
        <v>0.06</v>
      </c>
      <c r="P247" s="8" t="n">
        <v>78.51000000000001</v>
      </c>
      <c r="Q247" s="9" t="inlineStr"/>
    </row>
    <row r="248" ht="19" customHeight="1">
      <c r="A248" s="6" t="inlineStr">
        <is>
          <t>Malaysia</t>
        </is>
      </c>
      <c r="B248" s="10" t="n">
        <v>2010</v>
      </c>
      <c r="C248" s="10" t="n">
        <v>3</v>
      </c>
      <c r="D248" s="6" t="inlineStr">
        <is>
          <t>2010 Q3</t>
        </is>
      </c>
      <c r="E248" s="8" t="n">
        <v>100.233333333333</v>
      </c>
      <c r="F248" s="9" t="inlineStr"/>
      <c r="G248" s="10" t="n">
        <v>0.669568128557096</v>
      </c>
      <c r="H248" s="8" t="n">
        <v>7.3171633508551</v>
      </c>
      <c r="I248" s="8" t="n">
        <v>7.76081138069063</v>
      </c>
      <c r="J248" s="8" t="n">
        <v>106.384385575019</v>
      </c>
      <c r="K248" s="9" t="inlineStr"/>
      <c r="L248" s="8" t="n">
        <v>107.356970480027</v>
      </c>
      <c r="M248" s="9" t="inlineStr"/>
      <c r="N248" s="8" t="n">
        <v>0.186666666666667</v>
      </c>
      <c r="O248" s="8" t="n">
        <v>-0.0066666666666666</v>
      </c>
      <c r="P248" s="8" t="n">
        <v>76.81999999999999</v>
      </c>
      <c r="Q248" s="9" t="inlineStr"/>
    </row>
    <row r="249" ht="19" customHeight="1">
      <c r="A249" s="6" t="inlineStr">
        <is>
          <t>Malaysia</t>
        </is>
      </c>
      <c r="B249" s="10" t="n">
        <v>2010</v>
      </c>
      <c r="C249" s="10" t="n">
        <v>4</v>
      </c>
      <c r="D249" s="6" t="inlineStr">
        <is>
          <t>2010 Q4</t>
        </is>
      </c>
      <c r="E249" s="8" t="n">
        <v>100.866666666667</v>
      </c>
      <c r="F249" s="9" t="inlineStr"/>
      <c r="G249" s="10" t="n">
        <v>0.631858995676748</v>
      </c>
      <c r="H249" s="8" t="n">
        <v>6.6710576488972</v>
      </c>
      <c r="I249" s="8" t="n">
        <v>10.2392691429908</v>
      </c>
      <c r="J249" s="8" t="n">
        <v>104.615269047893</v>
      </c>
      <c r="K249" s="9" t="inlineStr"/>
      <c r="L249" s="8" t="n">
        <v>124.608736829891</v>
      </c>
      <c r="M249" s="9" t="inlineStr"/>
      <c r="N249" s="8" t="n">
        <v>0.186666666666667</v>
      </c>
      <c r="O249" s="8" t="n">
        <v>0</v>
      </c>
      <c r="P249" s="8" t="n">
        <v>86.4666666666667</v>
      </c>
      <c r="Q249" s="9" t="inlineStr"/>
    </row>
    <row r="250" ht="19" customHeight="1">
      <c r="A250" s="6" t="inlineStr">
        <is>
          <t>Malaysia</t>
        </is>
      </c>
      <c r="B250" s="10" t="n">
        <v>2011</v>
      </c>
      <c r="C250" s="10" t="n">
        <v>1</v>
      </c>
      <c r="D250" s="6" t="inlineStr">
        <is>
          <t>2011 Q1</t>
        </is>
      </c>
      <c r="E250" s="8" t="n">
        <v>102.166666666667</v>
      </c>
      <c r="F250" s="10" t="n">
        <v>2.7833668678739</v>
      </c>
      <c r="G250" s="10" t="n">
        <v>1.2888301387971</v>
      </c>
      <c r="H250" s="8" t="n">
        <v>5.809582374566</v>
      </c>
      <c r="I250" s="8" t="n">
        <v>13.543883348114</v>
      </c>
      <c r="J250" s="8" t="n">
        <v>106.443270741147</v>
      </c>
      <c r="K250" s="8" t="n">
        <v>6.63305673843448</v>
      </c>
      <c r="L250" s="8" t="n">
        <v>121.875946057639</v>
      </c>
      <c r="M250" s="8" t="n">
        <v>22.8068276055313</v>
      </c>
      <c r="N250" s="8" t="n">
        <v>0.156666666666667</v>
      </c>
      <c r="O250" s="8" t="n">
        <v>-0.03</v>
      </c>
      <c r="P250" s="8" t="n">
        <v>104.96</v>
      </c>
      <c r="Q250" s="8" t="n">
        <v>37.6524590163934</v>
      </c>
    </row>
    <row r="251" ht="19" customHeight="1">
      <c r="A251" s="6" t="inlineStr">
        <is>
          <t>Malaysia</t>
        </is>
      </c>
      <c r="B251" s="10" t="n">
        <v>2011</v>
      </c>
      <c r="C251" s="10" t="n">
        <v>2</v>
      </c>
      <c r="D251" s="6" t="inlineStr">
        <is>
          <t>2011 Q2</t>
        </is>
      </c>
      <c r="E251" s="8" t="n">
        <v>102.9</v>
      </c>
      <c r="F251" s="10" t="n">
        <v>3.34784064278542</v>
      </c>
      <c r="G251" s="10" t="n">
        <v>0.7177814029363681</v>
      </c>
      <c r="H251" s="8" t="n">
        <v>5.25872469301815</v>
      </c>
      <c r="I251" s="8" t="n">
        <v>15.2993502824358</v>
      </c>
      <c r="J251" s="8" t="n">
        <v>105.26407622927</v>
      </c>
      <c r="K251" s="8" t="n">
        <v>-0.252463436073858</v>
      </c>
      <c r="L251" s="8" t="n">
        <v>122.00081812372</v>
      </c>
      <c r="M251" s="8" t="n">
        <v>26.4277329152819</v>
      </c>
      <c r="N251" s="8" t="n">
        <v>0.0933333333333333</v>
      </c>
      <c r="O251" s="8" t="n">
        <v>-0.0633333333333333</v>
      </c>
      <c r="P251" s="8" t="n">
        <v>117.36</v>
      </c>
      <c r="Q251" s="8" t="n">
        <v>49.4841421474971</v>
      </c>
    </row>
    <row r="252" ht="19" customHeight="1">
      <c r="A252" s="6" t="inlineStr">
        <is>
          <t>Malaysia</t>
        </is>
      </c>
      <c r="B252" s="10" t="n">
        <v>2011</v>
      </c>
      <c r="C252" s="10" t="n">
        <v>3</v>
      </c>
      <c r="D252" s="6" t="inlineStr">
        <is>
          <t>2011 Q3</t>
        </is>
      </c>
      <c r="E252" s="8" t="n">
        <v>103.6</v>
      </c>
      <c r="F252" s="10" t="n">
        <v>3.35882939807115</v>
      </c>
      <c r="G252" s="10" t="n">
        <v>0.680272108843516</v>
      </c>
      <c r="H252" s="8" t="n">
        <v>5.01848405343012</v>
      </c>
      <c r="I252" s="8" t="n">
        <v>15.5056717014273</v>
      </c>
      <c r="J252" s="8" t="n">
        <v>104.663537019912</v>
      </c>
      <c r="K252" s="8" t="n">
        <v>-1.61757625031641</v>
      </c>
      <c r="L252" s="8" t="n">
        <v>118.888757234176</v>
      </c>
      <c r="M252" s="8" t="n">
        <v>10.7415351817278</v>
      </c>
      <c r="N252" s="8" t="n">
        <v>0.0833333333333333</v>
      </c>
      <c r="O252" s="8" t="n">
        <v>-0.01</v>
      </c>
      <c r="P252" s="8" t="n">
        <v>113.34</v>
      </c>
      <c r="Q252" s="8" t="n">
        <v>47.5397032022911</v>
      </c>
    </row>
    <row r="253" ht="19" customHeight="1">
      <c r="A253" s="6" t="inlineStr">
        <is>
          <t>Malaysia</t>
        </is>
      </c>
      <c r="B253" s="10" t="n">
        <v>2011</v>
      </c>
      <c r="C253" s="10" t="n">
        <v>4</v>
      </c>
      <c r="D253" s="6" t="inlineStr">
        <is>
          <t>2011 Q4</t>
        </is>
      </c>
      <c r="E253" s="8" t="n">
        <v>104.1</v>
      </c>
      <c r="F253" s="10" t="n">
        <v>3.20555188367482</v>
      </c>
      <c r="G253" s="10" t="n">
        <v>0.482625482625476</v>
      </c>
      <c r="H253" s="8" t="n">
        <v>5.08886021550717</v>
      </c>
      <c r="I253" s="8" t="n">
        <v>14.1628478114335</v>
      </c>
      <c r="J253" s="8" t="n">
        <v>102.731698979332</v>
      </c>
      <c r="K253" s="8" t="n">
        <v>-1.80047337802886</v>
      </c>
      <c r="L253" s="8" t="n">
        <v>112.174119298219</v>
      </c>
      <c r="M253" s="8" t="n">
        <v>-9.978929124887189</v>
      </c>
      <c r="N253" s="8" t="n">
        <v>0.07333333333333331</v>
      </c>
      <c r="O253" s="8" t="n">
        <v>-0.01</v>
      </c>
      <c r="P253" s="8" t="n">
        <v>109.396666666667</v>
      </c>
      <c r="Q253" s="8" t="n">
        <v>26.5188897455667</v>
      </c>
    </row>
    <row r="254" ht="19" customHeight="1">
      <c r="A254" s="6" t="inlineStr">
        <is>
          <t>Malaysia</t>
        </is>
      </c>
      <c r="B254" s="10" t="n">
        <v>2012</v>
      </c>
      <c r="C254" s="10" t="n">
        <v>1</v>
      </c>
      <c r="D254" s="6" t="inlineStr">
        <is>
          <t>2012 Q1</t>
        </is>
      </c>
      <c r="E254" s="8" t="n">
        <v>104.5</v>
      </c>
      <c r="F254" s="10" t="n">
        <v>2.28384991843393</v>
      </c>
      <c r="G254" s="10" t="n">
        <v>0.384245917387127</v>
      </c>
      <c r="H254" s="8" t="n">
        <v>5.46985324965074</v>
      </c>
      <c r="I254" s="8" t="n">
        <v>11.2708772696359</v>
      </c>
      <c r="J254" s="8" t="n">
        <v>105.790516053725</v>
      </c>
      <c r="K254" s="8" t="n">
        <v>-0.613241854441393</v>
      </c>
      <c r="L254" s="8" t="n">
        <v>112.921025549072</v>
      </c>
      <c r="M254" s="8" t="n">
        <v>-7.3475700482622</v>
      </c>
      <c r="N254" s="8" t="n">
        <v>0.103333333333333</v>
      </c>
      <c r="O254" s="8" t="n">
        <v>0.03</v>
      </c>
      <c r="P254" s="8" t="n">
        <v>118.49</v>
      </c>
      <c r="Q254" s="8" t="n">
        <v>12.890625</v>
      </c>
    </row>
    <row r="255" ht="19" customHeight="1">
      <c r="A255" s="6" t="inlineStr">
        <is>
          <t>Malaysia</t>
        </is>
      </c>
      <c r="B255" s="10" t="n">
        <v>2012</v>
      </c>
      <c r="C255" s="10" t="n">
        <v>2</v>
      </c>
      <c r="D255" s="6" t="inlineStr">
        <is>
          <t>2012 Q2</t>
        </is>
      </c>
      <c r="E255" s="8" t="n">
        <v>104.666666666667</v>
      </c>
      <c r="F255" s="10" t="n">
        <v>1.71687722708131</v>
      </c>
      <c r="G255" s="10" t="n">
        <v>0.159489633173848</v>
      </c>
      <c r="H255" s="8" t="n">
        <v>5.62369078627821</v>
      </c>
      <c r="I255" s="8" t="n">
        <v>9.144147023482679</v>
      </c>
      <c r="J255" s="8" t="n">
        <v>104.775773037983</v>
      </c>
      <c r="K255" s="8" t="n">
        <v>-0.463883984715519</v>
      </c>
      <c r="L255" s="8" t="n">
        <v>108.674540730789</v>
      </c>
      <c r="M255" s="8" t="n">
        <v>-10.9231049413272</v>
      </c>
      <c r="N255" s="8" t="n">
        <v>0.153333333333333</v>
      </c>
      <c r="O255" s="8" t="n">
        <v>0.05</v>
      </c>
      <c r="P255" s="8" t="n">
        <v>108.416666666667</v>
      </c>
      <c r="Q255" s="8" t="n">
        <v>-7.6204271756419</v>
      </c>
    </row>
    <row r="256" ht="19" customHeight="1">
      <c r="A256" s="6" t="inlineStr">
        <is>
          <t>Malaysia</t>
        </is>
      </c>
      <c r="B256" s="10" t="n">
        <v>2012</v>
      </c>
      <c r="C256" s="10" t="n">
        <v>3</v>
      </c>
      <c r="D256" s="6" t="inlineStr">
        <is>
          <t>2012 Q3</t>
        </is>
      </c>
      <c r="E256" s="8" t="n">
        <v>105</v>
      </c>
      <c r="F256" s="10" t="n">
        <v>1.35135135135136</v>
      </c>
      <c r="G256" s="10" t="n">
        <v>0.318471337579607</v>
      </c>
      <c r="H256" s="8" t="n">
        <v>5.55037297917717</v>
      </c>
      <c r="I256" s="8" t="n">
        <v>7.78265494626786</v>
      </c>
      <c r="J256" s="8" t="n">
        <v>104.297388388786</v>
      </c>
      <c r="K256" s="8" t="n">
        <v>-0.349833993338533</v>
      </c>
      <c r="L256" s="8" t="n">
        <v>112.021404013206</v>
      </c>
      <c r="M256" s="8" t="n">
        <v>-5.77628480668088</v>
      </c>
      <c r="N256" s="8" t="n">
        <v>0.143333333333333</v>
      </c>
      <c r="O256" s="8" t="n">
        <v>-0.01</v>
      </c>
      <c r="P256" s="8" t="n">
        <v>109.613333333333</v>
      </c>
      <c r="Q256" s="8" t="n">
        <v>-3.28804187988943</v>
      </c>
    </row>
    <row r="257" ht="19" customHeight="1">
      <c r="A257" s="6" t="inlineStr">
        <is>
          <t>Malaysia</t>
        </is>
      </c>
      <c r="B257" s="10" t="n">
        <v>2012</v>
      </c>
      <c r="C257" s="10" t="n">
        <v>4</v>
      </c>
      <c r="D257" s="6" t="inlineStr">
        <is>
          <t>2012 Q4</t>
        </is>
      </c>
      <c r="E257" s="8" t="n">
        <v>105.466666666667</v>
      </c>
      <c r="F257" s="10" t="n">
        <v>1.31284021773936</v>
      </c>
      <c r="G257" s="10" t="n">
        <v>0.444444444444447</v>
      </c>
      <c r="H257" s="8" t="n">
        <v>5.24989975508079</v>
      </c>
      <c r="I257" s="8" t="n">
        <v>7.18639967646048</v>
      </c>
      <c r="J257" s="8" t="n">
        <v>105.56346390379</v>
      </c>
      <c r="K257" s="8" t="n">
        <v>2.75646655569075</v>
      </c>
      <c r="L257" s="8" t="n">
        <v>112.043606667623</v>
      </c>
      <c r="M257" s="8" t="n">
        <v>-0.116348255206267</v>
      </c>
      <c r="N257" s="8" t="n">
        <v>0.16</v>
      </c>
      <c r="O257" s="8" t="n">
        <v>0.0166666666666667</v>
      </c>
      <c r="P257" s="8" t="n">
        <v>110.086666666667</v>
      </c>
      <c r="Q257" s="8" t="n">
        <v>0.630732197812245</v>
      </c>
    </row>
    <row r="258" ht="19" customHeight="1">
      <c r="A258" s="6" t="inlineStr">
        <is>
          <t>Malaysia</t>
        </is>
      </c>
      <c r="B258" s="10" t="n">
        <v>2013</v>
      </c>
      <c r="C258" s="10" t="n">
        <v>1</v>
      </c>
      <c r="D258" s="6" t="inlineStr">
        <is>
          <t>2013 Q1</t>
        </is>
      </c>
      <c r="E258" s="8" t="n">
        <v>106.066666666667</v>
      </c>
      <c r="F258" s="10" t="n">
        <v>1.49920255183413</v>
      </c>
      <c r="G258" s="10" t="n">
        <v>0.568900126422256</v>
      </c>
      <c r="H258" s="8" t="n">
        <v>4.72227081350229</v>
      </c>
      <c r="I258" s="8" t="n">
        <v>7.35538061784867</v>
      </c>
      <c r="J258" s="8" t="n">
        <v>106.767381765714</v>
      </c>
      <c r="K258" s="8" t="n">
        <v>0.923396300943091</v>
      </c>
      <c r="L258" s="8" t="n">
        <v>112.344264317549</v>
      </c>
      <c r="M258" s="8" t="n">
        <v>-0.510765137598079</v>
      </c>
      <c r="N258" s="8" t="n">
        <v>0.143333333333333</v>
      </c>
      <c r="O258" s="8" t="n">
        <v>-0.0166666666666667</v>
      </c>
      <c r="P258" s="8" t="n">
        <v>112.493333333333</v>
      </c>
      <c r="Q258" s="8" t="n">
        <v>-5.06090528033308</v>
      </c>
    </row>
    <row r="259" ht="19" customHeight="1">
      <c r="A259" s="6" t="inlineStr">
        <is>
          <t>Malaysia</t>
        </is>
      </c>
      <c r="B259" s="10" t="n">
        <v>2013</v>
      </c>
      <c r="C259" s="10" t="n">
        <v>2</v>
      </c>
      <c r="D259" s="6" t="inlineStr">
        <is>
          <t>2013 Q2</t>
        </is>
      </c>
      <c r="E259" s="8" t="n">
        <v>106.533333333333</v>
      </c>
      <c r="F259" s="10" t="n">
        <v>1.78343949044586</v>
      </c>
      <c r="G259" s="10" t="n">
        <v>0.439974858579517</v>
      </c>
      <c r="H259" s="8" t="n">
        <v>4.49980000241404</v>
      </c>
      <c r="I259" s="8" t="n">
        <v>7.43978098643436</v>
      </c>
      <c r="J259" s="8" t="n">
        <v>109.484851096628</v>
      </c>
      <c r="K259" s="8" t="n">
        <v>4.49443408729349</v>
      </c>
      <c r="L259" s="8" t="n">
        <v>111.205746192615</v>
      </c>
      <c r="M259" s="8" t="n">
        <v>2.32916140689856</v>
      </c>
      <c r="N259" s="8" t="n">
        <v>0.116666666666667</v>
      </c>
      <c r="O259" s="8" t="n">
        <v>-0.0266666666666667</v>
      </c>
      <c r="P259" s="8" t="n">
        <v>102.576666666667</v>
      </c>
      <c r="Q259" s="8" t="n">
        <v>-5.38662567255957</v>
      </c>
    </row>
    <row r="260" ht="19" customHeight="1">
      <c r="A260" s="6" t="inlineStr">
        <is>
          <t>Malaysia</t>
        </is>
      </c>
      <c r="B260" s="10" t="n">
        <v>2013</v>
      </c>
      <c r="C260" s="10" t="n">
        <v>3</v>
      </c>
      <c r="D260" s="6" t="inlineStr">
        <is>
          <t>2013 Q3</t>
        </is>
      </c>
      <c r="E260" s="8" t="n">
        <v>107.266666666667</v>
      </c>
      <c r="F260" s="10" t="n">
        <v>2.15873015873016</v>
      </c>
      <c r="G260" s="10" t="n">
        <v>0.6883604505631969</v>
      </c>
      <c r="H260" s="8" t="n">
        <v>4.58248709935849</v>
      </c>
      <c r="I260" s="8" t="n">
        <v>7.43960086667152</v>
      </c>
      <c r="J260" s="8" t="n">
        <v>104.493294786101</v>
      </c>
      <c r="K260" s="8" t="n">
        <v>0.187834422646116</v>
      </c>
      <c r="L260" s="8" t="n">
        <v>106.517639660823</v>
      </c>
      <c r="M260" s="8" t="n">
        <v>-4.91313637859304</v>
      </c>
      <c r="N260" s="8" t="n">
        <v>0.0833333333333333</v>
      </c>
      <c r="O260" s="8" t="n">
        <v>-0.0333333333333333</v>
      </c>
      <c r="P260" s="8" t="n">
        <v>110.27</v>
      </c>
      <c r="Q260" s="8" t="n">
        <v>0.599075538255689</v>
      </c>
    </row>
    <row r="261" ht="19" customHeight="1">
      <c r="A261" s="6" t="inlineStr">
        <is>
          <t>Malaysia</t>
        </is>
      </c>
      <c r="B261" s="10" t="n">
        <v>2013</v>
      </c>
      <c r="C261" s="10" t="n">
        <v>4</v>
      </c>
      <c r="D261" s="6" t="inlineStr">
        <is>
          <t>2013 Q4</t>
        </is>
      </c>
      <c r="E261" s="8" t="n">
        <v>108.6</v>
      </c>
      <c r="F261" s="10" t="n">
        <v>2.97092288242731</v>
      </c>
      <c r="G261" s="10" t="n">
        <v>1.24300807955251</v>
      </c>
      <c r="H261" s="8" t="n">
        <v>4.97033218703723</v>
      </c>
      <c r="I261" s="8" t="n">
        <v>7.35484025834089</v>
      </c>
      <c r="J261" s="8" t="n">
        <v>105.49366386739</v>
      </c>
      <c r="K261" s="8" t="n">
        <v>-0.0661213963804697</v>
      </c>
      <c r="L261" s="8" t="n">
        <v>108.042368791302</v>
      </c>
      <c r="M261" s="8" t="n">
        <v>-3.57114341043118</v>
      </c>
      <c r="N261" s="8" t="n">
        <v>0.0866666666666667</v>
      </c>
      <c r="O261" s="8" t="n">
        <v>0.0033333333333333</v>
      </c>
      <c r="P261" s="8" t="n">
        <v>109.21</v>
      </c>
      <c r="Q261" s="8" t="n">
        <v>-0.796342275782702</v>
      </c>
    </row>
    <row r="262" ht="19" customHeight="1">
      <c r="A262" s="6" t="inlineStr">
        <is>
          <t>Malaysia</t>
        </is>
      </c>
      <c r="B262" s="10" t="n">
        <v>2014</v>
      </c>
      <c r="C262" s="10" t="n">
        <v>1</v>
      </c>
      <c r="D262" s="6" t="inlineStr">
        <is>
          <t>2014 Q1</t>
        </is>
      </c>
      <c r="E262" s="8" t="n">
        <v>109.733333333333</v>
      </c>
      <c r="F262" s="10" t="n">
        <v>3.45694531741043</v>
      </c>
      <c r="G262" s="10" t="n">
        <v>1.04358502148558</v>
      </c>
      <c r="H262" s="8" t="n">
        <v>5.66333565329278</v>
      </c>
      <c r="I262" s="8" t="n">
        <v>7.18549907669004</v>
      </c>
      <c r="J262" s="8" t="n">
        <v>104.228533621885</v>
      </c>
      <c r="K262" s="8" t="n">
        <v>-2.37792488852111</v>
      </c>
      <c r="L262" s="8" t="n">
        <v>109.985285302654</v>
      </c>
      <c r="M262" s="8" t="n">
        <v>-2.09977699282194</v>
      </c>
      <c r="N262" s="8" t="n">
        <v>0.07333333333333331</v>
      </c>
      <c r="O262" s="8" t="n">
        <v>-0.0133333333333333</v>
      </c>
      <c r="P262" s="8" t="n">
        <v>108.166666666667</v>
      </c>
      <c r="Q262" s="8" t="n">
        <v>-3.84615384615383</v>
      </c>
    </row>
    <row r="263" ht="19" customHeight="1">
      <c r="A263" s="6" t="inlineStr">
        <is>
          <t>Malaysia</t>
        </is>
      </c>
      <c r="B263" s="10" t="n">
        <v>2014</v>
      </c>
      <c r="C263" s="10" t="n">
        <v>2</v>
      </c>
      <c r="D263" s="6" t="inlineStr">
        <is>
          <t>2014 Q2</t>
        </is>
      </c>
      <c r="E263" s="8" t="n">
        <v>110.033333333333</v>
      </c>
      <c r="F263" s="10" t="n">
        <v>3.28535669586985</v>
      </c>
      <c r="G263" s="10" t="n">
        <v>0.273390036451993</v>
      </c>
      <c r="H263" s="8" t="n">
        <v>6.07789137727895</v>
      </c>
      <c r="I263" s="8" t="n">
        <v>6.76518244307459</v>
      </c>
      <c r="J263" s="8" t="n">
        <v>105.197031164187</v>
      </c>
      <c r="K263" s="8" t="n">
        <v>-3.91635910310193</v>
      </c>
      <c r="L263" s="8" t="n">
        <v>111.498689744988</v>
      </c>
      <c r="M263" s="8" t="n">
        <v>0.26342483406061</v>
      </c>
      <c r="N263" s="8" t="n">
        <v>0.0933333333333333</v>
      </c>
      <c r="O263" s="8" t="n">
        <v>0.02</v>
      </c>
      <c r="P263" s="8" t="n">
        <v>109.7</v>
      </c>
      <c r="Q263" s="8" t="n">
        <v>6.94439931108439</v>
      </c>
    </row>
    <row r="264" ht="19" customHeight="1">
      <c r="A264" s="6" t="inlineStr">
        <is>
          <t>Malaysia</t>
        </is>
      </c>
      <c r="B264" s="10" t="n">
        <v>2014</v>
      </c>
      <c r="C264" s="10" t="n">
        <v>3</v>
      </c>
      <c r="D264" s="6" t="inlineStr">
        <is>
          <t>2014 Q3</t>
        </is>
      </c>
      <c r="E264" s="8" t="n">
        <v>110.5</v>
      </c>
      <c r="F264" s="10" t="n">
        <v>3.01429459291485</v>
      </c>
      <c r="G264" s="10" t="n">
        <v>0.42411390487731</v>
      </c>
      <c r="H264" s="8" t="n">
        <v>6.21399977355922</v>
      </c>
      <c r="I264" s="8" t="n">
        <v>6.09388993717384</v>
      </c>
      <c r="J264" s="8" t="n">
        <v>107.801189067133</v>
      </c>
      <c r="K264" s="8" t="n">
        <v>3.1656521959643</v>
      </c>
      <c r="L264" s="8" t="n">
        <v>104.211407968198</v>
      </c>
      <c r="M264" s="8" t="n">
        <v>-2.16511715802957</v>
      </c>
      <c r="N264" s="8" t="n">
        <v>0.09</v>
      </c>
      <c r="O264" s="8" t="n">
        <v>-0.0033333333333333</v>
      </c>
      <c r="P264" s="8" t="n">
        <v>101.823333333333</v>
      </c>
      <c r="Q264" s="8" t="n">
        <v>-7.65998609473715</v>
      </c>
    </row>
    <row r="265" ht="19" customHeight="1">
      <c r="A265" s="6" t="inlineStr">
        <is>
          <t>Malaysia</t>
        </is>
      </c>
      <c r="B265" s="10" t="n">
        <v>2014</v>
      </c>
      <c r="C265" s="10" t="n">
        <v>4</v>
      </c>
      <c r="D265" s="6" t="inlineStr">
        <is>
          <t>2014 Q4</t>
        </is>
      </c>
      <c r="E265" s="8" t="n">
        <v>111.666666666667</v>
      </c>
      <c r="F265" s="10" t="n">
        <v>2.82381829343157</v>
      </c>
      <c r="G265" s="10" t="n">
        <v>1.05580693815988</v>
      </c>
      <c r="H265" s="8" t="n">
        <v>6.07166097819758</v>
      </c>
      <c r="I265" s="8" t="n">
        <v>5.17162088771972</v>
      </c>
      <c r="J265" s="8" t="n">
        <v>107.386121818974</v>
      </c>
      <c r="K265" s="8" t="n">
        <v>1.79390674492397</v>
      </c>
      <c r="L265" s="8" t="n">
        <v>99.4046630544031</v>
      </c>
      <c r="M265" s="8" t="n">
        <v>-7.9947393171137</v>
      </c>
      <c r="N265" s="8" t="n">
        <v>0.1</v>
      </c>
      <c r="O265" s="8" t="n">
        <v>0.01</v>
      </c>
      <c r="P265" s="8" t="n">
        <v>76.40333333333329</v>
      </c>
      <c r="Q265" s="8" t="n">
        <v>-30.0399841284376</v>
      </c>
    </row>
    <row r="266" ht="19" customHeight="1">
      <c r="A266" s="6" t="inlineStr">
        <is>
          <t>Malaysia</t>
        </is>
      </c>
      <c r="B266" s="10" t="n">
        <v>2015</v>
      </c>
      <c r="C266" s="10" t="n">
        <v>1</v>
      </c>
      <c r="D266" s="6" t="inlineStr">
        <is>
          <t>2015 Q1</t>
        </is>
      </c>
      <c r="E266" s="8" t="n">
        <v>110.466666666667</v>
      </c>
      <c r="F266" s="10" t="n">
        <v>0.668286755771574</v>
      </c>
      <c r="G266" s="10" t="n">
        <v>-1.07462686567165</v>
      </c>
      <c r="H266" s="8" t="n">
        <v>5.65087484895533</v>
      </c>
      <c r="I266" s="8" t="n">
        <v>3.99837437237156</v>
      </c>
      <c r="J266" s="8" t="n">
        <v>102.777497483045</v>
      </c>
      <c r="K266" s="8" t="n">
        <v>-1.39216785309839</v>
      </c>
      <c r="L266" s="8" t="n">
        <v>100.657732001964</v>
      </c>
      <c r="M266" s="8" t="n">
        <v>-8.4807283765489</v>
      </c>
      <c r="N266" s="8" t="n">
        <v>0.11</v>
      </c>
      <c r="O266" s="8" t="n">
        <v>0.01</v>
      </c>
      <c r="P266" s="8" t="n">
        <v>53.9166666666667</v>
      </c>
      <c r="Q266" s="8" t="n">
        <v>-50.1540832049307</v>
      </c>
    </row>
    <row r="267" ht="19" customHeight="1">
      <c r="A267" s="6" t="inlineStr">
        <is>
          <t>Malaysia</t>
        </is>
      </c>
      <c r="B267" s="10" t="n">
        <v>2015</v>
      </c>
      <c r="C267" s="10" t="n">
        <v>2</v>
      </c>
      <c r="D267" s="6" t="inlineStr">
        <is>
          <t>2015 Q2</t>
        </is>
      </c>
      <c r="E267" s="8" t="n">
        <v>112.4</v>
      </c>
      <c r="F267" s="10" t="n">
        <v>2.15086337473493</v>
      </c>
      <c r="G267" s="10" t="n">
        <v>1.75015087507544</v>
      </c>
      <c r="H267" s="8" t="n">
        <v>5.25882361940609</v>
      </c>
      <c r="I267" s="8" t="n">
        <v>3.14714046368297</v>
      </c>
      <c r="J267" s="8" t="n">
        <v>103.674975878358</v>
      </c>
      <c r="K267" s="8" t="n">
        <v>-1.44686144559858</v>
      </c>
      <c r="L267" s="8" t="n">
        <v>96.8474817130345</v>
      </c>
      <c r="M267" s="8" t="n">
        <v>-13.1402513029193</v>
      </c>
      <c r="N267" s="8" t="n">
        <v>0.123333333333333</v>
      </c>
      <c r="O267" s="8" t="n">
        <v>0.0133333333333333</v>
      </c>
      <c r="P267" s="8" t="n">
        <v>61.6933333333333</v>
      </c>
      <c r="Q267" s="8" t="n">
        <v>-43.761774536615</v>
      </c>
    </row>
    <row r="268" ht="19" customHeight="1">
      <c r="A268" s="6" t="inlineStr">
        <is>
          <t>Malaysia</t>
        </is>
      </c>
      <c r="B268" s="10" t="n">
        <v>2015</v>
      </c>
      <c r="C268" s="10" t="n">
        <v>3</v>
      </c>
      <c r="D268" s="6" t="inlineStr">
        <is>
          <t>2015 Q3</t>
        </is>
      </c>
      <c r="E268" s="8" t="n">
        <v>113.8</v>
      </c>
      <c r="F268" s="10" t="n">
        <v>2.9864253393665</v>
      </c>
      <c r="G268" s="10" t="n">
        <v>1.24555160142348</v>
      </c>
      <c r="H268" s="8" t="n">
        <v>4.89550689762666</v>
      </c>
      <c r="I268" s="8" t="n">
        <v>2.61791831033497</v>
      </c>
      <c r="J268" s="8" t="n">
        <v>96.34147451157131</v>
      </c>
      <c r="K268" s="8" t="n">
        <v>-10.6304157261428</v>
      </c>
      <c r="L268" s="8" t="n">
        <v>92.7459060049042</v>
      </c>
      <c r="M268" s="8" t="n">
        <v>-11.002156277164</v>
      </c>
      <c r="N268" s="8" t="n">
        <v>0.136666666666667</v>
      </c>
      <c r="O268" s="8" t="n">
        <v>0.0133333333333333</v>
      </c>
      <c r="P268" s="8" t="n">
        <v>50.2333333333333</v>
      </c>
      <c r="Q268" s="8" t="n">
        <v>-50.666186532229</v>
      </c>
    </row>
    <row r="269" ht="19" customHeight="1">
      <c r="A269" s="6" t="inlineStr">
        <is>
          <t>Malaysia</t>
        </is>
      </c>
      <c r="B269" s="10" t="n">
        <v>2015</v>
      </c>
      <c r="C269" s="10" t="n">
        <v>4</v>
      </c>
      <c r="D269" s="6" t="inlineStr">
        <is>
          <t>2015 Q4</t>
        </is>
      </c>
      <c r="E269" s="8" t="n">
        <v>114.566666666667</v>
      </c>
      <c r="F269" s="10" t="n">
        <v>2.59701492537312</v>
      </c>
      <c r="G269" s="10" t="n">
        <v>0.67369654364382</v>
      </c>
      <c r="H269" s="8" t="n">
        <v>4.56092432024064</v>
      </c>
      <c r="I269" s="8" t="n">
        <v>2.41070738311052</v>
      </c>
      <c r="J269" s="8" t="n">
        <v>92.03428241064481</v>
      </c>
      <c r="K269" s="8" t="n">
        <v>-14.2959249745592</v>
      </c>
      <c r="L269" s="8" t="n">
        <v>90.3005619231251</v>
      </c>
      <c r="M269" s="8" t="n">
        <v>-9.15862581446042</v>
      </c>
      <c r="N269" s="8" t="n">
        <v>0.16</v>
      </c>
      <c r="O269" s="8" t="n">
        <v>0.0233333333333333</v>
      </c>
      <c r="P269" s="8" t="n">
        <v>43.57</v>
      </c>
      <c r="Q269" s="8" t="n">
        <v>-42.9736922472842</v>
      </c>
    </row>
    <row r="270" ht="19" customHeight="1">
      <c r="A270" s="6" t="inlineStr">
        <is>
          <t>Malaysia</t>
        </is>
      </c>
      <c r="B270" s="10" t="n">
        <v>2016</v>
      </c>
      <c r="C270" s="10" t="n">
        <v>1</v>
      </c>
      <c r="D270" s="6" t="inlineStr">
        <is>
          <t>2016 Q1</t>
        </is>
      </c>
      <c r="E270" s="8" t="n">
        <v>114.266666666667</v>
      </c>
      <c r="F270" s="10" t="n">
        <v>3.43995171997586</v>
      </c>
      <c r="G270" s="10" t="n">
        <v>-0.261856270002903</v>
      </c>
      <c r="H270" s="8" t="n">
        <v>4.25507555267169</v>
      </c>
      <c r="I270" s="8" t="n">
        <v>2.52550747483262</v>
      </c>
      <c r="J270" s="8" t="n">
        <v>93.5516063927014</v>
      </c>
      <c r="K270" s="8" t="n">
        <v>-8.976567163318739</v>
      </c>
      <c r="L270" s="8" t="n">
        <v>91.66230580090431</v>
      </c>
      <c r="M270" s="8" t="n">
        <v>-8.936647013747329</v>
      </c>
      <c r="N270" s="8" t="n">
        <v>0.36</v>
      </c>
      <c r="O270" s="8" t="n">
        <v>0.2</v>
      </c>
      <c r="P270" s="8" t="n">
        <v>33.6966666666667</v>
      </c>
      <c r="Q270" s="8" t="n">
        <v>-37.5023183925811</v>
      </c>
    </row>
    <row r="271" ht="19" customHeight="1">
      <c r="A271" s="6" t="inlineStr">
        <is>
          <t>Malaysia</t>
        </is>
      </c>
      <c r="B271" s="10" t="n">
        <v>2016</v>
      </c>
      <c r="C271" s="10" t="n">
        <v>2</v>
      </c>
      <c r="D271" s="6" t="inlineStr">
        <is>
          <t>2016 Q2</t>
        </is>
      </c>
      <c r="E271" s="8" t="n">
        <v>114.566666666667</v>
      </c>
      <c r="F271" s="10" t="n">
        <v>1.92763938315539</v>
      </c>
      <c r="G271" s="10" t="n">
        <v>0.262543757292888</v>
      </c>
      <c r="H271" s="8" t="n">
        <v>4.21061837971032</v>
      </c>
      <c r="I271" s="8" t="n">
        <v>2.68167788041975</v>
      </c>
      <c r="J271" s="8" t="n">
        <v>95.6749814360342</v>
      </c>
      <c r="K271" s="8" t="n">
        <v>-7.71641794420147</v>
      </c>
      <c r="L271" s="8" t="n">
        <v>96.9846126235507</v>
      </c>
      <c r="M271" s="8" t="n">
        <v>0.141594709630688</v>
      </c>
      <c r="N271" s="8" t="n">
        <v>0.373333333333333</v>
      </c>
      <c r="O271" s="8" t="n">
        <v>0.0133333333333334</v>
      </c>
      <c r="P271" s="8" t="n">
        <v>45.5233333333333</v>
      </c>
      <c r="Q271" s="8" t="n">
        <v>-26.2102874432678</v>
      </c>
    </row>
    <row r="272" ht="19" customHeight="1">
      <c r="A272" s="6" t="inlineStr">
        <is>
          <t>Malaysia</t>
        </is>
      </c>
      <c r="B272" s="10" t="n">
        <v>2016</v>
      </c>
      <c r="C272" s="10" t="n">
        <v>3</v>
      </c>
      <c r="D272" s="6" t="inlineStr">
        <is>
          <t>2016 Q3</t>
        </is>
      </c>
      <c r="E272" s="8" t="n">
        <v>115.333333333333</v>
      </c>
      <c r="F272" s="10" t="n">
        <v>1.34739308728764</v>
      </c>
      <c r="G272" s="10" t="n">
        <v>0.6691882455629899</v>
      </c>
      <c r="H272" s="8" t="n">
        <v>4.42755275691635</v>
      </c>
      <c r="I272" s="8" t="n">
        <v>2.87921875601842</v>
      </c>
      <c r="J272" s="8" t="n">
        <v>94.61683258118769</v>
      </c>
      <c r="K272" s="8" t="n">
        <v>-1.79013445572348</v>
      </c>
      <c r="L272" s="8" t="n">
        <v>100.864699533998</v>
      </c>
      <c r="M272" s="8" t="n">
        <v>8.75380259767431</v>
      </c>
      <c r="N272" s="8" t="n">
        <v>0.396666666666667</v>
      </c>
      <c r="O272" s="8" t="n">
        <v>0.0233333333333333</v>
      </c>
      <c r="P272" s="8" t="n">
        <v>45.7866666666667</v>
      </c>
      <c r="Q272" s="8" t="n">
        <v>-8.852023888520231</v>
      </c>
    </row>
    <row r="273" ht="19" customHeight="1">
      <c r="A273" s="6" t="inlineStr">
        <is>
          <t>Malaysia</t>
        </is>
      </c>
      <c r="B273" s="10" t="n">
        <v>2016</v>
      </c>
      <c r="C273" s="10" t="n">
        <v>4</v>
      </c>
      <c r="D273" s="6" t="inlineStr">
        <is>
          <t>2016 Q4</t>
        </is>
      </c>
      <c r="E273" s="8" t="n">
        <v>116.5</v>
      </c>
      <c r="F273" s="10" t="n">
        <v>1.6875181844632</v>
      </c>
      <c r="G273" s="10" t="n">
        <v>1.01156069364163</v>
      </c>
      <c r="H273" s="8" t="n">
        <v>4.90587890117543</v>
      </c>
      <c r="I273" s="8" t="n">
        <v>3.11813029921527</v>
      </c>
      <c r="J273" s="8" t="n">
        <v>91.2855181702069</v>
      </c>
      <c r="K273" s="8" t="n">
        <v>-0.813571009438718</v>
      </c>
      <c r="L273" s="8" t="n">
        <v>101.835604997953</v>
      </c>
      <c r="M273" s="8" t="n">
        <v>12.7740545896579</v>
      </c>
      <c r="N273" s="8" t="n">
        <v>0.45</v>
      </c>
      <c r="O273" s="8" t="n">
        <v>0.0533333333333333</v>
      </c>
      <c r="P273" s="8" t="n">
        <v>49.1866666666667</v>
      </c>
      <c r="Q273" s="8" t="n">
        <v>12.8911330426134</v>
      </c>
    </row>
    <row r="274" ht="19" customHeight="1">
      <c r="A274" s="6" t="inlineStr">
        <is>
          <t>Malaysia</t>
        </is>
      </c>
      <c r="B274" s="10" t="n">
        <v>2017</v>
      </c>
      <c r="C274" s="10" t="n">
        <v>1</v>
      </c>
      <c r="D274" s="6" t="inlineStr">
        <is>
          <t>2017 Q1</t>
        </is>
      </c>
      <c r="E274" s="8" t="n">
        <v>119.166666666667</v>
      </c>
      <c r="F274" s="10" t="n">
        <v>4.28821470245042</v>
      </c>
      <c r="G274" s="10" t="n">
        <v>2.28898426323318</v>
      </c>
      <c r="H274" s="8" t="n">
        <v>5.64559729088166</v>
      </c>
      <c r="I274" s="8" t="n">
        <v>3.39841274886436</v>
      </c>
      <c r="J274" s="8" t="n">
        <v>91.0568449546969</v>
      </c>
      <c r="K274" s="8" t="n">
        <v>-2.66672218062435</v>
      </c>
      <c r="L274" s="8" t="n">
        <v>100.125779631695</v>
      </c>
      <c r="M274" s="8" t="n">
        <v>9.23331980015236</v>
      </c>
      <c r="N274" s="8" t="n">
        <v>0.7</v>
      </c>
      <c r="O274" s="8" t="n">
        <v>0.25</v>
      </c>
      <c r="P274" s="8" t="n">
        <v>53.68</v>
      </c>
      <c r="Q274" s="8" t="n">
        <v>59.30359085963</v>
      </c>
    </row>
    <row r="275" ht="19" customHeight="1">
      <c r="A275" s="6" t="inlineStr">
        <is>
          <t>Malaysia</t>
        </is>
      </c>
      <c r="B275" s="10" t="n">
        <v>2017</v>
      </c>
      <c r="C275" s="10" t="n">
        <v>2</v>
      </c>
      <c r="D275" s="6" t="inlineStr">
        <is>
          <t>2017 Q2</t>
        </is>
      </c>
      <c r="E275" s="8" t="n">
        <v>119.1</v>
      </c>
      <c r="F275" s="10" t="n">
        <v>3.95693919115507</v>
      </c>
      <c r="G275" s="10" t="n">
        <v>-0.0559440559440683</v>
      </c>
      <c r="H275" s="8" t="n">
        <v>6.00833455064477</v>
      </c>
      <c r="I275" s="8" t="n">
        <v>4.00901592823968</v>
      </c>
      <c r="J275" s="8" t="n">
        <v>92.02259700798621</v>
      </c>
      <c r="K275" s="8" t="n">
        <v>-3.8174916506149</v>
      </c>
      <c r="L275" s="8" t="n">
        <v>99.4605526807123</v>
      </c>
      <c r="M275" s="8" t="n">
        <v>2.55292049963849</v>
      </c>
      <c r="N275" s="8" t="n">
        <v>0.95</v>
      </c>
      <c r="O275" s="8" t="n">
        <v>0.25</v>
      </c>
      <c r="P275" s="8" t="n">
        <v>49.67</v>
      </c>
      <c r="Q275" s="8" t="n">
        <v>9.10888189207</v>
      </c>
    </row>
    <row r="276" ht="19" customHeight="1">
      <c r="A276" s="6" t="inlineStr">
        <is>
          <t>Malaysia</t>
        </is>
      </c>
      <c r="B276" s="10" t="n">
        <v>2017</v>
      </c>
      <c r="C276" s="10" t="n">
        <v>3</v>
      </c>
      <c r="D276" s="6" t="inlineStr">
        <is>
          <t>2017 Q3</t>
        </is>
      </c>
      <c r="E276" s="8" t="n">
        <v>119.666666666667</v>
      </c>
      <c r="F276" s="10" t="n">
        <v>3.75722543352601</v>
      </c>
      <c r="G276" s="10" t="n">
        <v>0.475790652113073</v>
      </c>
      <c r="H276" s="8" t="n">
        <v>5.99409104326931</v>
      </c>
      <c r="I276" s="8" t="n">
        <v>4.94994044791227</v>
      </c>
      <c r="J276" s="8" t="n">
        <v>91.9694464244723</v>
      </c>
      <c r="K276" s="8" t="n">
        <v>-2.79800758965773</v>
      </c>
      <c r="L276" s="8" t="n">
        <v>102.480667511988</v>
      </c>
      <c r="M276" s="8" t="n">
        <v>1.60211450136303</v>
      </c>
      <c r="N276" s="8" t="n">
        <v>1.15333333333333</v>
      </c>
      <c r="O276" s="8" t="n">
        <v>0.203333333333333</v>
      </c>
      <c r="P276" s="8" t="n">
        <v>52.11</v>
      </c>
      <c r="Q276" s="8" t="n">
        <v>13.8104251601631</v>
      </c>
    </row>
    <row r="277" ht="19" customHeight="1">
      <c r="A277" s="6" t="inlineStr">
        <is>
          <t>Malaysia</t>
        </is>
      </c>
      <c r="B277" s="10" t="n">
        <v>2017</v>
      </c>
      <c r="C277" s="10" t="n">
        <v>4</v>
      </c>
      <c r="D277" s="6" t="inlineStr">
        <is>
          <t>2017 Q4</t>
        </is>
      </c>
      <c r="E277" s="8" t="n">
        <v>120.566666666667</v>
      </c>
      <c r="F277" s="10" t="n">
        <v>3.49070100143061</v>
      </c>
      <c r="G277" s="10" t="n">
        <v>0.752089136490253</v>
      </c>
      <c r="H277" s="8" t="n">
        <v>5.60286675447875</v>
      </c>
      <c r="I277" s="8" t="n">
        <v>6.22118724879111</v>
      </c>
      <c r="J277" s="8" t="n">
        <v>94.3278663382565</v>
      </c>
      <c r="K277" s="8" t="n">
        <v>3.33278293099781</v>
      </c>
      <c r="L277" s="8" t="n">
        <v>100.792675769869</v>
      </c>
      <c r="M277" s="8" t="n">
        <v>-1.0241302421728</v>
      </c>
      <c r="N277" s="8" t="n">
        <v>1.20333333333333</v>
      </c>
      <c r="O277" s="8" t="n">
        <v>0.05</v>
      </c>
      <c r="P277" s="8" t="n">
        <v>61.53</v>
      </c>
      <c r="Q277" s="8" t="n">
        <v>25.0948766603416</v>
      </c>
    </row>
    <row r="278" ht="19" customHeight="1">
      <c r="A278" s="6" t="inlineStr">
        <is>
          <t>Malaysia</t>
        </is>
      </c>
      <c r="B278" s="10" t="n">
        <v>2018</v>
      </c>
      <c r="C278" s="10" t="n">
        <v>1</v>
      </c>
      <c r="D278" s="6" t="inlineStr">
        <is>
          <t>2018 Q1</t>
        </is>
      </c>
      <c r="E278" s="8" t="n">
        <v>121.166666666667</v>
      </c>
      <c r="F278" s="10" t="n">
        <v>1.67832167832167</v>
      </c>
      <c r="G278" s="10" t="n">
        <v>0.497649986176407</v>
      </c>
      <c r="H278" s="8" t="n">
        <v>4.83466129306</v>
      </c>
      <c r="I278" s="8" t="n">
        <v>7.82275760213973</v>
      </c>
      <c r="J278" s="8" t="n">
        <v>97.3391624711294</v>
      </c>
      <c r="K278" s="8" t="n">
        <v>6.89933581550972</v>
      </c>
      <c r="L278" s="8" t="n">
        <v>96.02404012089779</v>
      </c>
      <c r="M278" s="8" t="n">
        <v>-4.09658683895945</v>
      </c>
      <c r="N278" s="8" t="n">
        <v>1.44666666666667</v>
      </c>
      <c r="O278" s="8" t="n">
        <v>0.243333333333333</v>
      </c>
      <c r="P278" s="8" t="n">
        <v>66.8066666666667</v>
      </c>
      <c r="Q278" s="8" t="n">
        <v>24.4535519125683</v>
      </c>
    </row>
    <row r="279" ht="19" customHeight="1">
      <c r="A279" s="6" t="inlineStr">
        <is>
          <t>Malaysia</t>
        </is>
      </c>
      <c r="B279" s="10" t="n">
        <v>2018</v>
      </c>
      <c r="C279" s="10" t="n">
        <v>2</v>
      </c>
      <c r="D279" s="6" t="inlineStr">
        <is>
          <t>2018 Q2</t>
        </is>
      </c>
      <c r="E279" s="8" t="n">
        <v>120.533333333333</v>
      </c>
      <c r="F279" s="10" t="n">
        <v>1.2034704729919</v>
      </c>
      <c r="G279" s="10" t="n">
        <v>-0.522696011004131</v>
      </c>
      <c r="H279" s="8" t="n">
        <v>4.53074948732132</v>
      </c>
      <c r="I279" s="8" t="n">
        <v>8.40949207876595</v>
      </c>
      <c r="J279" s="8" t="n">
        <v>97.624992617685</v>
      </c>
      <c r="K279" s="8" t="n">
        <v>6.08806509689408</v>
      </c>
      <c r="L279" s="8" t="n">
        <v>96.1737638878632</v>
      </c>
      <c r="M279" s="8" t="n">
        <v>-3.30461545231933</v>
      </c>
      <c r="N279" s="8" t="n">
        <v>1.73666666666667</v>
      </c>
      <c r="O279" s="8" t="n">
        <v>0.29</v>
      </c>
      <c r="P279" s="8" t="n">
        <v>74.5</v>
      </c>
      <c r="Q279" s="8" t="n">
        <v>49.9899335615059</v>
      </c>
    </row>
    <row r="280" ht="19" customHeight="1">
      <c r="A280" s="6" t="inlineStr">
        <is>
          <t>Malaysia</t>
        </is>
      </c>
      <c r="B280" s="10" t="n">
        <v>2018</v>
      </c>
      <c r="C280" s="10" t="n">
        <v>3</v>
      </c>
      <c r="D280" s="6" t="inlineStr">
        <is>
          <t>2018 Q3</t>
        </is>
      </c>
      <c r="E280" s="8" t="n">
        <v>120.1</v>
      </c>
      <c r="F280" s="10" t="n">
        <v>0.362116991643435</v>
      </c>
      <c r="G280" s="10" t="n">
        <v>-0.359513274336287</v>
      </c>
      <c r="H280" s="8" t="n">
        <v>4.69113103339067</v>
      </c>
      <c r="I280" s="8" t="n">
        <v>7.9813912653337</v>
      </c>
      <c r="J280" s="8" t="n">
        <v>95.5855200757741</v>
      </c>
      <c r="K280" s="8" t="n">
        <v>3.9318206120458</v>
      </c>
      <c r="L280" s="8" t="n">
        <v>93.2694805076009</v>
      </c>
      <c r="M280" s="8" t="n">
        <v>-8.98821917149397</v>
      </c>
      <c r="N280" s="8" t="n">
        <v>1.92333333333333</v>
      </c>
      <c r="O280" s="8" t="n">
        <v>0.186666666666667</v>
      </c>
      <c r="P280" s="8" t="n">
        <v>75.2233333333333</v>
      </c>
      <c r="Q280" s="8" t="n">
        <v>44.3548902961683</v>
      </c>
    </row>
    <row r="281" ht="19" customHeight="1">
      <c r="A281" s="6" t="inlineStr">
        <is>
          <t>Malaysia</t>
        </is>
      </c>
      <c r="B281" s="10" t="n">
        <v>2018</v>
      </c>
      <c r="C281" s="10" t="n">
        <v>4</v>
      </c>
      <c r="D281" s="6" t="inlineStr">
        <is>
          <t>2018 Q4</t>
        </is>
      </c>
      <c r="E281" s="8" t="n">
        <v>120.933333333333</v>
      </c>
      <c r="F281" s="10" t="n">
        <v>0.304119435996686</v>
      </c>
      <c r="G281" s="10" t="n">
        <v>0.693866222592288</v>
      </c>
      <c r="H281" s="8" t="n">
        <v>5.31580609156613</v>
      </c>
      <c r="I281" s="8" t="n">
        <v>6.53845473379567</v>
      </c>
      <c r="J281" s="8" t="n">
        <v>94.7296667136137</v>
      </c>
      <c r="K281" s="8" t="n">
        <v>0.425961479841397</v>
      </c>
      <c r="L281" s="8" t="n">
        <v>90.7369363173618</v>
      </c>
      <c r="M281" s="8" t="n">
        <v>-9.976656910534739</v>
      </c>
      <c r="N281" s="8" t="n">
        <v>2.22</v>
      </c>
      <c r="O281" s="8" t="n">
        <v>0.296666666666667</v>
      </c>
      <c r="P281" s="8" t="n">
        <v>67.7133333333333</v>
      </c>
      <c r="Q281" s="8" t="n">
        <v>10.0492984452029</v>
      </c>
    </row>
    <row r="282" ht="19" customHeight="1">
      <c r="A282" s="6" t="inlineStr">
        <is>
          <t>Malaysia</t>
        </is>
      </c>
      <c r="B282" s="10" t="n">
        <v>2019</v>
      </c>
      <c r="C282" s="10" t="n">
        <v>1</v>
      </c>
      <c r="D282" s="6" t="inlineStr">
        <is>
          <t>2019 Q1</t>
        </is>
      </c>
      <c r="E282" s="8" t="n">
        <v>120.8</v>
      </c>
      <c r="F282" s="10" t="n">
        <v>-0.302613480055025</v>
      </c>
      <c r="G282" s="10" t="n">
        <v>-0.11025358324146</v>
      </c>
      <c r="H282" s="8" t="n">
        <v>6.40477528663785</v>
      </c>
      <c r="I282" s="8" t="n">
        <v>4.0806810411968</v>
      </c>
      <c r="J282" s="8" t="n">
        <v>95.40942656767849</v>
      </c>
      <c r="K282" s="8" t="n">
        <v>-1.98248665230015</v>
      </c>
      <c r="L282" s="8" t="n">
        <v>93.8324987094736</v>
      </c>
      <c r="M282" s="8" t="n">
        <v>-2.2822841120463</v>
      </c>
      <c r="N282" s="8" t="n">
        <v>2.40333333333333</v>
      </c>
      <c r="O282" s="8" t="n">
        <v>0.183333333333333</v>
      </c>
      <c r="P282" s="8" t="n">
        <v>63.17</v>
      </c>
      <c r="Q282" s="8" t="n">
        <v>-5.4435685061371</v>
      </c>
    </row>
    <row r="283" ht="19" customHeight="1">
      <c r="A283" s="6" t="inlineStr">
        <is>
          <t>Malaysia</t>
        </is>
      </c>
      <c r="B283" s="10" t="n">
        <v>2019</v>
      </c>
      <c r="C283" s="10" t="n">
        <v>2</v>
      </c>
      <c r="D283" s="6" t="inlineStr">
        <is>
          <t>2019 Q2</t>
        </is>
      </c>
      <c r="E283" s="8" t="n">
        <v>121.3</v>
      </c>
      <c r="F283" s="10" t="n">
        <v>0.6360619469026439</v>
      </c>
      <c r="G283" s="10" t="n">
        <v>0.413907284768222</v>
      </c>
      <c r="H283" s="8" t="n">
        <v>6.04372814403864</v>
      </c>
      <c r="I283" s="8" t="n">
        <v>2.53518795772236</v>
      </c>
      <c r="J283" s="8" t="n">
        <v>94.7469448170425</v>
      </c>
      <c r="K283" s="8" t="n">
        <v>-2.94806455137301</v>
      </c>
      <c r="L283" s="8" t="n">
        <v>94.8842784155444</v>
      </c>
      <c r="M283" s="8" t="n">
        <v>-1.34078715461562</v>
      </c>
      <c r="N283" s="8" t="n">
        <v>2.39666666666667</v>
      </c>
      <c r="O283" s="8" t="n">
        <v>-0.0066666666666668</v>
      </c>
      <c r="P283" s="8" t="n">
        <v>68.9233333333333</v>
      </c>
      <c r="Q283" s="8" t="n">
        <v>-7.48545861297539</v>
      </c>
    </row>
    <row r="284" ht="19" customHeight="1">
      <c r="A284" s="6" t="inlineStr">
        <is>
          <t>Malaysia</t>
        </is>
      </c>
      <c r="B284" s="10" t="n">
        <v>2019</v>
      </c>
      <c r="C284" s="10" t="n">
        <v>3</v>
      </c>
      <c r="D284" s="6" t="inlineStr">
        <is>
          <t>2019 Q3</t>
        </is>
      </c>
      <c r="E284" s="8" t="n">
        <v>121.7</v>
      </c>
      <c r="F284" s="10" t="n">
        <v>1.3322231473772</v>
      </c>
      <c r="G284" s="10" t="n">
        <v>0.329760923330591</v>
      </c>
      <c r="H284" s="8" t="n">
        <v>4.2326643027504</v>
      </c>
      <c r="I284" s="8" t="n">
        <v>1.90197393788587</v>
      </c>
      <c r="J284" s="8" t="n">
        <v>94.66656595636719</v>
      </c>
      <c r="K284" s="8" t="n">
        <v>-0.961394695219997</v>
      </c>
      <c r="L284" s="8" t="n">
        <v>94.5983508132319</v>
      </c>
      <c r="M284" s="8" t="n">
        <v>1.42476434777905</v>
      </c>
      <c r="N284" s="8" t="n">
        <v>2.19</v>
      </c>
      <c r="O284" s="8" t="n">
        <v>-0.206666666666667</v>
      </c>
      <c r="P284" s="8" t="n">
        <v>61.93</v>
      </c>
      <c r="Q284" s="8" t="n">
        <v>-17.6718216865334</v>
      </c>
    </row>
    <row r="285" ht="19" customHeight="1">
      <c r="A285" s="6" t="inlineStr">
        <is>
          <t>Malaysia</t>
        </is>
      </c>
      <c r="B285" s="10" t="n">
        <v>2019</v>
      </c>
      <c r="C285" s="10" t="n">
        <v>4</v>
      </c>
      <c r="D285" s="6" t="inlineStr">
        <is>
          <t>2019 Q4</t>
        </is>
      </c>
      <c r="E285" s="8" t="n">
        <v>122.133333333333</v>
      </c>
      <c r="F285" s="10" t="n">
        <v>0.992282249173093</v>
      </c>
      <c r="G285" s="10" t="n">
        <v>0.356066831005197</v>
      </c>
      <c r="H285" s="8" t="n">
        <v>0.971581951710769</v>
      </c>
      <c r="I285" s="8" t="n">
        <v>2.18103834847199</v>
      </c>
      <c r="J285" s="8" t="n">
        <v>94.21122538665431</v>
      </c>
      <c r="K285" s="8" t="n">
        <v>-0.5472850744073</v>
      </c>
      <c r="L285" s="8" t="n">
        <v>98.5900431134575</v>
      </c>
      <c r="M285" s="8" t="n">
        <v>8.654807088293911</v>
      </c>
      <c r="N285" s="8" t="n">
        <v>1.64333333333333</v>
      </c>
      <c r="O285" s="8" t="n">
        <v>-0.546666666666667</v>
      </c>
      <c r="P285" s="8" t="n">
        <v>63.41</v>
      </c>
      <c r="Q285" s="8" t="n">
        <v>-6.35522299891701</v>
      </c>
    </row>
    <row r="286" ht="19" customHeight="1">
      <c r="A286" s="6" t="inlineStr">
        <is>
          <t>Malaysia</t>
        </is>
      </c>
      <c r="B286" s="10" t="n">
        <v>2020</v>
      </c>
      <c r="C286" s="10" t="n">
        <v>1</v>
      </c>
      <c r="D286" s="6" t="inlineStr">
        <is>
          <t>2020 Q1</t>
        </is>
      </c>
      <c r="E286" s="8" t="n">
        <v>121.9</v>
      </c>
      <c r="F286" s="10" t="n">
        <v>0.910596026490063</v>
      </c>
      <c r="G286" s="10" t="n">
        <v>-0.191048034934482</v>
      </c>
      <c r="H286" s="8" t="n">
        <v>-3.73952217014739</v>
      </c>
      <c r="I286" s="8" t="n">
        <v>3.37238146853838</v>
      </c>
      <c r="J286" s="8" t="n">
        <v>93.8842945282348</v>
      </c>
      <c r="K286" s="8" t="n">
        <v>-1.59851295025012</v>
      </c>
      <c r="L286" s="8" t="n">
        <v>101.264856657347</v>
      </c>
      <c r="M286" s="8" t="n">
        <v>7.92087821393919</v>
      </c>
      <c r="N286" s="8" t="n">
        <v>1.26</v>
      </c>
      <c r="O286" s="8" t="n">
        <v>-0.383333333333333</v>
      </c>
      <c r="P286" s="8" t="n">
        <v>50.44</v>
      </c>
      <c r="Q286" s="8" t="n">
        <v>-20.1519708722495</v>
      </c>
    </row>
    <row r="287" ht="19" customHeight="1">
      <c r="A287" s="6" t="inlineStr">
        <is>
          <t>Malaysia</t>
        </is>
      </c>
      <c r="B287" s="10" t="n">
        <v>2020</v>
      </c>
      <c r="C287" s="10" t="n">
        <v>2</v>
      </c>
      <c r="D287" s="6" t="inlineStr">
        <is>
          <t>2020 Q2</t>
        </is>
      </c>
      <c r="E287" s="8" t="n">
        <v>118.2</v>
      </c>
      <c r="F287" s="10" t="n">
        <v>-2.55564715581204</v>
      </c>
      <c r="G287" s="10" t="n">
        <v>-3.03527481542248</v>
      </c>
      <c r="H287" s="8" t="n">
        <v>-6.31089251286022</v>
      </c>
      <c r="I287" s="8" t="n">
        <v>4.33726475171064</v>
      </c>
      <c r="J287" s="8" t="n">
        <v>89.70669091294791</v>
      </c>
      <c r="K287" s="8" t="n">
        <v>-5.31970071840033</v>
      </c>
      <c r="L287" s="8" t="n">
        <v>94.2610802411244</v>
      </c>
      <c r="M287" s="8" t="n">
        <v>-0.656798138560644</v>
      </c>
      <c r="N287" s="8" t="n">
        <v>0.06</v>
      </c>
      <c r="O287" s="8" t="n">
        <v>-1.2</v>
      </c>
      <c r="P287" s="8" t="n">
        <v>29.3433333333333</v>
      </c>
      <c r="Q287" s="8" t="n">
        <v>-57.426125646854</v>
      </c>
    </row>
    <row r="288" ht="19" customHeight="1">
      <c r="A288" s="6" t="inlineStr">
        <is>
          <t>Malaysia</t>
        </is>
      </c>
      <c r="B288" s="10" t="n">
        <v>2020</v>
      </c>
      <c r="C288" s="10" t="n">
        <v>3</v>
      </c>
      <c r="D288" s="6" t="inlineStr">
        <is>
          <t>2020 Q3</t>
        </is>
      </c>
      <c r="E288" s="8" t="n">
        <v>120.033333333333</v>
      </c>
      <c r="F288" s="10" t="n">
        <v>-1.36948781155848</v>
      </c>
      <c r="G288" s="10" t="n">
        <v>1.55104342921601</v>
      </c>
      <c r="H288" s="8" t="n">
        <v>-6.7425316476696</v>
      </c>
      <c r="I288" s="8" t="n">
        <v>5.07568916278353</v>
      </c>
      <c r="J288" s="8" t="n">
        <v>91.03573415812301</v>
      </c>
      <c r="K288" s="8" t="n">
        <v>-3.83538978261619</v>
      </c>
      <c r="L288" s="8" t="n">
        <v>97.88852553233011</v>
      </c>
      <c r="M288" s="8" t="n">
        <v>3.47804659469599</v>
      </c>
      <c r="N288" s="8" t="n">
        <v>0.0933333333333333</v>
      </c>
      <c r="O288" s="8" t="n">
        <v>0.0333333333333333</v>
      </c>
      <c r="P288" s="8" t="n">
        <v>42.9633333333333</v>
      </c>
      <c r="Q288" s="8" t="n">
        <v>-30.6259755638086</v>
      </c>
    </row>
    <row r="289" ht="19" customHeight="1">
      <c r="A289" s="6" t="inlineStr">
        <is>
          <t>Malaysia</t>
        </is>
      </c>
      <c r="B289" s="10" t="n">
        <v>2020</v>
      </c>
      <c r="C289" s="10" t="n">
        <v>4</v>
      </c>
      <c r="D289" s="6" t="inlineStr">
        <is>
          <t>2020 Q4</t>
        </is>
      </c>
      <c r="E289" s="8" t="n">
        <v>120.266666666667</v>
      </c>
      <c r="F289" s="10" t="n">
        <v>-1.52838427947598</v>
      </c>
      <c r="G289" s="10" t="n">
        <v>0.194390447098036</v>
      </c>
      <c r="H289" s="8" t="n">
        <v>-5.03444000635455</v>
      </c>
      <c r="I289" s="8" t="n">
        <v>5.58765544034321</v>
      </c>
      <c r="J289" s="8" t="n">
        <v>91.24080447308739</v>
      </c>
      <c r="K289" s="8" t="n">
        <v>-3.15293735048658</v>
      </c>
      <c r="L289" s="8" t="n">
        <v>107.405441783652</v>
      </c>
      <c r="M289" s="8" t="n">
        <v>8.9414695356711</v>
      </c>
      <c r="N289" s="8" t="n">
        <v>0.09</v>
      </c>
      <c r="O289" s="8" t="n">
        <v>-0.0033333333333333</v>
      </c>
      <c r="P289" s="8" t="n">
        <v>44.29</v>
      </c>
      <c r="Q289" s="8" t="n">
        <v>-30.152972717237</v>
      </c>
    </row>
    <row r="290" ht="19" customHeight="1">
      <c r="A290" s="6" t="inlineStr">
        <is>
          <t>Malaysia</t>
        </is>
      </c>
      <c r="B290" s="10" t="n">
        <v>2021</v>
      </c>
      <c r="C290" s="10" t="n">
        <v>1</v>
      </c>
      <c r="D290" s="6" t="inlineStr">
        <is>
          <t>2021 Q1</t>
        </is>
      </c>
      <c r="E290" s="8" t="n">
        <v>122.5</v>
      </c>
      <c r="F290" s="10" t="n">
        <v>0.492206726825262</v>
      </c>
      <c r="G290" s="10" t="n">
        <v>1.8569844789357</v>
      </c>
      <c r="H290" s="8" t="n">
        <v>-1.18661588076898</v>
      </c>
      <c r="I290" s="8" t="n">
        <v>5.87316409622642</v>
      </c>
      <c r="J290" s="8" t="n">
        <v>92.3310340099567</v>
      </c>
      <c r="K290" s="8" t="n">
        <v>-1.65444127378614</v>
      </c>
      <c r="L290" s="8" t="n">
        <v>106.418456967928</v>
      </c>
      <c r="M290" s="8" t="n">
        <v>5.08922886053087</v>
      </c>
      <c r="N290" s="8" t="n">
        <v>0.08</v>
      </c>
      <c r="O290" s="8" t="n">
        <v>-0.01</v>
      </c>
      <c r="P290" s="8" t="n">
        <v>60.82</v>
      </c>
      <c r="Q290" s="8" t="n">
        <v>20.578905630452</v>
      </c>
    </row>
    <row r="291" ht="19" customHeight="1">
      <c r="A291" s="6" t="inlineStr">
        <is>
          <t>Malaysia</t>
        </is>
      </c>
      <c r="B291" s="10" t="n">
        <v>2021</v>
      </c>
      <c r="C291" s="10" t="n">
        <v>2</v>
      </c>
      <c r="D291" s="6" t="inlineStr">
        <is>
          <t>2021 Q2</t>
        </is>
      </c>
      <c r="E291" s="8" t="n">
        <v>123.133333333333</v>
      </c>
      <c r="F291" s="10" t="n">
        <v>4.17371686407217</v>
      </c>
      <c r="G291" s="10" t="n">
        <v>0.517006802721087</v>
      </c>
      <c r="H291" s="8" t="n">
        <v>2.15329832021367</v>
      </c>
      <c r="I291" s="8" t="n">
        <v>5.86171559308929</v>
      </c>
      <c r="J291" s="8" t="n">
        <v>91.3143229883238</v>
      </c>
      <c r="K291" s="8" t="n">
        <v>1.79209829168252</v>
      </c>
      <c r="L291" s="8" t="n">
        <v>114.551815876528</v>
      </c>
      <c r="M291" s="8" t="n">
        <v>21.5261013172124</v>
      </c>
      <c r="N291" s="8" t="n">
        <v>0.07000000000000001</v>
      </c>
      <c r="O291" s="8" t="n">
        <v>-0.01</v>
      </c>
      <c r="P291" s="8" t="n">
        <v>68.8333333333333</v>
      </c>
      <c r="Q291" s="8" t="n">
        <v>134.579120754288</v>
      </c>
    </row>
    <row r="292" ht="19" customHeight="1">
      <c r="A292" s="6" t="inlineStr">
        <is>
          <t>Malaysia</t>
        </is>
      </c>
      <c r="B292" s="10" t="n">
        <v>2021</v>
      </c>
      <c r="C292" s="10" t="n">
        <v>3</v>
      </c>
      <c r="D292" s="6" t="inlineStr">
        <is>
          <t>2021 Q3</t>
        </is>
      </c>
      <c r="E292" s="8" t="n">
        <v>122.6</v>
      </c>
      <c r="F292" s="10" t="n">
        <v>2.13829491807831</v>
      </c>
      <c r="G292" s="10" t="n">
        <v>-0.433134813210612</v>
      </c>
      <c r="H292" s="8" t="n">
        <v>4.98530593646775</v>
      </c>
      <c r="I292" s="8" t="n">
        <v>5.55330991951024</v>
      </c>
      <c r="J292" s="8" t="n">
        <v>89.66964938932399</v>
      </c>
      <c r="K292" s="8" t="n">
        <v>-1.50060279233455</v>
      </c>
      <c r="L292" s="8" t="n">
        <v>116.298331246585</v>
      </c>
      <c r="M292" s="8" t="n">
        <v>18.8069087915464</v>
      </c>
      <c r="N292" s="8" t="n">
        <v>0.09</v>
      </c>
      <c r="O292" s="8" t="n">
        <v>0.02</v>
      </c>
      <c r="P292" s="8" t="n">
        <v>73.47</v>
      </c>
      <c r="Q292" s="8" t="n">
        <v>71.0062844285825</v>
      </c>
    </row>
    <row r="293" ht="19" customHeight="1">
      <c r="A293" s="6" t="inlineStr">
        <is>
          <t>Malaysia</t>
        </is>
      </c>
      <c r="B293" s="10" t="n">
        <v>2021</v>
      </c>
      <c r="C293" s="10" t="n">
        <v>4</v>
      </c>
      <c r="D293" s="6" t="inlineStr">
        <is>
          <t>2021 Q4</t>
        </is>
      </c>
      <c r="E293" s="8" t="n">
        <v>124.066666666667</v>
      </c>
      <c r="F293" s="10" t="n">
        <v>3.15964523281596</v>
      </c>
      <c r="G293" s="10" t="n">
        <v>1.1963023382273</v>
      </c>
      <c r="H293" s="8" t="n">
        <v>7.30940980001118</v>
      </c>
      <c r="I293" s="8" t="n">
        <v>4.94794676703945</v>
      </c>
      <c r="J293" s="8" t="n">
        <v>90.8399963137184</v>
      </c>
      <c r="K293" s="8" t="n">
        <v>-0.439286086618407</v>
      </c>
      <c r="L293" s="8" t="n">
        <v>122.679602624024</v>
      </c>
      <c r="M293" s="8" t="n">
        <v>14.2210306914792</v>
      </c>
      <c r="N293" s="8" t="n">
        <v>0.08</v>
      </c>
      <c r="O293" s="8" t="n">
        <v>-0.01</v>
      </c>
      <c r="P293" s="8" t="n">
        <v>79.5866666666667</v>
      </c>
      <c r="Q293" s="8" t="n">
        <v>79.69443817265</v>
      </c>
    </row>
    <row r="294" ht="19" customHeight="1">
      <c r="A294" s="6" t="inlineStr">
        <is>
          <t>Malaysia</t>
        </is>
      </c>
      <c r="B294" s="10" t="n">
        <v>2022</v>
      </c>
      <c r="C294" s="10" t="n">
        <v>1</v>
      </c>
      <c r="D294" s="6" t="inlineStr">
        <is>
          <t>2022 Q1</t>
        </is>
      </c>
      <c r="E294" s="8" t="n">
        <v>125.233333333333</v>
      </c>
      <c r="F294" s="10" t="n">
        <v>2.2312925170068</v>
      </c>
      <c r="G294" s="10" t="n">
        <v>0.9403546480386989</v>
      </c>
      <c r="H294" s="8" t="n">
        <v>9.1256122348862</v>
      </c>
      <c r="I294" s="8" t="n">
        <v>4.04562553034242</v>
      </c>
      <c r="J294" s="8" t="n">
        <v>90.60589435099619</v>
      </c>
      <c r="K294" s="8" t="n">
        <v>-1.86842883052136</v>
      </c>
      <c r="L294" s="8" t="n">
        <v>124.25343875034</v>
      </c>
      <c r="M294" s="8" t="n">
        <v>16.7592937264516</v>
      </c>
      <c r="N294" s="8" t="n">
        <v>0.12</v>
      </c>
      <c r="O294" s="8" t="n">
        <v>0.04</v>
      </c>
      <c r="P294" s="8" t="n">
        <v>100.296666666667</v>
      </c>
      <c r="Q294" s="8" t="n">
        <v>64.9073769593335</v>
      </c>
    </row>
    <row r="295" ht="19" customHeight="1">
      <c r="A295" s="6" t="inlineStr">
        <is>
          <t>Malaysia</t>
        </is>
      </c>
      <c r="B295" s="10" t="n">
        <v>2022</v>
      </c>
      <c r="C295" s="10" t="n">
        <v>2</v>
      </c>
      <c r="D295" s="6" t="inlineStr">
        <is>
          <t>2022 Q2</t>
        </is>
      </c>
      <c r="E295" s="8" t="n">
        <v>126.633333333333</v>
      </c>
      <c r="F295" s="10" t="n">
        <v>2.84244721169464</v>
      </c>
      <c r="G295" s="10" t="n">
        <v>1.11791322863988</v>
      </c>
      <c r="H295" s="8" t="n">
        <v>9.81454297533028</v>
      </c>
      <c r="I295" s="8" t="n">
        <v>3.66525292758574</v>
      </c>
      <c r="J295" s="8" t="n">
        <v>90.00557529717069</v>
      </c>
      <c r="K295" s="8" t="n">
        <v>-1.43323374507235</v>
      </c>
      <c r="L295" s="8" t="n">
        <v>134.351432934678</v>
      </c>
      <c r="M295" s="8" t="n">
        <v>17.2844200736996</v>
      </c>
      <c r="N295" s="8" t="n">
        <v>0.77</v>
      </c>
      <c r="O295" s="8" t="n">
        <v>0.65</v>
      </c>
      <c r="P295" s="8" t="n">
        <v>113.543333333333</v>
      </c>
      <c r="Q295" s="8" t="n">
        <v>64.95399515738499</v>
      </c>
    </row>
    <row r="296" ht="19" customHeight="1">
      <c r="A296" s="6" t="inlineStr">
        <is>
          <t>Malaysia</t>
        </is>
      </c>
      <c r="B296" s="10" t="n">
        <v>2022</v>
      </c>
      <c r="C296" s="10" t="n">
        <v>3</v>
      </c>
      <c r="D296" s="6" t="inlineStr">
        <is>
          <t>2022 Q3</t>
        </is>
      </c>
      <c r="E296" s="8" t="n">
        <v>128.133333333333</v>
      </c>
      <c r="F296" s="10" t="n">
        <v>4.51332245785754</v>
      </c>
      <c r="G296" s="10" t="n">
        <v>1.18452224269543</v>
      </c>
      <c r="H296" s="8" t="n">
        <v>9.376202710224041</v>
      </c>
      <c r="I296" s="8" t="n">
        <v>3.80682857847977</v>
      </c>
      <c r="J296" s="8" t="n">
        <v>90.2640678657512</v>
      </c>
      <c r="K296" s="8" t="n">
        <v>0.662898182914007</v>
      </c>
      <c r="L296" s="8" t="n">
        <v>118.584751746656</v>
      </c>
      <c r="M296" s="8" t="n">
        <v>1.96599596534466</v>
      </c>
      <c r="N296" s="8" t="n">
        <v>2.19</v>
      </c>
      <c r="O296" s="8" t="n">
        <v>1.42</v>
      </c>
      <c r="P296" s="8" t="n">
        <v>100.713333333333</v>
      </c>
      <c r="Q296" s="8" t="n">
        <v>37.0808946962479</v>
      </c>
    </row>
    <row r="297" ht="19" customHeight="1">
      <c r="A297" s="6" t="inlineStr">
        <is>
          <t>Malaysia</t>
        </is>
      </c>
      <c r="B297" s="10" t="n">
        <v>2022</v>
      </c>
      <c r="C297" s="10" t="n">
        <v>4</v>
      </c>
      <c r="D297" s="6" t="inlineStr">
        <is>
          <t>2022 Q4</t>
        </is>
      </c>
      <c r="E297" s="8" t="n">
        <v>128.933333333333</v>
      </c>
      <c r="F297" s="10" t="n">
        <v>3.92262224610425</v>
      </c>
      <c r="G297" s="10" t="n">
        <v>0.624349635796051</v>
      </c>
      <c r="H297" s="8" t="n">
        <v>7.81059100120743</v>
      </c>
      <c r="I297" s="8" t="n">
        <v>4.47035262455805</v>
      </c>
      <c r="J297" s="8" t="n">
        <v>88.6413054871576</v>
      </c>
      <c r="K297" s="8" t="n">
        <v>-2.4203995109903</v>
      </c>
      <c r="L297" s="8" t="n">
        <v>115.210051245214</v>
      </c>
      <c r="M297" s="8" t="n">
        <v>-6.08866610181539</v>
      </c>
      <c r="N297" s="8" t="n">
        <v>3.65333333333333</v>
      </c>
      <c r="O297" s="8" t="n">
        <v>1.46333333333333</v>
      </c>
      <c r="P297" s="8" t="n">
        <v>88.5566666666667</v>
      </c>
      <c r="Q297" s="8" t="n">
        <v>11.2707321159323</v>
      </c>
    </row>
    <row r="298" ht="19" customHeight="1">
      <c r="A298" s="6" t="inlineStr">
        <is>
          <t>Malaysia</t>
        </is>
      </c>
      <c r="B298" s="10" t="n">
        <v>2023</v>
      </c>
      <c r="C298" s="10" t="n">
        <v>1</v>
      </c>
      <c r="D298" s="6" t="inlineStr">
        <is>
          <t>2023 Q1</t>
        </is>
      </c>
      <c r="E298" s="8" t="n">
        <v>129.733333333333</v>
      </c>
      <c r="F298" s="10" t="n">
        <v>3.59329252062817</v>
      </c>
      <c r="G298" s="10" t="n">
        <v>0.620475698035161</v>
      </c>
      <c r="H298" s="8" t="n">
        <v>5.11770628262755</v>
      </c>
      <c r="I298" s="8" t="n">
        <v>5.65582572935345</v>
      </c>
      <c r="J298" s="8" t="n">
        <v>88.9130309466845</v>
      </c>
      <c r="K298" s="8" t="n">
        <v>-1.86838109864442</v>
      </c>
      <c r="L298" s="8" t="n">
        <v>114.034689515825</v>
      </c>
      <c r="M298" s="8" t="n">
        <v>-8.224117849203459</v>
      </c>
      <c r="N298" s="8" t="n">
        <v>4.51666666666667</v>
      </c>
      <c r="O298" s="8" t="n">
        <v>0.863333333333333</v>
      </c>
      <c r="P298" s="8" t="n">
        <v>81.1733333333333</v>
      </c>
      <c r="Q298" s="8" t="n">
        <v>-19.0667685865266</v>
      </c>
    </row>
    <row r="299" ht="19" customHeight="1">
      <c r="A299" s="6" t="inlineStr">
        <is>
          <t>Malaysia</t>
        </is>
      </c>
      <c r="B299" s="10" t="n">
        <v>2023</v>
      </c>
      <c r="C299" s="10" t="n">
        <v>2</v>
      </c>
      <c r="D299" s="6" t="inlineStr">
        <is>
          <t>2023 Q2</t>
        </is>
      </c>
      <c r="E299" s="8" t="n">
        <v>130.2</v>
      </c>
      <c r="F299" s="10" t="n">
        <v>2.81653066596472</v>
      </c>
      <c r="G299" s="10" t="n">
        <v>0.359712230215803</v>
      </c>
      <c r="H299" s="8" t="n">
        <v>3.40829616017238</v>
      </c>
      <c r="I299" s="8" t="n">
        <v>6.20016485971577</v>
      </c>
      <c r="J299" s="8" t="n">
        <v>86.5057585979978</v>
      </c>
      <c r="K299" s="8" t="n">
        <v>-3.88844434093962</v>
      </c>
      <c r="L299" s="8" t="n">
        <v>109.857789884183</v>
      </c>
      <c r="M299" s="8" t="n">
        <v>-18.2310247948031</v>
      </c>
      <c r="N299" s="8" t="n">
        <v>4.99</v>
      </c>
      <c r="O299" s="8" t="n">
        <v>0.473333333333334</v>
      </c>
      <c r="P299" s="8" t="n">
        <v>78.31666666666671</v>
      </c>
      <c r="Q299" s="8" t="n">
        <v>-31.0248656900449</v>
      </c>
    </row>
    <row r="300" ht="19" customHeight="1">
      <c r="A300" s="6" t="inlineStr">
        <is>
          <t>Malaysia</t>
        </is>
      </c>
      <c r="B300" s="10" t="n">
        <v>2023</v>
      </c>
      <c r="C300" s="10" t="n">
        <v>3</v>
      </c>
      <c r="D300" s="6" t="inlineStr">
        <is>
          <t>2023 Q3</t>
        </is>
      </c>
      <c r="E300" s="8" t="n">
        <v>130.666666666667</v>
      </c>
      <c r="F300" s="10" t="n">
        <v>1.97710718002082</v>
      </c>
      <c r="G300" s="10" t="n">
        <v>0.358422939068093</v>
      </c>
      <c r="H300" s="8" t="n">
        <v>2.68235892435485</v>
      </c>
      <c r="I300" s="8" t="n">
        <v>6.10337055997564</v>
      </c>
      <c r="J300" s="8" t="n">
        <v>85.3547755451647</v>
      </c>
      <c r="K300" s="8" t="n">
        <v>-5.43881129741242</v>
      </c>
      <c r="L300" s="8" t="n">
        <v>107.510614988168</v>
      </c>
      <c r="M300" s="8" t="n">
        <v>-9.338584088911441</v>
      </c>
      <c r="N300" s="8" t="n">
        <v>5.26</v>
      </c>
      <c r="O300" s="8" t="n">
        <v>0.27</v>
      </c>
      <c r="P300" s="8" t="n">
        <v>86.66</v>
      </c>
      <c r="Q300" s="8" t="n">
        <v>-13.9537962533925</v>
      </c>
    </row>
    <row r="301" ht="19" customHeight="1">
      <c r="A301" s="6" t="inlineStr">
        <is>
          <t>Malaysia</t>
        </is>
      </c>
      <c r="B301" s="10" t="n">
        <v>2023</v>
      </c>
      <c r="C301" s="10" t="n">
        <v>4</v>
      </c>
      <c r="D301" s="6" t="inlineStr">
        <is>
          <t>2023 Q4</t>
        </is>
      </c>
      <c r="E301" s="8" t="n">
        <v>131</v>
      </c>
      <c r="F301" s="10" t="n">
        <v>1.6028955532575</v>
      </c>
      <c r="G301" s="10" t="n">
        <v>0.255102040816335</v>
      </c>
      <c r="H301" s="8" t="n">
        <v>2.93989384924944</v>
      </c>
      <c r="I301" s="8" t="n">
        <v>5.36544273336041</v>
      </c>
      <c r="J301" s="8" t="n">
        <v>84.5364752505069</v>
      </c>
      <c r="K301" s="8" t="n">
        <v>-4.6308323349834</v>
      </c>
      <c r="L301" s="8" t="n">
        <v>105.339533846651</v>
      </c>
      <c r="M301" s="8" t="n">
        <v>-8.56740995414912</v>
      </c>
      <c r="N301" s="8" t="n">
        <v>5.33</v>
      </c>
      <c r="O301" s="8" t="n">
        <v>0.0700000000000003</v>
      </c>
      <c r="P301" s="8" t="n">
        <v>83.7233333333333</v>
      </c>
      <c r="Q301" s="8" t="n">
        <v>-5.45789889712802</v>
      </c>
    </row>
    <row r="302" ht="19" customHeight="1">
      <c r="A302" s="6" t="inlineStr">
        <is>
          <t>Malaysia</t>
        </is>
      </c>
      <c r="B302" s="10" t="n">
        <v>2024</v>
      </c>
      <c r="C302" s="10" t="n">
        <v>1</v>
      </c>
      <c r="D302" s="6" t="inlineStr">
        <is>
          <t>2024 Q1</t>
        </is>
      </c>
      <c r="E302" s="8" t="n">
        <v>131.9</v>
      </c>
      <c r="F302" s="10" t="n">
        <v>1.67009249743062</v>
      </c>
      <c r="G302" s="10" t="n">
        <v>0.687022900763368</v>
      </c>
      <c r="H302" s="8" t="n">
        <v>4.18090119240212</v>
      </c>
      <c r="I302" s="8" t="n">
        <v>3.986380641945</v>
      </c>
      <c r="J302" s="8" t="n">
        <v>83.75521950504</v>
      </c>
      <c r="K302" s="8" t="n">
        <v>-5.80096234120871</v>
      </c>
      <c r="L302" s="8" t="n">
        <v>102.582568583479</v>
      </c>
      <c r="M302" s="8" t="n">
        <v>-10.0426641936497</v>
      </c>
      <c r="N302" s="8" t="n">
        <v>5.33</v>
      </c>
      <c r="O302" s="8" t="n">
        <v>0</v>
      </c>
      <c r="P302" s="8" t="n">
        <v>83.0033333333333</v>
      </c>
      <c r="Q302" s="8" t="n">
        <v>2.25443495400788</v>
      </c>
    </row>
    <row r="303" ht="19" customHeight="1">
      <c r="A303" s="6" t="inlineStr">
        <is>
          <t>Malaysia</t>
        </is>
      </c>
      <c r="B303" s="10" t="n">
        <v>2024</v>
      </c>
      <c r="C303" s="10" t="n">
        <v>2</v>
      </c>
      <c r="D303" s="6" t="inlineStr">
        <is>
          <t>2024 Q2</t>
        </is>
      </c>
      <c r="E303" s="8" t="n">
        <v>132.733333333333</v>
      </c>
      <c r="F303" s="10" t="n">
        <v>1.94572452636972</v>
      </c>
      <c r="G303" s="10" t="n">
        <v>0.631791761435441</v>
      </c>
      <c r="H303" s="8" t="n">
        <v>5.04712694118034</v>
      </c>
      <c r="I303" s="8" t="n">
        <v>3.15069407141987</v>
      </c>
      <c r="J303" s="8" t="n">
        <v>84.8401960611896</v>
      </c>
      <c r="K303" s="8" t="n">
        <v>-1.92537764398809</v>
      </c>
      <c r="L303" s="8" t="n">
        <v>104.519793640698</v>
      </c>
      <c r="M303" s="8" t="n">
        <v>-4.85900567371084</v>
      </c>
      <c r="N303" s="8" t="n">
        <v>5.33</v>
      </c>
      <c r="O303" s="8" t="n">
        <v>0</v>
      </c>
      <c r="P303" s="8" t="n">
        <v>84.6466666666667</v>
      </c>
      <c r="Q303" s="8" t="n">
        <v>8.082570759736109</v>
      </c>
    </row>
    <row r="304" ht="19" customHeight="1">
      <c r="A304" s="6" t="inlineStr">
        <is>
          <t>Malaysia</t>
        </is>
      </c>
      <c r="B304" s="10" t="n">
        <v>2024</v>
      </c>
      <c r="C304" s="10" t="n">
        <v>3</v>
      </c>
      <c r="D304" s="6" t="inlineStr">
        <is>
          <t>2024 Q3</t>
        </is>
      </c>
      <c r="E304" s="8" t="n">
        <v>133.166666666667</v>
      </c>
      <c r="F304" s="10" t="n">
        <v>1.91326530612246</v>
      </c>
      <c r="G304" s="10" t="n">
        <v>0.326469110999472</v>
      </c>
      <c r="H304" s="8" t="n">
        <v>5.5385719617799</v>
      </c>
      <c r="I304" s="8" t="n">
        <v>2.85838218612209</v>
      </c>
      <c r="J304" s="8" t="n">
        <v>88.6555846066386</v>
      </c>
      <c r="K304" s="8" t="n">
        <v>3.86716389374995</v>
      </c>
      <c r="L304" s="8" t="n">
        <v>106.377099329068</v>
      </c>
      <c r="M304" s="8" t="n">
        <v>-1.05432906250624</v>
      </c>
      <c r="N304" s="8" t="n">
        <v>5.26333333333333</v>
      </c>
      <c r="O304" s="8" t="n">
        <v>-0.0666666666666664</v>
      </c>
      <c r="P304" s="8" t="n">
        <v>79.84333333333331</v>
      </c>
      <c r="Q304" s="8" t="n">
        <v>-7.86598969151473</v>
      </c>
    </row>
    <row r="305" ht="19" customHeight="1">
      <c r="A305" s="6" t="inlineStr">
        <is>
          <t>Malaysia</t>
        </is>
      </c>
      <c r="B305" s="10" t="n">
        <v>2024</v>
      </c>
      <c r="C305" s="10" t="n">
        <v>4</v>
      </c>
      <c r="D305" s="6" t="inlineStr">
        <is>
          <t>2024 Q4</t>
        </is>
      </c>
      <c r="E305" s="8" t="n">
        <v>133.366666666667</v>
      </c>
      <c r="F305" s="10" t="n">
        <v>1.80661577608143</v>
      </c>
      <c r="G305" s="10" t="n">
        <v>0.15018773466835</v>
      </c>
      <c r="H305" s="8" t="n">
        <v>5.65523674563646</v>
      </c>
      <c r="I305" s="8" t="n">
        <v>3.10944469376372</v>
      </c>
      <c r="J305" s="8" t="n">
        <v>90.59512900887999</v>
      </c>
      <c r="K305" s="8" t="n">
        <v>7.16691078072456</v>
      </c>
      <c r="L305" s="8" t="n">
        <v>110.645361455409</v>
      </c>
      <c r="M305" s="8" t="n">
        <v>5.03688161035707</v>
      </c>
      <c r="N305" s="8" t="n">
        <v>4.65</v>
      </c>
      <c r="O305" s="8" t="n">
        <v>-0.613333333333333</v>
      </c>
      <c r="P305" s="8" t="n">
        <v>74.6133333333333</v>
      </c>
      <c r="Q305" s="8" t="n">
        <v>-10.8810765616913</v>
      </c>
    </row>
    <row r="306" ht="19" customHeight="1">
      <c r="A306" s="6" t="inlineStr">
        <is>
          <t>Malaysia</t>
        </is>
      </c>
      <c r="B306" s="10" t="n">
        <v>2025</v>
      </c>
      <c r="C306" s="10" t="n">
        <v>1</v>
      </c>
      <c r="D306" s="6" t="inlineStr">
        <is>
          <t>2025 Q1</t>
        </is>
      </c>
      <c r="E306" s="8" t="n">
        <v>133.85</v>
      </c>
      <c r="F306" s="10" t="n">
        <v>1.47839272175889</v>
      </c>
      <c r="G306" s="10" t="n">
        <v>0.362409397650576</v>
      </c>
      <c r="H306" s="8" t="n">
        <v>5.39712140949998</v>
      </c>
      <c r="I306" s="8" t="n">
        <v>3.90388184531966</v>
      </c>
      <c r="J306" s="8" t="n">
        <v>89.9874794725602</v>
      </c>
      <c r="K306" s="8" t="n">
        <v>7.44104069495648</v>
      </c>
      <c r="L306" s="8" t="n">
        <v>108.711496383905</v>
      </c>
      <c r="M306" s="8" t="n">
        <v>5.97462891118643</v>
      </c>
      <c r="N306" s="8" t="n">
        <v>4.33</v>
      </c>
      <c r="O306" s="8" t="n">
        <v>-0.32</v>
      </c>
      <c r="P306" s="8" t="n">
        <v>75.8133333333333</v>
      </c>
      <c r="Q306" s="8" t="n">
        <v>-8.662302718766311</v>
      </c>
    </row>
    <row r="307" ht="19" customHeight="1">
      <c r="A307" s="6" t="inlineStr">
        <is>
          <t>Myanmar</t>
        </is>
      </c>
      <c r="B307" s="10" t="n">
        <v>2010</v>
      </c>
      <c r="C307" s="10" t="n">
        <v>1</v>
      </c>
      <c r="D307" s="6" t="inlineStr">
        <is>
          <t>2010 Q1</t>
        </is>
      </c>
      <c r="E307" s="8" t="n">
        <v>89.0484082560648</v>
      </c>
      <c r="F307" s="9" t="inlineStr"/>
      <c r="G307" s="9" t="inlineStr"/>
      <c r="H307" s="8" t="n">
        <v>10.6916912684653</v>
      </c>
      <c r="I307" s="8" t="n">
        <v>45.4435594495843</v>
      </c>
      <c r="J307" s="9" t="inlineStr"/>
      <c r="K307" s="9" t="inlineStr"/>
      <c r="L307" s="8" t="n">
        <v>99.24199528149821</v>
      </c>
      <c r="M307" s="9" t="inlineStr"/>
      <c r="N307" s="8" t="n">
        <v>0.133333333333333</v>
      </c>
      <c r="O307" s="9" t="inlineStr"/>
      <c r="P307" s="8" t="n">
        <v>76.25</v>
      </c>
      <c r="Q307" s="9" t="inlineStr"/>
    </row>
    <row r="308" ht="19" customHeight="1">
      <c r="A308" s="6" t="inlineStr">
        <is>
          <t>Myanmar</t>
        </is>
      </c>
      <c r="B308" s="10" t="n">
        <v>2010</v>
      </c>
      <c r="C308" s="10" t="n">
        <v>2</v>
      </c>
      <c r="D308" s="6" t="inlineStr">
        <is>
          <t>2010 Q2</t>
        </is>
      </c>
      <c r="E308" s="8" t="n">
        <v>92.08993333333331</v>
      </c>
      <c r="F308" s="9" t="inlineStr"/>
      <c r="G308" s="10" t="n">
        <v>3.41558612538302</v>
      </c>
      <c r="H308" s="8" t="n">
        <v>10.2687907956178</v>
      </c>
      <c r="I308" s="8" t="n">
        <v>44.266027102569</v>
      </c>
      <c r="J308" s="9" t="inlineStr"/>
      <c r="K308" s="9" t="inlineStr"/>
      <c r="L308" s="8" t="n">
        <v>96.4984622523225</v>
      </c>
      <c r="M308" s="9" t="inlineStr"/>
      <c r="N308" s="8" t="n">
        <v>0.193333333333333</v>
      </c>
      <c r="O308" s="8" t="n">
        <v>0.06</v>
      </c>
      <c r="P308" s="8" t="n">
        <v>78.51000000000001</v>
      </c>
      <c r="Q308" s="9" t="inlineStr"/>
    </row>
    <row r="309" ht="19" customHeight="1">
      <c r="A309" s="6" t="inlineStr">
        <is>
          <t>Myanmar</t>
        </is>
      </c>
      <c r="B309" s="10" t="n">
        <v>2010</v>
      </c>
      <c r="C309" s="10" t="n">
        <v>3</v>
      </c>
      <c r="D309" s="6" t="inlineStr">
        <is>
          <t>2010 Q3</t>
        </is>
      </c>
      <c r="E309" s="8" t="n">
        <v>93.59782</v>
      </c>
      <c r="F309" s="9" t="inlineStr"/>
      <c r="G309" s="10" t="n">
        <v>1.63740662207741</v>
      </c>
      <c r="H309" s="8" t="n">
        <v>9.422989427012389</v>
      </c>
      <c r="I309" s="8" t="n">
        <v>41.910961231004</v>
      </c>
      <c r="J309" s="9" t="inlineStr"/>
      <c r="K309" s="9" t="inlineStr"/>
      <c r="L309" s="8" t="n">
        <v>107.356970480027</v>
      </c>
      <c r="M309" s="9" t="inlineStr"/>
      <c r="N309" s="8" t="n">
        <v>0.186666666666667</v>
      </c>
      <c r="O309" s="8" t="n">
        <v>-0.0066666666666666</v>
      </c>
      <c r="P309" s="8" t="n">
        <v>76.81999999999999</v>
      </c>
      <c r="Q309" s="9" t="inlineStr"/>
    </row>
    <row r="310" ht="19" customHeight="1">
      <c r="A310" s="6" t="inlineStr">
        <is>
          <t>Myanmar</t>
        </is>
      </c>
      <c r="B310" s="10" t="n">
        <v>2010</v>
      </c>
      <c r="C310" s="10" t="n">
        <v>4</v>
      </c>
      <c r="D310" s="6" t="inlineStr">
        <is>
          <t>2010 Q4</t>
        </is>
      </c>
      <c r="E310" s="8" t="n">
        <v>95.5138833333333</v>
      </c>
      <c r="F310" s="9" t="inlineStr"/>
      <c r="G310" s="10" t="n">
        <v>2.04712388956636</v>
      </c>
      <c r="H310" s="8" t="n">
        <v>8.15428631686042</v>
      </c>
      <c r="I310" s="8" t="n">
        <v>38.3783594797089</v>
      </c>
      <c r="J310" s="9" t="inlineStr"/>
      <c r="K310" s="9" t="inlineStr"/>
      <c r="L310" s="8" t="n">
        <v>124.608736829891</v>
      </c>
      <c r="M310" s="9" t="inlineStr"/>
      <c r="N310" s="8" t="n">
        <v>0.186666666666667</v>
      </c>
      <c r="O310" s="8" t="n">
        <v>0</v>
      </c>
      <c r="P310" s="8" t="n">
        <v>86.4666666666667</v>
      </c>
      <c r="Q310" s="9" t="inlineStr"/>
    </row>
    <row r="311" ht="19" customHeight="1">
      <c r="A311" s="6" t="inlineStr">
        <is>
          <t>Myanmar</t>
        </is>
      </c>
      <c r="B311" s="10" t="n">
        <v>2011</v>
      </c>
      <c r="C311" s="10" t="n">
        <v>1</v>
      </c>
      <c r="D311" s="6" t="inlineStr">
        <is>
          <t>2011 Q1</t>
        </is>
      </c>
      <c r="E311" s="8" t="n">
        <v>96.68492000000001</v>
      </c>
      <c r="F311" s="10" t="n">
        <v>8.575685847158461</v>
      </c>
      <c r="G311" s="10" t="n">
        <v>1.22603816932025</v>
      </c>
      <c r="H311" s="8" t="n">
        <v>6.46268019647009</v>
      </c>
      <c r="I311" s="8" t="n">
        <v>33.6682183163152</v>
      </c>
      <c r="J311" s="9" t="inlineStr"/>
      <c r="K311" s="9" t="inlineStr"/>
      <c r="L311" s="8" t="n">
        <v>121.875946057639</v>
      </c>
      <c r="M311" s="8" t="n">
        <v>22.8068276055313</v>
      </c>
      <c r="N311" s="8" t="n">
        <v>0.156666666666667</v>
      </c>
      <c r="O311" s="8" t="n">
        <v>-0.03</v>
      </c>
      <c r="P311" s="8" t="n">
        <v>104.96</v>
      </c>
      <c r="Q311" s="8" t="n">
        <v>37.6524590163934</v>
      </c>
    </row>
    <row r="312" ht="19" customHeight="1">
      <c r="A312" s="6" t="inlineStr">
        <is>
          <t>Myanmar</t>
        </is>
      </c>
      <c r="B312" s="10" t="n">
        <v>2011</v>
      </c>
      <c r="C312" s="10" t="n">
        <v>2</v>
      </c>
      <c r="D312" s="6" t="inlineStr">
        <is>
          <t>2011 Q2</t>
        </is>
      </c>
      <c r="E312" s="8" t="n">
        <v>98.6148533333333</v>
      </c>
      <c r="F312" s="10" t="n">
        <v>7.08537813398353</v>
      </c>
      <c r="G312" s="10" t="n">
        <v>1.99610583877334</v>
      </c>
      <c r="H312" s="8" t="n">
        <v>5.43755906680137</v>
      </c>
      <c r="I312" s="8" t="n">
        <v>30.5574119916602</v>
      </c>
      <c r="J312" s="9" t="inlineStr"/>
      <c r="K312" s="9" t="inlineStr"/>
      <c r="L312" s="8" t="n">
        <v>122.00081812372</v>
      </c>
      <c r="M312" s="8" t="n">
        <v>26.4277329152819</v>
      </c>
      <c r="N312" s="8" t="n">
        <v>0.0933333333333333</v>
      </c>
      <c r="O312" s="8" t="n">
        <v>-0.0633333333333333</v>
      </c>
      <c r="P312" s="8" t="n">
        <v>117.36</v>
      </c>
      <c r="Q312" s="8" t="n">
        <v>49.4841421474971</v>
      </c>
    </row>
    <row r="313" ht="19" customHeight="1">
      <c r="A313" s="6" t="inlineStr">
        <is>
          <t>Myanmar</t>
        </is>
      </c>
      <c r="B313" s="10" t="n">
        <v>2011</v>
      </c>
      <c r="C313" s="10" t="n">
        <v>3</v>
      </c>
      <c r="D313" s="6" t="inlineStr">
        <is>
          <t>2011 Q3</t>
        </is>
      </c>
      <c r="E313" s="8" t="n">
        <v>96.8929733333333</v>
      </c>
      <c r="F313" s="10" t="n">
        <v>3.52054495856136</v>
      </c>
      <c r="G313" s="10" t="n">
        <v>-1.74606556902721</v>
      </c>
      <c r="H313" s="8" t="n">
        <v>5.07892190286653</v>
      </c>
      <c r="I313" s="8" t="n">
        <v>29.0459373950388</v>
      </c>
      <c r="J313" s="9" t="inlineStr"/>
      <c r="K313" s="9" t="inlineStr"/>
      <c r="L313" s="8" t="n">
        <v>118.888757234176</v>
      </c>
      <c r="M313" s="8" t="n">
        <v>10.7415351817278</v>
      </c>
      <c r="N313" s="8" t="n">
        <v>0.0833333333333333</v>
      </c>
      <c r="O313" s="8" t="n">
        <v>-0.01</v>
      </c>
      <c r="P313" s="8" t="n">
        <v>113.34</v>
      </c>
      <c r="Q313" s="8" t="n">
        <v>47.5397032022911</v>
      </c>
    </row>
    <row r="314" ht="19" customHeight="1">
      <c r="A314" s="6" t="inlineStr">
        <is>
          <t>Myanmar</t>
        </is>
      </c>
      <c r="B314" s="10" t="n">
        <v>2011</v>
      </c>
      <c r="C314" s="10" t="n">
        <v>4</v>
      </c>
      <c r="D314" s="6" t="inlineStr">
        <is>
          <t>2011 Q4</t>
        </is>
      </c>
      <c r="E314" s="8" t="n">
        <v>96.64925333333331</v>
      </c>
      <c r="F314" s="10" t="n">
        <v>1.1886963029633</v>
      </c>
      <c r="G314" s="10" t="n">
        <v>-0.251535267848113</v>
      </c>
      <c r="H314" s="8" t="n">
        <v>5.3867683458379</v>
      </c>
      <c r="I314" s="8" t="n">
        <v>29.1337930147978</v>
      </c>
      <c r="J314" s="9" t="inlineStr"/>
      <c r="K314" s="9" t="inlineStr"/>
      <c r="L314" s="8" t="n">
        <v>112.174119298219</v>
      </c>
      <c r="M314" s="8" t="n">
        <v>-9.978929124887189</v>
      </c>
      <c r="N314" s="8" t="n">
        <v>0.07333333333333331</v>
      </c>
      <c r="O314" s="8" t="n">
        <v>-0.01</v>
      </c>
      <c r="P314" s="8" t="n">
        <v>109.396666666667</v>
      </c>
      <c r="Q314" s="8" t="n">
        <v>26.5188897455667</v>
      </c>
    </row>
    <row r="315" ht="19" customHeight="1">
      <c r="A315" s="6" t="inlineStr">
        <is>
          <t>Myanmar</t>
        </is>
      </c>
      <c r="B315" s="10" t="n">
        <v>2012</v>
      </c>
      <c r="C315" s="10" t="n">
        <v>1</v>
      </c>
      <c r="D315" s="6" t="inlineStr">
        <is>
          <t>2012 Q1</t>
        </is>
      </c>
      <c r="E315" s="8" t="n">
        <v>96.18163</v>
      </c>
      <c r="F315" s="10" t="n">
        <v>-0.520546534040678</v>
      </c>
      <c r="G315" s="10" t="n">
        <v>-0.483835432975932</v>
      </c>
      <c r="H315" s="8" t="n">
        <v>6.36109870371816</v>
      </c>
      <c r="I315" s="8" t="n">
        <v>30.8209789389848</v>
      </c>
      <c r="J315" s="9" t="inlineStr"/>
      <c r="K315" s="9" t="inlineStr"/>
      <c r="L315" s="8" t="n">
        <v>112.921025549072</v>
      </c>
      <c r="M315" s="8" t="n">
        <v>-7.3475700482622</v>
      </c>
      <c r="N315" s="8" t="n">
        <v>0.103333333333333</v>
      </c>
      <c r="O315" s="8" t="n">
        <v>0.03</v>
      </c>
      <c r="P315" s="8" t="n">
        <v>118.49</v>
      </c>
      <c r="Q315" s="8" t="n">
        <v>12.890625</v>
      </c>
    </row>
    <row r="316" ht="19" customHeight="1">
      <c r="A316" s="6" t="inlineStr">
        <is>
          <t>Myanmar</t>
        </is>
      </c>
      <c r="B316" s="10" t="n">
        <v>2012</v>
      </c>
      <c r="C316" s="10" t="n">
        <v>2</v>
      </c>
      <c r="D316" s="6" t="inlineStr">
        <is>
          <t>2012 Q2</t>
        </is>
      </c>
      <c r="E316" s="8" t="n">
        <v>97.13471</v>
      </c>
      <c r="F316" s="10" t="n">
        <v>-1.50093346316729</v>
      </c>
      <c r="G316" s="10" t="n">
        <v>0.990916872587833</v>
      </c>
      <c r="H316" s="8" t="n">
        <v>7.13945917458563</v>
      </c>
      <c r="I316" s="8" t="n">
        <v>32.1910678522354</v>
      </c>
      <c r="J316" s="8" t="n">
        <v>99.53418163488701</v>
      </c>
      <c r="K316" s="9" t="inlineStr"/>
      <c r="L316" s="8" t="n">
        <v>108.674540730789</v>
      </c>
      <c r="M316" s="8" t="n">
        <v>-10.9231049413272</v>
      </c>
      <c r="N316" s="8" t="n">
        <v>0.153333333333333</v>
      </c>
      <c r="O316" s="8" t="n">
        <v>0.05</v>
      </c>
      <c r="P316" s="8" t="n">
        <v>108.416666666667</v>
      </c>
      <c r="Q316" s="8" t="n">
        <v>-7.6204271756419</v>
      </c>
    </row>
    <row r="317" ht="19" customHeight="1">
      <c r="A317" s="6" t="inlineStr">
        <is>
          <t>Myanmar</t>
        </is>
      </c>
      <c r="B317" s="10" t="n">
        <v>2012</v>
      </c>
      <c r="C317" s="10" t="n">
        <v>3</v>
      </c>
      <c r="D317" s="6" t="inlineStr">
        <is>
          <t>2012 Q3</t>
        </is>
      </c>
      <c r="E317" s="8" t="n">
        <v>99.1379566666667</v>
      </c>
      <c r="F317" s="10" t="n">
        <v>2.31697227993004</v>
      </c>
      <c r="G317" s="10" t="n">
        <v>2.06233864976451</v>
      </c>
      <c r="H317" s="8" t="n">
        <v>7.72185053682494</v>
      </c>
      <c r="I317" s="8" t="n">
        <v>33.2440611248187</v>
      </c>
      <c r="J317" s="8" t="n">
        <v>96.43672818415919</v>
      </c>
      <c r="K317" s="9" t="inlineStr"/>
      <c r="L317" s="8" t="n">
        <v>112.021404013206</v>
      </c>
      <c r="M317" s="8" t="n">
        <v>-5.77628480668088</v>
      </c>
      <c r="N317" s="8" t="n">
        <v>0.143333333333333</v>
      </c>
      <c r="O317" s="8" t="n">
        <v>-0.01</v>
      </c>
      <c r="P317" s="8" t="n">
        <v>109.613333333333</v>
      </c>
      <c r="Q317" s="8" t="n">
        <v>-3.28804187988943</v>
      </c>
    </row>
    <row r="318" ht="19" customHeight="1">
      <c r="A318" s="6" t="inlineStr">
        <is>
          <t>Myanmar</t>
        </is>
      </c>
      <c r="B318" s="10" t="n">
        <v>2012</v>
      </c>
      <c r="C318" s="10" t="n">
        <v>4</v>
      </c>
      <c r="D318" s="6" t="inlineStr">
        <is>
          <t>2012 Q4</t>
        </is>
      </c>
      <c r="E318" s="8" t="n">
        <v>102.094283333333</v>
      </c>
      <c r="F318" s="10" t="n">
        <v>5.63380451706197</v>
      </c>
      <c r="G318" s="10" t="n">
        <v>2.98203308406566</v>
      </c>
      <c r="H318" s="8" t="n">
        <v>8.108273372852789</v>
      </c>
      <c r="I318" s="8" t="n">
        <v>33.9799598094624</v>
      </c>
      <c r="J318" s="8" t="n">
        <v>99.5926181233188</v>
      </c>
      <c r="K318" s="9" t="inlineStr"/>
      <c r="L318" s="8" t="n">
        <v>112.043606667623</v>
      </c>
      <c r="M318" s="8" t="n">
        <v>-0.116348255206267</v>
      </c>
      <c r="N318" s="8" t="n">
        <v>0.16</v>
      </c>
      <c r="O318" s="8" t="n">
        <v>0.0166666666666667</v>
      </c>
      <c r="P318" s="8" t="n">
        <v>110.086666666667</v>
      </c>
      <c r="Q318" s="8" t="n">
        <v>0.630732197812245</v>
      </c>
    </row>
    <row r="319" ht="19" customHeight="1">
      <c r="A319" s="6" t="inlineStr">
        <is>
          <t>Myanmar</t>
        </is>
      </c>
      <c r="B319" s="10" t="n">
        <v>2013</v>
      </c>
      <c r="C319" s="10" t="n">
        <v>1</v>
      </c>
      <c r="D319" s="6" t="inlineStr">
        <is>
          <t>2013 Q1</t>
        </is>
      </c>
      <c r="E319" s="8" t="n">
        <v>101.372836666667</v>
      </c>
      <c r="F319" s="10" t="n">
        <v>5.39729537404041</v>
      </c>
      <c r="G319" s="10" t="n">
        <v>-0.706647466549304</v>
      </c>
      <c r="H319" s="8" t="n">
        <v>8.298728069074031</v>
      </c>
      <c r="I319" s="8" t="n">
        <v>34.3987646423335</v>
      </c>
      <c r="J319" s="8" t="n">
        <v>98.2952630191221</v>
      </c>
      <c r="K319" s="9" t="inlineStr"/>
      <c r="L319" s="8" t="n">
        <v>112.344264317549</v>
      </c>
      <c r="M319" s="8" t="n">
        <v>-0.510765137598079</v>
      </c>
      <c r="N319" s="8" t="n">
        <v>0.143333333333333</v>
      </c>
      <c r="O319" s="8" t="n">
        <v>-0.0166666666666667</v>
      </c>
      <c r="P319" s="8" t="n">
        <v>112.493333333333</v>
      </c>
      <c r="Q319" s="8" t="n">
        <v>-5.06090528033308</v>
      </c>
    </row>
    <row r="320" ht="19" customHeight="1">
      <c r="A320" s="6" t="inlineStr">
        <is>
          <t>Myanmar</t>
        </is>
      </c>
      <c r="B320" s="10" t="n">
        <v>2013</v>
      </c>
      <c r="C320" s="10" t="n">
        <v>2</v>
      </c>
      <c r="D320" s="6" t="inlineStr">
        <is>
          <t>2013 Q2</t>
        </is>
      </c>
      <c r="E320" s="8" t="n">
        <v>103.019</v>
      </c>
      <c r="F320" s="10" t="n">
        <v>6.05786541185949</v>
      </c>
      <c r="G320" s="10" t="n">
        <v>1.62387024716122</v>
      </c>
      <c r="H320" s="8" t="n">
        <v>8.42581907273178</v>
      </c>
      <c r="I320" s="8" t="n">
        <v>33.3768404139153</v>
      </c>
      <c r="J320" s="8" t="n">
        <v>94.1418449177168</v>
      </c>
      <c r="K320" s="8" t="n">
        <v>-5.41757276605787</v>
      </c>
      <c r="L320" s="8" t="n">
        <v>111.205746192615</v>
      </c>
      <c r="M320" s="8" t="n">
        <v>2.32916140689856</v>
      </c>
      <c r="N320" s="8" t="n">
        <v>0.116666666666667</v>
      </c>
      <c r="O320" s="8" t="n">
        <v>-0.0266666666666667</v>
      </c>
      <c r="P320" s="8" t="n">
        <v>102.576666666667</v>
      </c>
      <c r="Q320" s="8" t="n">
        <v>-5.38662567255957</v>
      </c>
    </row>
    <row r="321" ht="19" customHeight="1">
      <c r="A321" s="6" t="inlineStr">
        <is>
          <t>Myanmar</t>
        </is>
      </c>
      <c r="B321" s="10" t="n">
        <v>2013</v>
      </c>
      <c r="C321" s="10" t="n">
        <v>3</v>
      </c>
      <c r="D321" s="6" t="inlineStr">
        <is>
          <t>2013 Q3</t>
        </is>
      </c>
      <c r="E321" s="8" t="n">
        <v>105.598503333333</v>
      </c>
      <c r="F321" s="10" t="n">
        <v>6.51672364842972</v>
      </c>
      <c r="G321" s="10" t="n">
        <v>2.50391028192212</v>
      </c>
      <c r="H321" s="8" t="n">
        <v>8.48954651086366</v>
      </c>
      <c r="I321" s="8" t="n">
        <v>30.9141861022378</v>
      </c>
      <c r="J321" s="8" t="n">
        <v>91.6711206881121</v>
      </c>
      <c r="K321" s="8" t="n">
        <v>-4.94169346656647</v>
      </c>
      <c r="L321" s="8" t="n">
        <v>106.517639660823</v>
      </c>
      <c r="M321" s="8" t="n">
        <v>-4.91313637859304</v>
      </c>
      <c r="N321" s="8" t="n">
        <v>0.0833333333333333</v>
      </c>
      <c r="O321" s="8" t="n">
        <v>-0.0333333333333333</v>
      </c>
      <c r="P321" s="8" t="n">
        <v>110.27</v>
      </c>
      <c r="Q321" s="8" t="n">
        <v>0.599075538255689</v>
      </c>
    </row>
    <row r="322" ht="19" customHeight="1">
      <c r="A322" s="6" t="inlineStr">
        <is>
          <t>Myanmar</t>
        </is>
      </c>
      <c r="B322" s="10" t="n">
        <v>2013</v>
      </c>
      <c r="C322" s="10" t="n">
        <v>4</v>
      </c>
      <c r="D322" s="6" t="inlineStr">
        <is>
          <t>2013 Q4</t>
        </is>
      </c>
      <c r="E322" s="8" t="n">
        <v>106.822773333333</v>
      </c>
      <c r="F322" s="10" t="n">
        <v>4.63149340552367</v>
      </c>
      <c r="G322" s="10" t="n">
        <v>1.15936302253778</v>
      </c>
      <c r="H322" s="8" t="n">
        <v>8.48991044730918</v>
      </c>
      <c r="I322" s="8" t="n">
        <v>27.0107992448688</v>
      </c>
      <c r="J322" s="8" t="n">
        <v>91.2431214421171</v>
      </c>
      <c r="K322" s="8" t="n">
        <v>-8.3836501525274</v>
      </c>
      <c r="L322" s="8" t="n">
        <v>108.042368791302</v>
      </c>
      <c r="M322" s="8" t="n">
        <v>-3.57114341043118</v>
      </c>
      <c r="N322" s="8" t="n">
        <v>0.0866666666666667</v>
      </c>
      <c r="O322" s="8" t="n">
        <v>0.0033333333333333</v>
      </c>
      <c r="P322" s="8" t="n">
        <v>109.21</v>
      </c>
      <c r="Q322" s="8" t="n">
        <v>-0.796342275782702</v>
      </c>
    </row>
    <row r="323" ht="19" customHeight="1">
      <c r="A323" s="6" t="inlineStr">
        <is>
          <t>Myanmar</t>
        </is>
      </c>
      <c r="B323" s="10" t="n">
        <v>2014</v>
      </c>
      <c r="C323" s="10" t="n">
        <v>1</v>
      </c>
      <c r="D323" s="6" t="inlineStr">
        <is>
          <t>2014 Q1</t>
        </is>
      </c>
      <c r="E323" s="8" t="n">
        <v>107.003703333333</v>
      </c>
      <c r="F323" s="10" t="n">
        <v>5.55461093111367</v>
      </c>
      <c r="G323" s="10" t="n">
        <v>0.169373996156619</v>
      </c>
      <c r="H323" s="8" t="n">
        <v>8.426910882325981</v>
      </c>
      <c r="I323" s="8" t="n">
        <v>21.6666759382661</v>
      </c>
      <c r="J323" s="8" t="n">
        <v>92.87114472455499</v>
      </c>
      <c r="K323" s="8" t="n">
        <v>-5.51818890144465</v>
      </c>
      <c r="L323" s="8" t="n">
        <v>109.985285302654</v>
      </c>
      <c r="M323" s="8" t="n">
        <v>-2.09977699282194</v>
      </c>
      <c r="N323" s="8" t="n">
        <v>0.07333333333333331</v>
      </c>
      <c r="O323" s="8" t="n">
        <v>-0.0133333333333333</v>
      </c>
      <c r="P323" s="8" t="n">
        <v>108.166666666667</v>
      </c>
      <c r="Q323" s="8" t="n">
        <v>-3.84615384615383</v>
      </c>
    </row>
    <row r="324" ht="19" customHeight="1">
      <c r="A324" s="6" t="inlineStr">
        <is>
          <t>Myanmar</t>
        </is>
      </c>
      <c r="B324" s="10" t="n">
        <v>2014</v>
      </c>
      <c r="C324" s="10" t="n">
        <v>2</v>
      </c>
      <c r="D324" s="6" t="inlineStr">
        <is>
          <t>2014 Q2</t>
        </is>
      </c>
      <c r="E324" s="8" t="n">
        <v>108.970486666667</v>
      </c>
      <c r="F324" s="10" t="n">
        <v>5.77707672047549</v>
      </c>
      <c r="G324" s="10" t="n">
        <v>1.838051648742</v>
      </c>
      <c r="H324" s="8" t="n">
        <v>8.298909756301921</v>
      </c>
      <c r="I324" s="8" t="n">
        <v>19.2451131501825</v>
      </c>
      <c r="J324" s="8" t="n">
        <v>94.0186910565215</v>
      </c>
      <c r="K324" s="8" t="n">
        <v>-0.130817344086454</v>
      </c>
      <c r="L324" s="8" t="n">
        <v>111.498689744988</v>
      </c>
      <c r="M324" s="8" t="n">
        <v>0.26342483406061</v>
      </c>
      <c r="N324" s="8" t="n">
        <v>0.0933333333333333</v>
      </c>
      <c r="O324" s="8" t="n">
        <v>0.02</v>
      </c>
      <c r="P324" s="8" t="n">
        <v>109.7</v>
      </c>
      <c r="Q324" s="8" t="n">
        <v>6.94439931108439</v>
      </c>
    </row>
    <row r="325" ht="19" customHeight="1">
      <c r="A325" s="6" t="inlineStr">
        <is>
          <t>Myanmar</t>
        </is>
      </c>
      <c r="B325" s="10" t="n">
        <v>2014</v>
      </c>
      <c r="C325" s="10" t="n">
        <v>3</v>
      </c>
      <c r="D325" s="6" t="inlineStr">
        <is>
          <t>2014 Q3</t>
        </is>
      </c>
      <c r="E325" s="8" t="n">
        <v>110.186983333333</v>
      </c>
      <c r="F325" s="10" t="n">
        <v>4.34521309976899</v>
      </c>
      <c r="G325" s="10" t="n">
        <v>1.1163542568988</v>
      </c>
      <c r="H325" s="8" t="n">
        <v>8.10590694123719</v>
      </c>
      <c r="I325" s="8" t="n">
        <v>19.7461084591895</v>
      </c>
      <c r="J325" s="8" t="n">
        <v>93.4700889788228</v>
      </c>
      <c r="K325" s="8" t="n">
        <v>1.96241551014873</v>
      </c>
      <c r="L325" s="8" t="n">
        <v>104.211407968198</v>
      </c>
      <c r="M325" s="8" t="n">
        <v>-2.16511715802957</v>
      </c>
      <c r="N325" s="8" t="n">
        <v>0.09</v>
      </c>
      <c r="O325" s="8" t="n">
        <v>-0.0033333333333333</v>
      </c>
      <c r="P325" s="8" t="n">
        <v>101.823333333333</v>
      </c>
      <c r="Q325" s="8" t="n">
        <v>-7.65998609473715</v>
      </c>
    </row>
    <row r="326" ht="19" customHeight="1">
      <c r="A326" s="6" t="inlineStr">
        <is>
          <t>Myanmar</t>
        </is>
      </c>
      <c r="B326" s="10" t="n">
        <v>2014</v>
      </c>
      <c r="C326" s="10" t="n">
        <v>4</v>
      </c>
      <c r="D326" s="6" t="inlineStr">
        <is>
          <t>2014 Q4</t>
        </is>
      </c>
      <c r="E326" s="8" t="n">
        <v>111.297943333333</v>
      </c>
      <c r="F326" s="10" t="n">
        <v>4.18934077477613</v>
      </c>
      <c r="G326" s="10" t="n">
        <v>1.00824976452907</v>
      </c>
      <c r="H326" s="8" t="n">
        <v>7.84790224413307</v>
      </c>
      <c r="I326" s="8" t="n">
        <v>23.169662366322</v>
      </c>
      <c r="J326" s="8" t="n">
        <v>93.1415412643227</v>
      </c>
      <c r="K326" s="8" t="n">
        <v>2.08061691906263</v>
      </c>
      <c r="L326" s="8" t="n">
        <v>99.4046630544031</v>
      </c>
      <c r="M326" s="8" t="n">
        <v>-7.9947393171137</v>
      </c>
      <c r="N326" s="8" t="n">
        <v>0.1</v>
      </c>
      <c r="O326" s="8" t="n">
        <v>0.01</v>
      </c>
      <c r="P326" s="8" t="n">
        <v>76.40333333333329</v>
      </c>
      <c r="Q326" s="8" t="n">
        <v>-30.0399841284376</v>
      </c>
    </row>
    <row r="327" ht="19" customHeight="1">
      <c r="A327" s="6" t="inlineStr">
        <is>
          <t>Myanmar</t>
        </is>
      </c>
      <c r="B327" s="10" t="n">
        <v>2015</v>
      </c>
      <c r="C327" s="10" t="n">
        <v>1</v>
      </c>
      <c r="D327" s="6" t="inlineStr">
        <is>
          <t>2015 Q1</t>
        </is>
      </c>
      <c r="E327" s="8" t="n">
        <v>113.514953333333</v>
      </c>
      <c r="F327" s="10" t="n">
        <v>6.08506976596543</v>
      </c>
      <c r="G327" s="10" t="n">
        <v>1.99195953995317</v>
      </c>
      <c r="H327" s="8" t="n">
        <v>7.52489540701311</v>
      </c>
      <c r="I327" s="8" t="n">
        <v>29.5157782950282</v>
      </c>
      <c r="J327" s="8" t="n">
        <v>97.6169899256799</v>
      </c>
      <c r="K327" s="8" t="n">
        <v>5.11013966200204</v>
      </c>
      <c r="L327" s="8" t="n">
        <v>100.657732001964</v>
      </c>
      <c r="M327" s="8" t="n">
        <v>-8.4807283765489</v>
      </c>
      <c r="N327" s="8" t="n">
        <v>0.11</v>
      </c>
      <c r="O327" s="8" t="n">
        <v>0.01</v>
      </c>
      <c r="P327" s="8" t="n">
        <v>53.9166666666667</v>
      </c>
      <c r="Q327" s="8" t="n">
        <v>-50.1540832049307</v>
      </c>
    </row>
    <row r="328" ht="19" customHeight="1">
      <c r="A328" s="6" t="inlineStr">
        <is>
          <t>Myanmar</t>
        </is>
      </c>
      <c r="B328" s="10" t="n">
        <v>2015</v>
      </c>
      <c r="C328" s="10" t="n">
        <v>2</v>
      </c>
      <c r="D328" s="6" t="inlineStr">
        <is>
          <t>2015 Q2</t>
        </is>
      </c>
      <c r="E328" s="8" t="n">
        <v>116.528863333333</v>
      </c>
      <c r="F328" s="10" t="n">
        <v>6.9361685882777</v>
      </c>
      <c r="G328" s="10" t="n">
        <v>2.65507751313585</v>
      </c>
      <c r="H328" s="8" t="n">
        <v>7.18287079823898</v>
      </c>
      <c r="I328" s="8" t="n">
        <v>32.5170791383287</v>
      </c>
      <c r="J328" s="8" t="n">
        <v>94.4661049226137</v>
      </c>
      <c r="K328" s="8" t="n">
        <v>0.475877573985017</v>
      </c>
      <c r="L328" s="8" t="n">
        <v>96.8474817130345</v>
      </c>
      <c r="M328" s="8" t="n">
        <v>-13.1402513029193</v>
      </c>
      <c r="N328" s="8" t="n">
        <v>0.123333333333333</v>
      </c>
      <c r="O328" s="8" t="n">
        <v>0.0133333333333333</v>
      </c>
      <c r="P328" s="8" t="n">
        <v>61.6933333333333</v>
      </c>
      <c r="Q328" s="8" t="n">
        <v>-43.761774536615</v>
      </c>
    </row>
    <row r="329" ht="19" customHeight="1">
      <c r="A329" s="6" t="inlineStr">
        <is>
          <t>Myanmar</t>
        </is>
      </c>
      <c r="B329" s="10" t="n">
        <v>2015</v>
      </c>
      <c r="C329" s="10" t="n">
        <v>3</v>
      </c>
      <c r="D329" s="6" t="inlineStr">
        <is>
          <t>2015 Q3</t>
        </is>
      </c>
      <c r="E329" s="8" t="n">
        <v>122.939466666667</v>
      </c>
      <c r="F329" s="10" t="n">
        <v>11.573493481308</v>
      </c>
      <c r="G329" s="10" t="n">
        <v>5.50130083651093</v>
      </c>
      <c r="H329" s="8" t="n">
        <v>6.82182807589351</v>
      </c>
      <c r="I329" s="8" t="n">
        <v>32.1735678974986</v>
      </c>
      <c r="J329" s="8" t="n">
        <v>89.8812924994191</v>
      </c>
      <c r="K329" s="8" t="n">
        <v>-3.83951328025033</v>
      </c>
      <c r="L329" s="8" t="n">
        <v>92.7459060049042</v>
      </c>
      <c r="M329" s="8" t="n">
        <v>-11.002156277164</v>
      </c>
      <c r="N329" s="8" t="n">
        <v>0.136666666666667</v>
      </c>
      <c r="O329" s="8" t="n">
        <v>0.0133333333333333</v>
      </c>
      <c r="P329" s="8" t="n">
        <v>50.2333333333333</v>
      </c>
      <c r="Q329" s="8" t="n">
        <v>-50.666186532229</v>
      </c>
    </row>
    <row r="330" ht="19" customHeight="1">
      <c r="A330" s="6" t="inlineStr">
        <is>
          <t>Myanmar</t>
        </is>
      </c>
      <c r="B330" s="10" t="n">
        <v>2015</v>
      </c>
      <c r="C330" s="10" t="n">
        <v>4</v>
      </c>
      <c r="D330" s="6" t="inlineStr">
        <is>
          <t>2015 Q4</t>
        </is>
      </c>
      <c r="E330" s="8" t="n">
        <v>125.833963333333</v>
      </c>
      <c r="F330" s="10" t="n">
        <v>13.0604569722058</v>
      </c>
      <c r="G330" s="10" t="n">
        <v>2.35440802302704</v>
      </c>
      <c r="H330" s="8" t="n">
        <v>6.44176687892188</v>
      </c>
      <c r="I330" s="8" t="n">
        <v>28.4852442289553</v>
      </c>
      <c r="J330" s="8" t="n">
        <v>89.2383911582595</v>
      </c>
      <c r="K330" s="8" t="n">
        <v>-4.1905577823611</v>
      </c>
      <c r="L330" s="8" t="n">
        <v>90.3005619231251</v>
      </c>
      <c r="M330" s="8" t="n">
        <v>-9.15862581446042</v>
      </c>
      <c r="N330" s="8" t="n">
        <v>0.16</v>
      </c>
      <c r="O330" s="8" t="n">
        <v>0.0233333333333333</v>
      </c>
      <c r="P330" s="8" t="n">
        <v>43.57</v>
      </c>
      <c r="Q330" s="8" t="n">
        <v>-42.9736922472842</v>
      </c>
    </row>
    <row r="331" ht="19" customHeight="1">
      <c r="A331" s="6" t="inlineStr">
        <is>
          <t>Myanmar</t>
        </is>
      </c>
      <c r="B331" s="10" t="n">
        <v>2016</v>
      </c>
      <c r="C331" s="10" t="n">
        <v>1</v>
      </c>
      <c r="D331" s="6" t="inlineStr">
        <is>
          <t>2016 Q1</t>
        </is>
      </c>
      <c r="E331" s="8" t="n">
        <v>123.039296666667</v>
      </c>
      <c r="F331" s="10" t="n">
        <v>8.390386511779971</v>
      </c>
      <c r="G331" s="10" t="n">
        <v>-2.22091603302965</v>
      </c>
      <c r="H331" s="8" t="n">
        <v>6.04268682720807</v>
      </c>
      <c r="I331" s="8" t="n">
        <v>21.4521044444896</v>
      </c>
      <c r="J331" s="8" t="n">
        <v>91.0317729099708</v>
      </c>
      <c r="K331" s="8" t="n">
        <v>-6.74597426198312</v>
      </c>
      <c r="L331" s="8" t="n">
        <v>91.66230580090431</v>
      </c>
      <c r="M331" s="8" t="n">
        <v>-8.936647013747329</v>
      </c>
      <c r="N331" s="8" t="n">
        <v>0.36</v>
      </c>
      <c r="O331" s="8" t="n">
        <v>0.2</v>
      </c>
      <c r="P331" s="8" t="n">
        <v>33.6966666666667</v>
      </c>
      <c r="Q331" s="8" t="n">
        <v>-37.5023183925811</v>
      </c>
    </row>
    <row r="332" ht="19" customHeight="1">
      <c r="A332" s="6" t="inlineStr">
        <is>
          <t>Myanmar</t>
        </is>
      </c>
      <c r="B332" s="10" t="n">
        <v>2016</v>
      </c>
      <c r="C332" s="10" t="n">
        <v>2</v>
      </c>
      <c r="D332" s="6" t="inlineStr">
        <is>
          <t>2016 Q2</t>
        </is>
      </c>
      <c r="E332" s="8" t="n">
        <v>127.453103333333</v>
      </c>
      <c r="F332" s="10" t="n">
        <v>9.37470742227269</v>
      </c>
      <c r="G332" s="10" t="n">
        <v>3.58731461105826</v>
      </c>
      <c r="H332" s="8" t="n">
        <v>5.8109693407765</v>
      </c>
      <c r="I332" s="8" t="n">
        <v>17.0375581885046</v>
      </c>
      <c r="J332" s="8" t="n">
        <v>97.58412177970931</v>
      </c>
      <c r="K332" s="8" t="n">
        <v>3.30067261654308</v>
      </c>
      <c r="L332" s="8" t="n">
        <v>96.9846126235507</v>
      </c>
      <c r="M332" s="8" t="n">
        <v>0.141594709630688</v>
      </c>
      <c r="N332" s="8" t="n">
        <v>0.373333333333333</v>
      </c>
      <c r="O332" s="8" t="n">
        <v>0.0133333333333334</v>
      </c>
      <c r="P332" s="8" t="n">
        <v>45.5233333333333</v>
      </c>
      <c r="Q332" s="8" t="n">
        <v>-26.2102874432678</v>
      </c>
    </row>
    <row r="333" ht="19" customHeight="1">
      <c r="A333" s="6" t="inlineStr">
        <is>
          <t>Myanmar</t>
        </is>
      </c>
      <c r="B333" s="10" t="n">
        <v>2016</v>
      </c>
      <c r="C333" s="10" t="n">
        <v>3</v>
      </c>
      <c r="D333" s="6" t="inlineStr">
        <is>
          <t>2016 Q3</t>
        </is>
      </c>
      <c r="E333" s="8" t="n">
        <v>130.00594</v>
      </c>
      <c r="F333" s="10" t="n">
        <v>5.74792906210755</v>
      </c>
      <c r="G333" s="10" t="n">
        <v>2.0029615599003</v>
      </c>
      <c r="H333" s="8" t="n">
        <v>5.74661418791013</v>
      </c>
      <c r="I333" s="8" t="n">
        <v>15.2416010464976</v>
      </c>
      <c r="J333" s="8" t="n">
        <v>96.0526754081462</v>
      </c>
      <c r="K333" s="8" t="n">
        <v>6.86614837983888</v>
      </c>
      <c r="L333" s="8" t="n">
        <v>100.864699533998</v>
      </c>
      <c r="M333" s="8" t="n">
        <v>8.75380259767431</v>
      </c>
      <c r="N333" s="8" t="n">
        <v>0.396666666666667</v>
      </c>
      <c r="O333" s="8" t="n">
        <v>0.0233333333333333</v>
      </c>
      <c r="P333" s="8" t="n">
        <v>45.7866666666667</v>
      </c>
      <c r="Q333" s="8" t="n">
        <v>-8.852023888520231</v>
      </c>
    </row>
    <row r="334" ht="19" customHeight="1">
      <c r="A334" s="6" t="inlineStr">
        <is>
          <t>Myanmar</t>
        </is>
      </c>
      <c r="B334" s="10" t="n">
        <v>2016</v>
      </c>
      <c r="C334" s="10" t="n">
        <v>4</v>
      </c>
      <c r="D334" s="6" t="inlineStr">
        <is>
          <t>2016 Q4</t>
        </is>
      </c>
      <c r="E334" s="8" t="n">
        <v>131.495316666667</v>
      </c>
      <c r="F334" s="10" t="n">
        <v>4.49906621659564</v>
      </c>
      <c r="G334" s="10" t="n">
        <v>1.14562201286084</v>
      </c>
      <c r="H334" s="8" t="n">
        <v>5.84962130415984</v>
      </c>
      <c r="I334" s="8" t="n">
        <v>16.0642312223305</v>
      </c>
      <c r="J334" s="8" t="n">
        <v>91.27494356578779</v>
      </c>
      <c r="K334" s="8" t="n">
        <v>2.2821482784428</v>
      </c>
      <c r="L334" s="8" t="n">
        <v>101.835604997953</v>
      </c>
      <c r="M334" s="8" t="n">
        <v>12.7740545896579</v>
      </c>
      <c r="N334" s="8" t="n">
        <v>0.45</v>
      </c>
      <c r="O334" s="8" t="n">
        <v>0.0533333333333333</v>
      </c>
      <c r="P334" s="8" t="n">
        <v>49.1866666666667</v>
      </c>
      <c r="Q334" s="8" t="n">
        <v>12.8911330426134</v>
      </c>
    </row>
    <row r="335" ht="19" customHeight="1">
      <c r="A335" s="6" t="inlineStr">
        <is>
          <t>Myanmar</t>
        </is>
      </c>
      <c r="B335" s="10" t="n">
        <v>2017</v>
      </c>
      <c r="C335" s="10" t="n">
        <v>1</v>
      </c>
      <c r="D335" s="6" t="inlineStr">
        <is>
          <t>2017 Q1</t>
        </is>
      </c>
      <c r="E335" s="8" t="n">
        <v>132.36761</v>
      </c>
      <c r="F335" s="10" t="n">
        <v>7.58157238057469</v>
      </c>
      <c r="G335" s="10" t="n">
        <v>0.663364563427438</v>
      </c>
      <c r="H335" s="8" t="n">
        <v>6.11999079266472</v>
      </c>
      <c r="I335" s="8" t="n">
        <v>19.5054495389001</v>
      </c>
      <c r="J335" s="8" t="n">
        <v>89.4160281990774</v>
      </c>
      <c r="K335" s="8" t="n">
        <v>-1.77492391858762</v>
      </c>
      <c r="L335" s="8" t="n">
        <v>100.125779631695</v>
      </c>
      <c r="M335" s="8" t="n">
        <v>9.23331980015236</v>
      </c>
      <c r="N335" s="8" t="n">
        <v>0.7</v>
      </c>
      <c r="O335" s="8" t="n">
        <v>0.25</v>
      </c>
      <c r="P335" s="8" t="n">
        <v>53.68</v>
      </c>
      <c r="Q335" s="8" t="n">
        <v>59.30359085963</v>
      </c>
    </row>
    <row r="336" ht="19" customHeight="1">
      <c r="A336" s="6" t="inlineStr">
        <is>
          <t>Myanmar</t>
        </is>
      </c>
      <c r="B336" s="10" t="n">
        <v>2017</v>
      </c>
      <c r="C336" s="10" t="n">
        <v>2</v>
      </c>
      <c r="D336" s="6" t="inlineStr">
        <is>
          <t>2017 Q2</t>
        </is>
      </c>
      <c r="E336" s="8" t="n">
        <v>132.35738</v>
      </c>
      <c r="F336" s="10" t="n">
        <v>3.84790682878888</v>
      </c>
      <c r="G336" s="10" t="n">
        <v>-0.0077284767776686</v>
      </c>
      <c r="H336" s="8" t="n">
        <v>6.23458552687543</v>
      </c>
      <c r="I336" s="8" t="n">
        <v>21.2967252584684</v>
      </c>
      <c r="J336" s="8" t="n">
        <v>87.3733788664849</v>
      </c>
      <c r="K336" s="8" t="n">
        <v>-10.4635290321868</v>
      </c>
      <c r="L336" s="8" t="n">
        <v>99.4605526807123</v>
      </c>
      <c r="M336" s="8" t="n">
        <v>2.55292049963849</v>
      </c>
      <c r="N336" s="8" t="n">
        <v>0.95</v>
      </c>
      <c r="O336" s="8" t="n">
        <v>0.25</v>
      </c>
      <c r="P336" s="8" t="n">
        <v>49.67</v>
      </c>
      <c r="Q336" s="8" t="n">
        <v>9.10888189207</v>
      </c>
    </row>
    <row r="337" ht="19" customHeight="1">
      <c r="A337" s="6" t="inlineStr">
        <is>
          <t>Myanmar</t>
        </is>
      </c>
      <c r="B337" s="10" t="n">
        <v>2017</v>
      </c>
      <c r="C337" s="10" t="n">
        <v>3</v>
      </c>
      <c r="D337" s="6" t="inlineStr">
        <is>
          <t>2017 Q3</t>
        </is>
      </c>
      <c r="E337" s="8" t="n">
        <v>133.517986666667</v>
      </c>
      <c r="F337" s="10" t="n">
        <v>2.70145092344756</v>
      </c>
      <c r="G337" s="10" t="n">
        <v>0.876873406429368</v>
      </c>
      <c r="H337" s="8" t="n">
        <v>6.19340562137107</v>
      </c>
      <c r="I337" s="8" t="n">
        <v>21.4380601725076</v>
      </c>
      <c r="J337" s="8" t="n">
        <v>85.4372999934992</v>
      </c>
      <c r="K337" s="8" t="n">
        <v>-11.0516186764609</v>
      </c>
      <c r="L337" s="8" t="n">
        <v>102.480667511988</v>
      </c>
      <c r="M337" s="8" t="n">
        <v>1.60211450136303</v>
      </c>
      <c r="N337" s="8" t="n">
        <v>1.15333333333333</v>
      </c>
      <c r="O337" s="8" t="n">
        <v>0.203333333333333</v>
      </c>
      <c r="P337" s="8" t="n">
        <v>52.11</v>
      </c>
      <c r="Q337" s="8" t="n">
        <v>13.8104251601631</v>
      </c>
    </row>
    <row r="338" ht="19" customHeight="1">
      <c r="A338" s="6" t="inlineStr">
        <is>
          <t>Myanmar</t>
        </is>
      </c>
      <c r="B338" s="10" t="n">
        <v>2017</v>
      </c>
      <c r="C338" s="10" t="n">
        <v>4</v>
      </c>
      <c r="D338" s="6" t="inlineStr">
        <is>
          <t>2017 Q4</t>
        </is>
      </c>
      <c r="E338" s="8" t="n">
        <v>137.161773333333</v>
      </c>
      <c r="F338" s="10" t="n">
        <v>4.3092459946926</v>
      </c>
      <c r="G338" s="10" t="n">
        <v>2.7290605240802</v>
      </c>
      <c r="H338" s="8" t="n">
        <v>5.9964510350646</v>
      </c>
      <c r="I338" s="8" t="n">
        <v>19.9294544222562</v>
      </c>
      <c r="J338" s="8" t="n">
        <v>86.3451304274862</v>
      </c>
      <c r="K338" s="8" t="n">
        <v>-5.40105854434013</v>
      </c>
      <c r="L338" s="8" t="n">
        <v>100.792675769869</v>
      </c>
      <c r="M338" s="8" t="n">
        <v>-1.0241302421728</v>
      </c>
      <c r="N338" s="8" t="n">
        <v>1.20333333333333</v>
      </c>
      <c r="O338" s="8" t="n">
        <v>0.05</v>
      </c>
      <c r="P338" s="8" t="n">
        <v>61.53</v>
      </c>
      <c r="Q338" s="8" t="n">
        <v>25.0948766603416</v>
      </c>
    </row>
    <row r="339" ht="19" customHeight="1">
      <c r="A339" s="6" t="inlineStr">
        <is>
          <t>Myanmar</t>
        </is>
      </c>
      <c r="B339" s="10" t="n">
        <v>2018</v>
      </c>
      <c r="C339" s="10" t="n">
        <v>1</v>
      </c>
      <c r="D339" s="6" t="inlineStr">
        <is>
          <t>2018 Q1</t>
        </is>
      </c>
      <c r="E339" s="8" t="n">
        <v>139.31927</v>
      </c>
      <c r="F339" s="10" t="n">
        <v>5.25178327235793</v>
      </c>
      <c r="G339" s="10" t="n">
        <v>1.57295769384918</v>
      </c>
      <c r="H339" s="8" t="n">
        <v>5.64372157089194</v>
      </c>
      <c r="I339" s="8" t="n">
        <v>16.77090649898</v>
      </c>
      <c r="J339" s="8" t="n">
        <v>87.19874361666319</v>
      </c>
      <c r="K339" s="8" t="n">
        <v>-2.47973951323094</v>
      </c>
      <c r="L339" s="8" t="n">
        <v>96.02404012089779</v>
      </c>
      <c r="M339" s="8" t="n">
        <v>-4.09658683895945</v>
      </c>
      <c r="N339" s="8" t="n">
        <v>1.44666666666667</v>
      </c>
      <c r="O339" s="8" t="n">
        <v>0.243333333333333</v>
      </c>
      <c r="P339" s="8" t="n">
        <v>66.8066666666667</v>
      </c>
      <c r="Q339" s="8" t="n">
        <v>24.4535519125683</v>
      </c>
    </row>
    <row r="340" ht="19" customHeight="1">
      <c r="A340" s="6" t="inlineStr">
        <is>
          <t>Myanmar</t>
        </is>
      </c>
      <c r="B340" s="10" t="n">
        <v>2018</v>
      </c>
      <c r="C340" s="10" t="n">
        <v>2</v>
      </c>
      <c r="D340" s="6" t="inlineStr">
        <is>
          <t>2018 Q2</t>
        </is>
      </c>
      <c r="E340" s="8" t="n">
        <v>140.398933333333</v>
      </c>
      <c r="F340" s="10" t="n">
        <v>6.07563653294838</v>
      </c>
      <c r="G340" s="10" t="n">
        <v>0.7749562090968</v>
      </c>
      <c r="H340" s="8" t="n">
        <v>5.75268594221041</v>
      </c>
      <c r="I340" s="8" t="n">
        <v>14.6272514072926</v>
      </c>
      <c r="J340" s="8" t="n">
        <v>88.0742854366184</v>
      </c>
      <c r="K340" s="8" t="n">
        <v>0.802196938273925</v>
      </c>
      <c r="L340" s="8" t="n">
        <v>96.1737638878632</v>
      </c>
      <c r="M340" s="8" t="n">
        <v>-3.30461545231933</v>
      </c>
      <c r="N340" s="8" t="n">
        <v>1.73666666666667</v>
      </c>
      <c r="O340" s="8" t="n">
        <v>0.29</v>
      </c>
      <c r="P340" s="8" t="n">
        <v>74.5</v>
      </c>
      <c r="Q340" s="8" t="n">
        <v>49.9899335615059</v>
      </c>
    </row>
    <row r="341" ht="19" customHeight="1">
      <c r="A341" s="6" t="inlineStr">
        <is>
          <t>Myanmar</t>
        </is>
      </c>
      <c r="B341" s="10" t="n">
        <v>2018</v>
      </c>
      <c r="C341" s="10" t="n">
        <v>3</v>
      </c>
      <c r="D341" s="6" t="inlineStr">
        <is>
          <t>2018 Q3</t>
        </is>
      </c>
      <c r="E341" s="8" t="n">
        <v>144.347003333333</v>
      </c>
      <c r="F341" s="10" t="n">
        <v>8.110530226689059</v>
      </c>
      <c r="G341" s="10" t="n">
        <v>2.81203703351973</v>
      </c>
      <c r="H341" s="8" t="n">
        <v>6.32334425800221</v>
      </c>
      <c r="I341" s="8" t="n">
        <v>13.4984870033038</v>
      </c>
      <c r="J341" s="8" t="n">
        <v>84.381644382282</v>
      </c>
      <c r="K341" s="8" t="n">
        <v>-1.2355910255796</v>
      </c>
      <c r="L341" s="8" t="n">
        <v>93.2694805076009</v>
      </c>
      <c r="M341" s="8" t="n">
        <v>-8.98821917149397</v>
      </c>
      <c r="N341" s="8" t="n">
        <v>1.92333333333333</v>
      </c>
      <c r="O341" s="8" t="n">
        <v>0.186666666666667</v>
      </c>
      <c r="P341" s="8" t="n">
        <v>75.2233333333333</v>
      </c>
      <c r="Q341" s="8" t="n">
        <v>44.3548902961683</v>
      </c>
    </row>
    <row r="342" ht="19" customHeight="1">
      <c r="A342" s="6" t="inlineStr">
        <is>
          <t>Myanmar</t>
        </is>
      </c>
      <c r="B342" s="10" t="n">
        <v>2018</v>
      </c>
      <c r="C342" s="10" t="n">
        <v>4</v>
      </c>
      <c r="D342" s="6" t="inlineStr">
        <is>
          <t>2018 Q4</t>
        </is>
      </c>
      <c r="E342" s="8" t="n">
        <v>148.13432</v>
      </c>
      <c r="F342" s="10" t="n">
        <v>7.99971187307484</v>
      </c>
      <c r="G342" s="10" t="n">
        <v>2.62375842879177</v>
      </c>
      <c r="H342" s="8" t="n">
        <v>7.35569708886357</v>
      </c>
      <c r="I342" s="8" t="n">
        <v>13.3846121583141</v>
      </c>
      <c r="J342" s="8" t="n">
        <v>82.4229036416975</v>
      </c>
      <c r="K342" s="8" t="n">
        <v>-4.54249911531798</v>
      </c>
      <c r="L342" s="8" t="n">
        <v>90.7369363173618</v>
      </c>
      <c r="M342" s="8" t="n">
        <v>-9.976656910534739</v>
      </c>
      <c r="N342" s="8" t="n">
        <v>2.22</v>
      </c>
      <c r="O342" s="8" t="n">
        <v>0.296666666666667</v>
      </c>
      <c r="P342" s="8" t="n">
        <v>67.7133333333333</v>
      </c>
      <c r="Q342" s="8" t="n">
        <v>10.0492984452029</v>
      </c>
    </row>
    <row r="343" ht="19" customHeight="1">
      <c r="A343" s="6" t="inlineStr">
        <is>
          <t>Myanmar</t>
        </is>
      </c>
      <c r="B343" s="10" t="n">
        <v>2019</v>
      </c>
      <c r="C343" s="10" t="n">
        <v>1</v>
      </c>
      <c r="D343" s="6" t="inlineStr">
        <is>
          <t>2019 Q1</t>
        </is>
      </c>
      <c r="E343" s="8" t="n">
        <v>148.95596</v>
      </c>
      <c r="F343" s="10" t="n">
        <v>6.91698284092359</v>
      </c>
      <c r="G343" s="10" t="n">
        <v>0.55465877184977</v>
      </c>
      <c r="H343" s="8" t="n">
        <v>8.849745467205709</v>
      </c>
      <c r="I343" s="8" t="n">
        <v>14.2856267585535</v>
      </c>
      <c r="J343" s="8" t="n">
        <v>83.7164350875277</v>
      </c>
      <c r="K343" s="8" t="n">
        <v>-3.99353062292286</v>
      </c>
      <c r="L343" s="8" t="n">
        <v>93.8324987094736</v>
      </c>
      <c r="M343" s="8" t="n">
        <v>-2.2822841120463</v>
      </c>
      <c r="N343" s="8" t="n">
        <v>2.40333333333333</v>
      </c>
      <c r="O343" s="8" t="n">
        <v>0.183333333333333</v>
      </c>
      <c r="P343" s="8" t="n">
        <v>63.17</v>
      </c>
      <c r="Q343" s="8" t="n">
        <v>-5.4435685061371</v>
      </c>
    </row>
    <row r="344" ht="19" customHeight="1">
      <c r="A344" s="6" t="inlineStr">
        <is>
          <t>Myanmar</t>
        </is>
      </c>
      <c r="B344" s="10" t="n">
        <v>2019</v>
      </c>
      <c r="C344" s="10" t="n">
        <v>2</v>
      </c>
      <c r="D344" s="6" t="inlineStr">
        <is>
          <t>2019 Q2</t>
        </is>
      </c>
      <c r="E344" s="8" t="n">
        <v>153.41428</v>
      </c>
      <c r="F344" s="10" t="n">
        <v>9.270260362851751</v>
      </c>
      <c r="G344" s="10" t="n">
        <v>2.99304572975796</v>
      </c>
      <c r="H344" s="8" t="n">
        <v>8.53911099465207</v>
      </c>
      <c r="I344" s="8" t="n">
        <v>15.1495519000372</v>
      </c>
      <c r="J344" s="8" t="n">
        <v>86.41128585168271</v>
      </c>
      <c r="K344" s="8" t="n">
        <v>-1.88817834478194</v>
      </c>
      <c r="L344" s="8" t="n">
        <v>94.8842784155444</v>
      </c>
      <c r="M344" s="8" t="n">
        <v>-1.34078715461562</v>
      </c>
      <c r="N344" s="8" t="n">
        <v>2.39666666666667</v>
      </c>
      <c r="O344" s="8" t="n">
        <v>-0.0066666666666668</v>
      </c>
      <c r="P344" s="8" t="n">
        <v>68.9233333333333</v>
      </c>
      <c r="Q344" s="8" t="n">
        <v>-7.48545861297539</v>
      </c>
    </row>
    <row r="345" ht="19" customHeight="1">
      <c r="A345" s="6" t="inlineStr">
        <is>
          <t>Myanmar</t>
        </is>
      </c>
      <c r="B345" s="10" t="n">
        <v>2019</v>
      </c>
      <c r="C345" s="10" t="n">
        <v>3</v>
      </c>
      <c r="D345" s="6" t="inlineStr">
        <is>
          <t>2019 Q3</t>
        </is>
      </c>
      <c r="E345" s="8" t="n">
        <v>159.139686666667</v>
      </c>
      <c r="F345" s="10" t="n">
        <v>10.2480016846441</v>
      </c>
      <c r="G345" s="10" t="n">
        <v>3.73199070299497</v>
      </c>
      <c r="H345" s="8" t="n">
        <v>6.42379336052436</v>
      </c>
      <c r="I345" s="8" t="n">
        <v>15.9763884470235</v>
      </c>
      <c r="J345" s="8" t="n">
        <v>89.2307990265798</v>
      </c>
      <c r="K345" s="8" t="n">
        <v>5.74669370311058</v>
      </c>
      <c r="L345" s="8" t="n">
        <v>94.5983508132319</v>
      </c>
      <c r="M345" s="8" t="n">
        <v>1.42476434777905</v>
      </c>
      <c r="N345" s="8" t="n">
        <v>2.19</v>
      </c>
      <c r="O345" s="8" t="n">
        <v>-0.206666666666667</v>
      </c>
      <c r="P345" s="8" t="n">
        <v>61.93</v>
      </c>
      <c r="Q345" s="8" t="n">
        <v>-17.6718216865334</v>
      </c>
    </row>
    <row r="346" ht="19" customHeight="1">
      <c r="A346" s="6" t="inlineStr">
        <is>
          <t>Myanmar</t>
        </is>
      </c>
      <c r="B346" s="10" t="n">
        <v>2019</v>
      </c>
      <c r="C346" s="10" t="n">
        <v>4</v>
      </c>
      <c r="D346" s="6" t="inlineStr">
        <is>
          <t>2019 Q4</t>
        </is>
      </c>
      <c r="E346" s="8" t="n">
        <v>161.186616666667</v>
      </c>
      <c r="F346" s="10" t="n">
        <v>8.811122680190969</v>
      </c>
      <c r="G346" s="10" t="n">
        <v>1.28624734839871</v>
      </c>
      <c r="H346" s="8" t="n">
        <v>2.50379044956964</v>
      </c>
      <c r="I346" s="8" t="n">
        <v>16.7661372262562</v>
      </c>
      <c r="J346" s="8" t="n">
        <v>90.3549536314334</v>
      </c>
      <c r="K346" s="8" t="n">
        <v>9.62359931435754</v>
      </c>
      <c r="L346" s="8" t="n">
        <v>98.5900431134575</v>
      </c>
      <c r="M346" s="8" t="n">
        <v>8.654807088293911</v>
      </c>
      <c r="N346" s="8" t="n">
        <v>1.64333333333333</v>
      </c>
      <c r="O346" s="8" t="n">
        <v>-0.546666666666667</v>
      </c>
      <c r="P346" s="8" t="n">
        <v>63.41</v>
      </c>
      <c r="Q346" s="8" t="n">
        <v>-6.35522299891701</v>
      </c>
    </row>
    <row r="347" ht="19" customHeight="1">
      <c r="A347" s="6" t="inlineStr">
        <is>
          <t>Myanmar</t>
        </is>
      </c>
      <c r="B347" s="10" t="n">
        <v>2020</v>
      </c>
      <c r="C347" s="10" t="n">
        <v>1</v>
      </c>
      <c r="D347" s="6" t="inlineStr">
        <is>
          <t>2020 Q1</t>
        </is>
      </c>
      <c r="E347" s="8" t="n">
        <v>160.894913333333</v>
      </c>
      <c r="F347" s="10" t="n">
        <v>8.01508938167586</v>
      </c>
      <c r="G347" s="10" t="n">
        <v>-0.180972427715009</v>
      </c>
      <c r="H347" s="8" t="n">
        <v>-3.22090165827063</v>
      </c>
      <c r="I347" s="8" t="n">
        <v>17.5187990275012</v>
      </c>
      <c r="J347" s="8" t="n">
        <v>94.5812279935721</v>
      </c>
      <c r="K347" s="8" t="n">
        <v>12.9780883463144</v>
      </c>
      <c r="L347" s="8" t="n">
        <v>101.264856657347</v>
      </c>
      <c r="M347" s="8" t="n">
        <v>7.92087821393919</v>
      </c>
      <c r="N347" s="8" t="n">
        <v>1.26</v>
      </c>
      <c r="O347" s="8" t="n">
        <v>-0.383333333333333</v>
      </c>
      <c r="P347" s="8" t="n">
        <v>50.44</v>
      </c>
      <c r="Q347" s="8" t="n">
        <v>-20.1519708722495</v>
      </c>
    </row>
    <row r="348" ht="19" customHeight="1">
      <c r="A348" s="6" t="inlineStr">
        <is>
          <t>Myanmar</t>
        </is>
      </c>
      <c r="B348" s="10" t="n">
        <v>2020</v>
      </c>
      <c r="C348" s="10" t="n">
        <v>2</v>
      </c>
      <c r="D348" s="6" t="inlineStr">
        <is>
          <t>2020 Q2</t>
        </is>
      </c>
      <c r="E348" s="8" t="n">
        <v>160.366936666667</v>
      </c>
      <c r="F348" s="10" t="n">
        <v>4.53194882944841</v>
      </c>
      <c r="G348" s="10" t="n">
        <v>-0.328150005322314</v>
      </c>
      <c r="H348" s="8" t="n">
        <v>-7.84175451004269</v>
      </c>
      <c r="I348" s="8" t="n">
        <v>18.0832947199164</v>
      </c>
      <c r="J348" s="8" t="n">
        <v>100.028550138951</v>
      </c>
      <c r="K348" s="8" t="n">
        <v>15.7586641062615</v>
      </c>
      <c r="L348" s="8" t="n">
        <v>94.2610802411244</v>
      </c>
      <c r="M348" s="8" t="n">
        <v>-0.656798138560644</v>
      </c>
      <c r="N348" s="8" t="n">
        <v>0.06</v>
      </c>
      <c r="O348" s="8" t="n">
        <v>-1.2</v>
      </c>
      <c r="P348" s="8" t="n">
        <v>29.3433333333333</v>
      </c>
      <c r="Q348" s="8" t="n">
        <v>-57.426125646854</v>
      </c>
    </row>
    <row r="349" ht="19" customHeight="1">
      <c r="A349" s="6" t="inlineStr">
        <is>
          <t>Myanmar</t>
        </is>
      </c>
      <c r="B349" s="10" t="n">
        <v>2020</v>
      </c>
      <c r="C349" s="10" t="n">
        <v>3</v>
      </c>
      <c r="D349" s="6" t="inlineStr">
        <is>
          <t>2020 Q3</t>
        </is>
      </c>
      <c r="E349" s="8" t="n">
        <v>162.10052</v>
      </c>
      <c r="F349" s="10" t="n">
        <v>1.86052479764842</v>
      </c>
      <c r="G349" s="10" t="n">
        <v>1.08101044352846</v>
      </c>
      <c r="H349" s="8" t="n">
        <v>-11.3587727266033</v>
      </c>
      <c r="I349" s="8" t="n">
        <v>18.4596248679033</v>
      </c>
      <c r="J349" s="8" t="n">
        <v>101.44537663441</v>
      </c>
      <c r="K349" s="8" t="n">
        <v>13.6887461964694</v>
      </c>
      <c r="L349" s="8" t="n">
        <v>97.88852553233011</v>
      </c>
      <c r="M349" s="8" t="n">
        <v>3.47804659469599</v>
      </c>
      <c r="N349" s="8" t="n">
        <v>0.0933333333333333</v>
      </c>
      <c r="O349" s="8" t="n">
        <v>0.0333333333333333</v>
      </c>
      <c r="P349" s="8" t="n">
        <v>42.9633333333333</v>
      </c>
      <c r="Q349" s="8" t="n">
        <v>-30.6259755638086</v>
      </c>
    </row>
    <row r="350" ht="19" customHeight="1">
      <c r="A350" s="6" t="inlineStr">
        <is>
          <t>Myanmar</t>
        </is>
      </c>
      <c r="B350" s="10" t="n">
        <v>2020</v>
      </c>
      <c r="C350" s="10" t="n">
        <v>4</v>
      </c>
      <c r="D350" s="6" t="inlineStr">
        <is>
          <t>2020 Q4</t>
        </is>
      </c>
      <c r="E350" s="8" t="n">
        <v>162.908385</v>
      </c>
      <c r="F350" s="10" t="n">
        <v>1.06818318352939</v>
      </c>
      <c r="G350" s="10" t="n">
        <v>0.498372861481244</v>
      </c>
      <c r="H350" s="8" t="n">
        <v>-13.7719598250316</v>
      </c>
      <c r="I350" s="8" t="n">
        <v>18.6477898477502</v>
      </c>
      <c r="J350" s="8" t="n">
        <v>102.426534687491</v>
      </c>
      <c r="K350" s="8" t="n">
        <v>13.3601762503236</v>
      </c>
      <c r="L350" s="8" t="n">
        <v>107.405441783652</v>
      </c>
      <c r="M350" s="8" t="n">
        <v>8.9414695356711</v>
      </c>
      <c r="N350" s="8" t="n">
        <v>0.09</v>
      </c>
      <c r="O350" s="8" t="n">
        <v>-0.0033333333333333</v>
      </c>
      <c r="P350" s="8" t="n">
        <v>44.29</v>
      </c>
      <c r="Q350" s="8" t="n">
        <v>-30.152972717237</v>
      </c>
    </row>
    <row r="351" ht="19" customHeight="1">
      <c r="A351" s="6" t="inlineStr">
        <is>
          <t>Myanmar</t>
        </is>
      </c>
      <c r="B351" s="10" t="n">
        <v>2021</v>
      </c>
      <c r="C351" s="10" t="n">
        <v>1</v>
      </c>
      <c r="D351" s="6" t="inlineStr">
        <is>
          <t>2021 Q1</t>
        </is>
      </c>
      <c r="E351" s="9" t="inlineStr"/>
      <c r="F351" s="9" t="inlineStr"/>
      <c r="G351" s="9" t="inlineStr"/>
      <c r="H351" s="8" t="n">
        <v>-15.0813182184898</v>
      </c>
      <c r="I351" s="9" t="inlineStr"/>
      <c r="J351" s="8" t="n">
        <v>98.9535464024667</v>
      </c>
      <c r="K351" s="8" t="n">
        <v>4.6228183981623</v>
      </c>
      <c r="L351" s="8" t="n">
        <v>106.418456967928</v>
      </c>
      <c r="M351" s="8" t="n">
        <v>5.08922886053087</v>
      </c>
      <c r="N351" s="8" t="n">
        <v>0.08</v>
      </c>
      <c r="O351" s="8" t="n">
        <v>-0.01</v>
      </c>
      <c r="P351" s="8" t="n">
        <v>60.82</v>
      </c>
      <c r="Q351" s="8" t="n">
        <v>20.578905630452</v>
      </c>
    </row>
    <row r="352" ht="19" customHeight="1">
      <c r="A352" s="6" t="inlineStr">
        <is>
          <t>Myanmar</t>
        </is>
      </c>
      <c r="B352" s="10" t="n">
        <v>2021</v>
      </c>
      <c r="C352" s="10" t="n">
        <v>2</v>
      </c>
      <c r="D352" s="6" t="inlineStr">
        <is>
          <t>2021 Q2</t>
        </is>
      </c>
      <c r="E352" s="9" t="inlineStr"/>
      <c r="F352" s="9" t="inlineStr"/>
      <c r="G352" s="9" t="inlineStr"/>
      <c r="H352" s="8" t="n">
        <v>-14.3790838407297</v>
      </c>
      <c r="I352" s="9" t="inlineStr"/>
      <c r="J352" s="8" t="n">
        <v>90.1197144191072</v>
      </c>
      <c r="K352" s="8" t="n">
        <v>-9.906007540926289</v>
      </c>
      <c r="L352" s="8" t="n">
        <v>114.551815876528</v>
      </c>
      <c r="M352" s="8" t="n">
        <v>21.5261013172124</v>
      </c>
      <c r="N352" s="8" t="n">
        <v>0.07000000000000001</v>
      </c>
      <c r="O352" s="8" t="n">
        <v>-0.01</v>
      </c>
      <c r="P352" s="8" t="n">
        <v>68.8333333333333</v>
      </c>
      <c r="Q352" s="8" t="n">
        <v>134.579120754288</v>
      </c>
    </row>
    <row r="353" ht="19" customHeight="1">
      <c r="A353" s="6" t="inlineStr">
        <is>
          <t>Myanmar</t>
        </is>
      </c>
      <c r="B353" s="10" t="n">
        <v>2021</v>
      </c>
      <c r="C353" s="10" t="n">
        <v>3</v>
      </c>
      <c r="D353" s="6" t="inlineStr">
        <is>
          <t>2021 Q3</t>
        </is>
      </c>
      <c r="E353" s="9" t="inlineStr"/>
      <c r="F353" s="9" t="inlineStr"/>
      <c r="G353" s="9" t="inlineStr"/>
      <c r="H353" s="8" t="n">
        <v>-11.6652559895953</v>
      </c>
      <c r="I353" s="9" t="inlineStr"/>
      <c r="J353" s="8" t="n">
        <v>87.0920874555446</v>
      </c>
      <c r="K353" s="8" t="n">
        <v>-14.148785932938</v>
      </c>
      <c r="L353" s="8" t="n">
        <v>116.298331246585</v>
      </c>
      <c r="M353" s="8" t="n">
        <v>18.8069087915464</v>
      </c>
      <c r="N353" s="8" t="n">
        <v>0.09</v>
      </c>
      <c r="O353" s="8" t="n">
        <v>0.02</v>
      </c>
      <c r="P353" s="8" t="n">
        <v>73.47</v>
      </c>
      <c r="Q353" s="8" t="n">
        <v>71.0062844285825</v>
      </c>
    </row>
    <row r="354" ht="19" customHeight="1">
      <c r="A354" s="6" t="inlineStr">
        <is>
          <t>Myanmar</t>
        </is>
      </c>
      <c r="B354" s="10" t="n">
        <v>2021</v>
      </c>
      <c r="C354" s="10" t="n">
        <v>4</v>
      </c>
      <c r="D354" s="6" t="inlineStr">
        <is>
          <t>2021 Q4</t>
        </is>
      </c>
      <c r="E354" s="9" t="inlineStr"/>
      <c r="F354" s="9" t="inlineStr"/>
      <c r="G354" s="9" t="inlineStr"/>
      <c r="H354" s="8" t="n">
        <v>-6.939831951213</v>
      </c>
      <c r="I354" s="9" t="inlineStr"/>
      <c r="J354" s="8" t="n">
        <v>84.30300519036319</v>
      </c>
      <c r="K354" s="8" t="n">
        <v>-17.6941742219667</v>
      </c>
      <c r="L354" s="8" t="n">
        <v>122.679602624024</v>
      </c>
      <c r="M354" s="8" t="n">
        <v>14.2210306914792</v>
      </c>
      <c r="N354" s="8" t="n">
        <v>0.08</v>
      </c>
      <c r="O354" s="8" t="n">
        <v>-0.01</v>
      </c>
      <c r="P354" s="8" t="n">
        <v>79.5866666666667</v>
      </c>
      <c r="Q354" s="8" t="n">
        <v>79.69443817265</v>
      </c>
    </row>
    <row r="355" ht="19" customHeight="1">
      <c r="A355" s="6" t="inlineStr">
        <is>
          <t>Myanmar</t>
        </is>
      </c>
      <c r="B355" s="10" t="n">
        <v>2022</v>
      </c>
      <c r="C355" s="10" t="n">
        <v>1</v>
      </c>
      <c r="D355" s="6" t="inlineStr">
        <is>
          <t>2022 Q1</t>
        </is>
      </c>
      <c r="E355" s="9" t="inlineStr"/>
      <c r="F355" s="9" t="inlineStr"/>
      <c r="G355" s="9" t="inlineStr"/>
      <c r="H355" s="8" t="n">
        <v>-0.202807000184654</v>
      </c>
      <c r="I355" s="9" t="inlineStr"/>
      <c r="J355" s="8" t="n">
        <v>90.0815253295013</v>
      </c>
      <c r="K355" s="8" t="n">
        <v>-8.96584447502353</v>
      </c>
      <c r="L355" s="8" t="n">
        <v>124.25343875034</v>
      </c>
      <c r="M355" s="8" t="n">
        <v>16.7592937264516</v>
      </c>
      <c r="N355" s="8" t="n">
        <v>0.12</v>
      </c>
      <c r="O355" s="8" t="n">
        <v>0.04</v>
      </c>
      <c r="P355" s="8" t="n">
        <v>100.296666666667</v>
      </c>
      <c r="Q355" s="8" t="n">
        <v>64.9073769593335</v>
      </c>
    </row>
    <row r="356" ht="19" customHeight="1">
      <c r="A356" s="6" t="inlineStr">
        <is>
          <t>Myanmar</t>
        </is>
      </c>
      <c r="B356" s="10" t="n">
        <v>2022</v>
      </c>
      <c r="C356" s="10" t="n">
        <v>2</v>
      </c>
      <c r="D356" s="6" t="inlineStr">
        <is>
          <t>2022 Q2</t>
        </is>
      </c>
      <c r="E356" s="9" t="inlineStr"/>
      <c r="F356" s="9" t="inlineStr"/>
      <c r="G356" s="9" t="inlineStr"/>
      <c r="H356" s="8" t="n">
        <v>4.18812119383188</v>
      </c>
      <c r="I356" s="9" t="inlineStr"/>
      <c r="J356" s="8" t="n">
        <v>94.88924288669099</v>
      </c>
      <c r="K356" s="8" t="n">
        <v>5.29243628691816</v>
      </c>
      <c r="L356" s="8" t="n">
        <v>134.351432934678</v>
      </c>
      <c r="M356" s="8" t="n">
        <v>17.2844200736996</v>
      </c>
      <c r="N356" s="8" t="n">
        <v>0.77</v>
      </c>
      <c r="O356" s="8" t="n">
        <v>0.65</v>
      </c>
      <c r="P356" s="8" t="n">
        <v>113.543333333333</v>
      </c>
      <c r="Q356" s="8" t="n">
        <v>64.95399515738499</v>
      </c>
    </row>
    <row r="357" ht="19" customHeight="1">
      <c r="A357" s="6" t="inlineStr">
        <is>
          <t>Myanmar</t>
        </is>
      </c>
      <c r="B357" s="10" t="n">
        <v>2022</v>
      </c>
      <c r="C357" s="10" t="n">
        <v>3</v>
      </c>
      <c r="D357" s="6" t="inlineStr">
        <is>
          <t>2022 Q3</t>
        </is>
      </c>
      <c r="E357" s="9" t="inlineStr"/>
      <c r="F357" s="9" t="inlineStr"/>
      <c r="G357" s="9" t="inlineStr"/>
      <c r="H357" s="8" t="n">
        <v>6.23295702175153</v>
      </c>
      <c r="I357" s="9" t="inlineStr"/>
      <c r="J357" s="8" t="n">
        <v>97.1044485505906</v>
      </c>
      <c r="K357" s="8" t="n">
        <v>11.4962924733624</v>
      </c>
      <c r="L357" s="8" t="n">
        <v>118.584751746656</v>
      </c>
      <c r="M357" s="8" t="n">
        <v>1.96599596534466</v>
      </c>
      <c r="N357" s="8" t="n">
        <v>2.19</v>
      </c>
      <c r="O357" s="8" t="n">
        <v>1.42</v>
      </c>
      <c r="P357" s="8" t="n">
        <v>100.713333333333</v>
      </c>
      <c r="Q357" s="8" t="n">
        <v>37.0808946962479</v>
      </c>
    </row>
    <row r="358" ht="19" customHeight="1">
      <c r="A358" s="6" t="inlineStr">
        <is>
          <t>Myanmar</t>
        </is>
      </c>
      <c r="B358" s="10" t="n">
        <v>2022</v>
      </c>
      <c r="C358" s="10" t="n">
        <v>4</v>
      </c>
      <c r="D358" s="6" t="inlineStr">
        <is>
          <t>2022 Q4</t>
        </is>
      </c>
      <c r="E358" s="9" t="inlineStr"/>
      <c r="F358" s="9" t="inlineStr"/>
      <c r="G358" s="9" t="inlineStr"/>
      <c r="H358" s="8" t="n">
        <v>5.93170252844557</v>
      </c>
      <c r="I358" s="9" t="inlineStr"/>
      <c r="J358" s="8" t="n">
        <v>96.84190605546721</v>
      </c>
      <c r="K358" s="8" t="n">
        <v>14.8736107767334</v>
      </c>
      <c r="L358" s="8" t="n">
        <v>115.210051245214</v>
      </c>
      <c r="M358" s="8" t="n">
        <v>-6.08866610181539</v>
      </c>
      <c r="N358" s="8" t="n">
        <v>3.65333333333333</v>
      </c>
      <c r="O358" s="8" t="n">
        <v>1.46333333333333</v>
      </c>
      <c r="P358" s="8" t="n">
        <v>88.5566666666667</v>
      </c>
      <c r="Q358" s="8" t="n">
        <v>11.2707321159323</v>
      </c>
    </row>
    <row r="359" ht="19" customHeight="1">
      <c r="A359" s="6" t="inlineStr">
        <is>
          <t>Myanmar</t>
        </is>
      </c>
      <c r="B359" s="10" t="n">
        <v>2023</v>
      </c>
      <c r="C359" s="10" t="n">
        <v>1</v>
      </c>
      <c r="D359" s="6" t="inlineStr">
        <is>
          <t>2023 Q1</t>
        </is>
      </c>
      <c r="E359" s="9" t="inlineStr"/>
      <c r="F359" s="9" t="inlineStr"/>
      <c r="G359" s="9" t="inlineStr"/>
      <c r="H359" s="8" t="n">
        <v>3.28435741257495</v>
      </c>
      <c r="I359" s="9" t="inlineStr"/>
      <c r="J359" s="8" t="n">
        <v>97.8357627157524</v>
      </c>
      <c r="K359" s="8" t="n">
        <v>8.60802185341276</v>
      </c>
      <c r="L359" s="8" t="n">
        <v>114.034689515825</v>
      </c>
      <c r="M359" s="8" t="n">
        <v>-8.224117849203459</v>
      </c>
      <c r="N359" s="8" t="n">
        <v>4.51666666666667</v>
      </c>
      <c r="O359" s="8" t="n">
        <v>0.863333333333333</v>
      </c>
      <c r="P359" s="8" t="n">
        <v>81.1733333333333</v>
      </c>
      <c r="Q359" s="8" t="n">
        <v>-19.0667685865266</v>
      </c>
    </row>
    <row r="360" ht="19" customHeight="1">
      <c r="A360" s="6" t="inlineStr">
        <is>
          <t>Myanmar</t>
        </is>
      </c>
      <c r="B360" s="10" t="n">
        <v>2023</v>
      </c>
      <c r="C360" s="10" t="n">
        <v>2</v>
      </c>
      <c r="D360" s="6" t="inlineStr">
        <is>
          <t>2023 Q2</t>
        </is>
      </c>
      <c r="E360" s="9" t="inlineStr"/>
      <c r="F360" s="9" t="inlineStr"/>
      <c r="G360" s="9" t="inlineStr"/>
      <c r="H360" s="8" t="n">
        <v>1.2950559800507</v>
      </c>
      <c r="I360" s="9" t="inlineStr"/>
      <c r="J360" s="8" t="n">
        <v>104.354775656822</v>
      </c>
      <c r="K360" s="8" t="n">
        <v>9.975348608728771</v>
      </c>
      <c r="L360" s="8" t="n">
        <v>109.857789884183</v>
      </c>
      <c r="M360" s="8" t="n">
        <v>-18.2310247948031</v>
      </c>
      <c r="N360" s="8" t="n">
        <v>4.99</v>
      </c>
      <c r="O360" s="8" t="n">
        <v>0.473333333333334</v>
      </c>
      <c r="P360" s="8" t="n">
        <v>78.31666666666671</v>
      </c>
      <c r="Q360" s="8" t="n">
        <v>-31.0248656900449</v>
      </c>
    </row>
    <row r="361" ht="19" customHeight="1">
      <c r="A361" s="6" t="inlineStr">
        <is>
          <t>Myanmar</t>
        </is>
      </c>
      <c r="B361" s="10" t="n">
        <v>2023</v>
      </c>
      <c r="C361" s="10" t="n">
        <v>3</v>
      </c>
      <c r="D361" s="6" t="inlineStr">
        <is>
          <t>2023 Q3</t>
        </is>
      </c>
      <c r="E361" s="9" t="inlineStr"/>
      <c r="F361" s="9" t="inlineStr"/>
      <c r="G361" s="9" t="inlineStr"/>
      <c r="H361" s="8" t="n">
        <v>-0.0362037584466207</v>
      </c>
      <c r="I361" s="9" t="inlineStr"/>
      <c r="J361" s="8" t="n">
        <v>111.436049020244</v>
      </c>
      <c r="K361" s="8" t="n">
        <v>14.7589535634783</v>
      </c>
      <c r="L361" s="8" t="n">
        <v>107.510614988168</v>
      </c>
      <c r="M361" s="8" t="n">
        <v>-9.338584088911441</v>
      </c>
      <c r="N361" s="8" t="n">
        <v>5.26</v>
      </c>
      <c r="O361" s="8" t="n">
        <v>0.27</v>
      </c>
      <c r="P361" s="8" t="n">
        <v>86.66</v>
      </c>
      <c r="Q361" s="8" t="n">
        <v>-13.9537962533925</v>
      </c>
    </row>
    <row r="362" ht="19" customHeight="1">
      <c r="A362" s="6" t="inlineStr">
        <is>
          <t>Myanmar</t>
        </is>
      </c>
      <c r="B362" s="10" t="n">
        <v>2023</v>
      </c>
      <c r="C362" s="10" t="n">
        <v>4</v>
      </c>
      <c r="D362" s="6" t="inlineStr">
        <is>
          <t>2023 Q4</t>
        </is>
      </c>
      <c r="E362" s="9" t="inlineStr"/>
      <c r="F362" s="9" t="inlineStr"/>
      <c r="G362" s="9" t="inlineStr"/>
      <c r="H362" s="8" t="n">
        <v>-0.709423134205199</v>
      </c>
      <c r="I362" s="9" t="inlineStr"/>
      <c r="J362" s="8" t="n">
        <v>118.339739333938</v>
      </c>
      <c r="K362" s="8" t="n">
        <v>22.1988952449546</v>
      </c>
      <c r="L362" s="8" t="n">
        <v>105.339533846651</v>
      </c>
      <c r="M362" s="8" t="n">
        <v>-8.56740995414912</v>
      </c>
      <c r="N362" s="8" t="n">
        <v>5.33</v>
      </c>
      <c r="O362" s="8" t="n">
        <v>0.0700000000000003</v>
      </c>
      <c r="P362" s="8" t="n">
        <v>83.7233333333333</v>
      </c>
      <c r="Q362" s="8" t="n">
        <v>-5.45789889712802</v>
      </c>
    </row>
    <row r="363" ht="19" customHeight="1">
      <c r="A363" s="6" t="inlineStr">
        <is>
          <t>Myanmar</t>
        </is>
      </c>
      <c r="B363" s="10" t="n">
        <v>2024</v>
      </c>
      <c r="C363" s="10" t="n">
        <v>1</v>
      </c>
      <c r="D363" s="6" t="inlineStr">
        <is>
          <t>2024 Q1</t>
        </is>
      </c>
      <c r="E363" s="9" t="inlineStr"/>
      <c r="F363" s="9" t="inlineStr"/>
      <c r="G363" s="9" t="inlineStr"/>
      <c r="H363" s="8" t="n">
        <v>-0.724602820420859</v>
      </c>
      <c r="I363" s="9" t="inlineStr"/>
      <c r="J363" s="8" t="n">
        <v>124.864073938853</v>
      </c>
      <c r="K363" s="8" t="n">
        <v>27.626207915021</v>
      </c>
      <c r="L363" s="8" t="n">
        <v>102.582568583479</v>
      </c>
      <c r="M363" s="8" t="n">
        <v>-10.0426641936497</v>
      </c>
      <c r="N363" s="8" t="n">
        <v>5.33</v>
      </c>
      <c r="O363" s="8" t="n">
        <v>0</v>
      </c>
      <c r="P363" s="8" t="n">
        <v>83.0033333333333</v>
      </c>
      <c r="Q363" s="8" t="n">
        <v>2.25443495400788</v>
      </c>
    </row>
    <row r="364" ht="19" customHeight="1">
      <c r="A364" s="6" t="inlineStr">
        <is>
          <t>Myanmar</t>
        </is>
      </c>
      <c r="B364" s="10" t="n">
        <v>2024</v>
      </c>
      <c r="C364" s="10" t="n">
        <v>2</v>
      </c>
      <c r="D364" s="6" t="inlineStr">
        <is>
          <t>2024 Q2</t>
        </is>
      </c>
      <c r="E364" s="9" t="inlineStr"/>
      <c r="F364" s="9" t="inlineStr"/>
      <c r="G364" s="9" t="inlineStr"/>
      <c r="H364" s="8" t="n">
        <v>-0.829652069198788</v>
      </c>
      <c r="I364" s="9" t="inlineStr"/>
      <c r="J364" s="8" t="n">
        <v>134.126577032233</v>
      </c>
      <c r="K364" s="8" t="n">
        <v>28.5294095914864</v>
      </c>
      <c r="L364" s="8" t="n">
        <v>104.519793640698</v>
      </c>
      <c r="M364" s="8" t="n">
        <v>-4.85900567371084</v>
      </c>
      <c r="N364" s="8" t="n">
        <v>5.33</v>
      </c>
      <c r="O364" s="8" t="n">
        <v>0</v>
      </c>
      <c r="P364" s="8" t="n">
        <v>84.6466666666667</v>
      </c>
      <c r="Q364" s="8" t="n">
        <v>8.082570759736109</v>
      </c>
    </row>
    <row r="365" ht="19" customHeight="1">
      <c r="A365" s="6" t="inlineStr">
        <is>
          <t>Myanmar</t>
        </is>
      </c>
      <c r="B365" s="10" t="n">
        <v>2024</v>
      </c>
      <c r="C365" s="10" t="n">
        <v>3</v>
      </c>
      <c r="D365" s="6" t="inlineStr">
        <is>
          <t>2024 Q3</t>
        </is>
      </c>
      <c r="E365" s="9" t="inlineStr"/>
      <c r="F365" s="9" t="inlineStr"/>
      <c r="G365" s="9" t="inlineStr"/>
      <c r="H365" s="8" t="n">
        <v>-1.02457098566991</v>
      </c>
      <c r="I365" s="9" t="inlineStr"/>
      <c r="J365" s="8" t="n">
        <v>138.788806281316</v>
      </c>
      <c r="K365" s="8" t="n">
        <v>24.5456990817249</v>
      </c>
      <c r="L365" s="8" t="n">
        <v>106.377099329068</v>
      </c>
      <c r="M365" s="8" t="n">
        <v>-1.05432906250624</v>
      </c>
      <c r="N365" s="8" t="n">
        <v>5.26333333333333</v>
      </c>
      <c r="O365" s="8" t="n">
        <v>-0.0666666666666664</v>
      </c>
      <c r="P365" s="8" t="n">
        <v>79.84333333333331</v>
      </c>
      <c r="Q365" s="8" t="n">
        <v>-7.86598969151473</v>
      </c>
    </row>
    <row r="366" ht="19" customHeight="1">
      <c r="A366" s="6" t="inlineStr">
        <is>
          <t>Myanmar</t>
        </is>
      </c>
      <c r="B366" s="10" t="n">
        <v>2024</v>
      </c>
      <c r="C366" s="10" t="n">
        <v>4</v>
      </c>
      <c r="D366" s="6" t="inlineStr">
        <is>
          <t>2024 Q4</t>
        </is>
      </c>
      <c r="E366" s="9" t="inlineStr"/>
      <c r="F366" s="9" t="inlineStr"/>
      <c r="G366" s="9" t="inlineStr"/>
      <c r="H366" s="8" t="n">
        <v>-1.30935976473845</v>
      </c>
      <c r="I366" s="9" t="inlineStr"/>
      <c r="J366" s="8" t="n">
        <v>148.019946562253</v>
      </c>
      <c r="K366" s="8" t="n">
        <v>25.0805075246634</v>
      </c>
      <c r="L366" s="8" t="n">
        <v>110.645361455409</v>
      </c>
      <c r="M366" s="8" t="n">
        <v>5.03688161035707</v>
      </c>
      <c r="N366" s="8" t="n">
        <v>4.65</v>
      </c>
      <c r="O366" s="8" t="n">
        <v>-0.613333333333333</v>
      </c>
      <c r="P366" s="8" t="n">
        <v>74.6133333333333</v>
      </c>
      <c r="Q366" s="8" t="n">
        <v>-10.8810765616913</v>
      </c>
    </row>
    <row r="367" ht="19" customHeight="1">
      <c r="A367" s="6" t="inlineStr">
        <is>
          <t>Myanmar</t>
        </is>
      </c>
      <c r="B367" s="10" t="n">
        <v>2025</v>
      </c>
      <c r="C367" s="10" t="n">
        <v>1</v>
      </c>
      <c r="D367" s="6" t="inlineStr">
        <is>
          <t>2025 Q1</t>
        </is>
      </c>
      <c r="E367" s="9" t="inlineStr"/>
      <c r="F367" s="9" t="inlineStr"/>
      <c r="G367" s="9" t="inlineStr"/>
      <c r="H367" s="8" t="n">
        <v>-1.68401869111101</v>
      </c>
      <c r="I367" s="9" t="inlineStr"/>
      <c r="J367" s="8" t="n">
        <v>156.978089548239</v>
      </c>
      <c r="K367" s="8" t="n">
        <v>25.7191797418949</v>
      </c>
      <c r="L367" s="8" t="n">
        <v>108.711496383905</v>
      </c>
      <c r="M367" s="8" t="n">
        <v>5.97462891118643</v>
      </c>
      <c r="N367" s="8" t="n">
        <v>4.33</v>
      </c>
      <c r="O367" s="8" t="n">
        <v>-0.32</v>
      </c>
      <c r="P367" s="8" t="n">
        <v>75.8133333333333</v>
      </c>
      <c r="Q367" s="8" t="n">
        <v>-8.662302718766311</v>
      </c>
    </row>
    <row r="368" ht="19" customHeight="1">
      <c r="A368" s="7" t="inlineStr">
        <is>
          <t>Philippines</t>
        </is>
      </c>
      <c r="B368" s="10" t="n">
        <v>2010</v>
      </c>
      <c r="C368" s="10" t="n">
        <v>1</v>
      </c>
      <c r="D368" s="6" t="inlineStr">
        <is>
          <t>2010 Q1</t>
        </is>
      </c>
      <c r="E368" s="8" t="n">
        <v>78.00702215436149</v>
      </c>
      <c r="F368" s="9" t="inlineStr"/>
      <c r="G368" s="9" t="inlineStr"/>
      <c r="H368" s="8" t="n">
        <v>8.346683983258741</v>
      </c>
      <c r="I368" s="8" t="n">
        <v>11.9740881021241</v>
      </c>
      <c r="J368" s="8" t="n">
        <v>97.88523926842259</v>
      </c>
      <c r="K368" s="9" t="inlineStr"/>
      <c r="L368" s="8" t="n">
        <v>99.24199528149821</v>
      </c>
      <c r="M368" s="9" t="inlineStr"/>
      <c r="N368" s="8" t="n">
        <v>0.133333333333333</v>
      </c>
      <c r="O368" s="9" t="inlineStr"/>
      <c r="P368" s="8" t="n">
        <v>76.25</v>
      </c>
      <c r="Q368" s="9" t="inlineStr"/>
    </row>
    <row r="369" ht="19" customHeight="1">
      <c r="A369" s="7" t="inlineStr">
        <is>
          <t>Philippines</t>
        </is>
      </c>
      <c r="B369" s="10" t="n">
        <v>2010</v>
      </c>
      <c r="C369" s="10" t="n">
        <v>2</v>
      </c>
      <c r="D369" s="6" t="inlineStr">
        <is>
          <t>2010 Q2</t>
        </is>
      </c>
      <c r="E369" s="8" t="n">
        <v>78.7064366666667</v>
      </c>
      <c r="F369" s="9" t="inlineStr"/>
      <c r="G369" s="10" t="n">
        <v>0.896604553012104</v>
      </c>
      <c r="H369" s="8" t="n">
        <v>7.94181061703673</v>
      </c>
      <c r="I369" s="8" t="n">
        <v>11.5432862280476</v>
      </c>
      <c r="J369" s="8" t="n">
        <v>101.214814648344</v>
      </c>
      <c r="K369" s="9" t="inlineStr"/>
      <c r="L369" s="8" t="n">
        <v>96.4984622523225</v>
      </c>
      <c r="M369" s="9" t="inlineStr"/>
      <c r="N369" s="8" t="n">
        <v>0.193333333333333</v>
      </c>
      <c r="O369" s="8" t="n">
        <v>0.06</v>
      </c>
      <c r="P369" s="8" t="n">
        <v>78.51000000000001</v>
      </c>
      <c r="Q369" s="9" t="inlineStr"/>
    </row>
    <row r="370" ht="19" customHeight="1">
      <c r="A370" s="7" t="inlineStr">
        <is>
          <t>Philippines</t>
        </is>
      </c>
      <c r="B370" s="10" t="n">
        <v>2010</v>
      </c>
      <c r="C370" s="10" t="n">
        <v>3</v>
      </c>
      <c r="D370" s="6" t="inlineStr">
        <is>
          <t>2010 Q3</t>
        </is>
      </c>
      <c r="E370" s="8" t="n">
        <v>79.2965766666667</v>
      </c>
      <c r="F370" s="9" t="inlineStr"/>
      <c r="G370" s="10" t="n">
        <v>0.7497989046300499</v>
      </c>
      <c r="H370" s="8" t="n">
        <v>7.13206347967244</v>
      </c>
      <c r="I370" s="8" t="n">
        <v>10.6816820489511</v>
      </c>
      <c r="J370" s="8" t="n">
        <v>100.26675611022</v>
      </c>
      <c r="K370" s="9" t="inlineStr"/>
      <c r="L370" s="8" t="n">
        <v>107.356970480027</v>
      </c>
      <c r="M370" s="9" t="inlineStr"/>
      <c r="N370" s="8" t="n">
        <v>0.186666666666667</v>
      </c>
      <c r="O370" s="8" t="n">
        <v>-0.0066666666666666</v>
      </c>
      <c r="P370" s="8" t="n">
        <v>76.81999999999999</v>
      </c>
      <c r="Q370" s="9" t="inlineStr"/>
    </row>
    <row r="371" ht="19" customHeight="1">
      <c r="A371" s="7" t="inlineStr">
        <is>
          <t>Philippines</t>
        </is>
      </c>
      <c r="B371" s="10" t="n">
        <v>2010</v>
      </c>
      <c r="C371" s="10" t="n">
        <v>4</v>
      </c>
      <c r="D371" s="6" t="inlineStr">
        <is>
          <t>2010 Q4</t>
        </is>
      </c>
      <c r="E371" s="8" t="n">
        <v>79.9085666666667</v>
      </c>
      <c r="F371" s="9" t="inlineStr"/>
      <c r="G371" s="10" t="n">
        <v>0.771773543986098</v>
      </c>
      <c r="H371" s="8" t="n">
        <v>5.91744176147665</v>
      </c>
      <c r="I371" s="8" t="n">
        <v>9.38927470338521</v>
      </c>
      <c r="J371" s="8" t="n">
        <v>101.35108505402</v>
      </c>
      <c r="K371" s="9" t="inlineStr"/>
      <c r="L371" s="8" t="n">
        <v>124.608736829891</v>
      </c>
      <c r="M371" s="9" t="inlineStr"/>
      <c r="N371" s="8" t="n">
        <v>0.186666666666667</v>
      </c>
      <c r="O371" s="8" t="n">
        <v>0</v>
      </c>
      <c r="P371" s="8" t="n">
        <v>86.4666666666667</v>
      </c>
      <c r="Q371" s="9" t="inlineStr"/>
    </row>
    <row r="372" ht="19" customHeight="1">
      <c r="A372" s="7" t="inlineStr">
        <is>
          <t>Philippines</t>
        </is>
      </c>
      <c r="B372" s="10" t="n">
        <v>2011</v>
      </c>
      <c r="C372" s="10" t="n">
        <v>1</v>
      </c>
      <c r="D372" s="6" t="inlineStr">
        <is>
          <t>2011 Q1</t>
        </is>
      </c>
      <c r="E372" s="8" t="n">
        <v>81.5259733333333</v>
      </c>
      <c r="F372" s="10" t="n">
        <v>4.5110697496034</v>
      </c>
      <c r="G372" s="10" t="n">
        <v>2.02407167858931</v>
      </c>
      <c r="H372" s="8" t="n">
        <v>4.29794424784536</v>
      </c>
      <c r="I372" s="8" t="n">
        <v>7.66606289883325</v>
      </c>
      <c r="J372" s="8" t="n">
        <v>101.112222412573</v>
      </c>
      <c r="K372" s="8" t="n">
        <v>3.29670047115238</v>
      </c>
      <c r="L372" s="8" t="n">
        <v>121.875946057639</v>
      </c>
      <c r="M372" s="8" t="n">
        <v>22.8068276055313</v>
      </c>
      <c r="N372" s="8" t="n">
        <v>0.156666666666667</v>
      </c>
      <c r="O372" s="8" t="n">
        <v>-0.03</v>
      </c>
      <c r="P372" s="8" t="n">
        <v>104.96</v>
      </c>
      <c r="Q372" s="8" t="n">
        <v>37.6524590163934</v>
      </c>
    </row>
    <row r="373" ht="19" customHeight="1">
      <c r="A373" s="7" t="inlineStr">
        <is>
          <t>Philippines</t>
        </is>
      </c>
      <c r="B373" s="10" t="n">
        <v>2011</v>
      </c>
      <c r="C373" s="10" t="n">
        <v>2</v>
      </c>
      <c r="D373" s="6" t="inlineStr">
        <is>
          <t>2011 Q2</t>
        </is>
      </c>
      <c r="E373" s="8" t="n">
        <v>82.5969566666667</v>
      </c>
      <c r="F373" s="10" t="n">
        <v>4.94307729427128</v>
      </c>
      <c r="G373" s="10" t="n">
        <v>1.31367132405085</v>
      </c>
      <c r="H373" s="8" t="n">
        <v>3.47426100666831</v>
      </c>
      <c r="I373" s="8" t="n">
        <v>6.03305373017807</v>
      </c>
      <c r="J373" s="8" t="n">
        <v>100.972463939737</v>
      </c>
      <c r="K373" s="8" t="n">
        <v>-0.239441932931761</v>
      </c>
      <c r="L373" s="8" t="n">
        <v>122.00081812372</v>
      </c>
      <c r="M373" s="8" t="n">
        <v>26.4277329152819</v>
      </c>
      <c r="N373" s="8" t="n">
        <v>0.0933333333333333</v>
      </c>
      <c r="O373" s="8" t="n">
        <v>-0.0633333333333333</v>
      </c>
      <c r="P373" s="8" t="n">
        <v>117.36</v>
      </c>
      <c r="Q373" s="8" t="n">
        <v>49.4841421474971</v>
      </c>
    </row>
    <row r="374" ht="19" customHeight="1">
      <c r="A374" s="7" t="inlineStr">
        <is>
          <t>Philippines</t>
        </is>
      </c>
      <c r="B374" s="10" t="n">
        <v>2011</v>
      </c>
      <c r="C374" s="10" t="n">
        <v>3</v>
      </c>
      <c r="D374" s="6" t="inlineStr">
        <is>
          <t>2011 Q3</t>
        </is>
      </c>
      <c r="E374" s="8" t="n">
        <v>83.05595333333331</v>
      </c>
      <c r="F374" s="10" t="n">
        <v>4.74090663770983</v>
      </c>
      <c r="G374" s="10" t="n">
        <v>0.555706511704801</v>
      </c>
      <c r="H374" s="8" t="n">
        <v>3.44639121433446</v>
      </c>
      <c r="I374" s="8" t="n">
        <v>4.49024556412905</v>
      </c>
      <c r="J374" s="8" t="n">
        <v>101.694659637526</v>
      </c>
      <c r="K374" s="8" t="n">
        <v>1.42410464115912</v>
      </c>
      <c r="L374" s="8" t="n">
        <v>118.888757234176</v>
      </c>
      <c r="M374" s="8" t="n">
        <v>10.7415351817278</v>
      </c>
      <c r="N374" s="8" t="n">
        <v>0.0833333333333333</v>
      </c>
      <c r="O374" s="8" t="n">
        <v>-0.01</v>
      </c>
      <c r="P374" s="8" t="n">
        <v>113.34</v>
      </c>
      <c r="Q374" s="8" t="n">
        <v>47.5397032022911</v>
      </c>
    </row>
    <row r="375" ht="19" customHeight="1">
      <c r="A375" s="7" t="inlineStr">
        <is>
          <t>Philippines</t>
        </is>
      </c>
      <c r="B375" s="10" t="n">
        <v>2011</v>
      </c>
      <c r="C375" s="10" t="n">
        <v>4</v>
      </c>
      <c r="D375" s="6" t="inlineStr">
        <is>
          <t>2011 Q4</t>
        </is>
      </c>
      <c r="E375" s="8" t="n">
        <v>83.64608333333329</v>
      </c>
      <c r="F375" s="10" t="n">
        <v>4.67724153063274</v>
      </c>
      <c r="G375" s="10" t="n">
        <v>0.710521011819099</v>
      </c>
      <c r="H375" s="8" t="n">
        <v>4.21433484290933</v>
      </c>
      <c r="I375" s="8" t="n">
        <v>3.03763685811319</v>
      </c>
      <c r="J375" s="8" t="n">
        <v>102.650924522399</v>
      </c>
      <c r="K375" s="8" t="n">
        <v>1.28251164522366</v>
      </c>
      <c r="L375" s="8" t="n">
        <v>112.174119298219</v>
      </c>
      <c r="M375" s="8" t="n">
        <v>-9.978929124887189</v>
      </c>
      <c r="N375" s="8" t="n">
        <v>0.07333333333333331</v>
      </c>
      <c r="O375" s="8" t="n">
        <v>-0.01</v>
      </c>
      <c r="P375" s="8" t="n">
        <v>109.396666666667</v>
      </c>
      <c r="Q375" s="8" t="n">
        <v>26.5188897455667</v>
      </c>
    </row>
    <row r="376" ht="19" customHeight="1">
      <c r="A376" s="7" t="inlineStr">
        <is>
          <t>Philippines</t>
        </is>
      </c>
      <c r="B376" s="10" t="n">
        <v>2012</v>
      </c>
      <c r="C376" s="10" t="n">
        <v>1</v>
      </c>
      <c r="D376" s="6" t="inlineStr">
        <is>
          <t>2012 Q1</t>
        </is>
      </c>
      <c r="E376" s="8" t="n">
        <v>84.10937666666671</v>
      </c>
      <c r="F376" s="10" t="n">
        <v>3.16881016896375</v>
      </c>
      <c r="G376" s="10" t="n">
        <v>0.5538733134546</v>
      </c>
      <c r="H376" s="8" t="n">
        <v>5.77809266039515</v>
      </c>
      <c r="I376" s="8" t="n">
        <v>1.67522615933651</v>
      </c>
      <c r="J376" s="8" t="n">
        <v>103.771190580842</v>
      </c>
      <c r="K376" s="8" t="n">
        <v>2.62971983487692</v>
      </c>
      <c r="L376" s="8" t="n">
        <v>112.921025549072</v>
      </c>
      <c r="M376" s="8" t="n">
        <v>-7.3475700482622</v>
      </c>
      <c r="N376" s="8" t="n">
        <v>0.103333333333333</v>
      </c>
      <c r="O376" s="8" t="n">
        <v>0.03</v>
      </c>
      <c r="P376" s="8" t="n">
        <v>118.49</v>
      </c>
      <c r="Q376" s="8" t="n">
        <v>12.890625</v>
      </c>
    </row>
    <row r="377" ht="19" customHeight="1">
      <c r="A377" s="7" t="inlineStr">
        <is>
          <t>Philippines</t>
        </is>
      </c>
      <c r="B377" s="10" t="n">
        <v>2012</v>
      </c>
      <c r="C377" s="10" t="n">
        <v>2</v>
      </c>
      <c r="D377" s="6" t="inlineStr">
        <is>
          <t>2012 Q2</t>
        </is>
      </c>
      <c r="E377" s="8" t="n">
        <v>84.90447</v>
      </c>
      <c r="F377" s="10" t="n">
        <v>2.79370260897829</v>
      </c>
      <c r="G377" s="10" t="n">
        <v>0.945308792959398</v>
      </c>
      <c r="H377" s="8" t="n">
        <v>6.85113892000843</v>
      </c>
      <c r="I377" s="8" t="n">
        <v>3.25128882703777</v>
      </c>
      <c r="J377" s="8" t="n">
        <v>105.988746703542</v>
      </c>
      <c r="K377" s="8" t="n">
        <v>4.96797103693472</v>
      </c>
      <c r="L377" s="8" t="n">
        <v>108.674540730789</v>
      </c>
      <c r="M377" s="8" t="n">
        <v>-10.9231049413272</v>
      </c>
      <c r="N377" s="8" t="n">
        <v>0.153333333333333</v>
      </c>
      <c r="O377" s="8" t="n">
        <v>0.05</v>
      </c>
      <c r="P377" s="8" t="n">
        <v>108.416666666667</v>
      </c>
      <c r="Q377" s="8" t="n">
        <v>-7.6204271756419</v>
      </c>
    </row>
    <row r="378" ht="19" customHeight="1">
      <c r="A378" s="7" t="inlineStr">
        <is>
          <t>Philippines</t>
        </is>
      </c>
      <c r="B378" s="10" t="n">
        <v>2012</v>
      </c>
      <c r="C378" s="10" t="n">
        <v>3</v>
      </c>
      <c r="D378" s="6" t="inlineStr">
        <is>
          <t>2012 Q3</t>
        </is>
      </c>
      <c r="E378" s="8" t="n">
        <v>85.81314999999999</v>
      </c>
      <c r="F378" s="10" t="n">
        <v>3.31968577327748</v>
      </c>
      <c r="G378" s="10" t="n">
        <v>1.07023811584948</v>
      </c>
      <c r="H378" s="8" t="n">
        <v>7.43347469473528</v>
      </c>
      <c r="I378" s="8" t="n">
        <v>7.7658264370602</v>
      </c>
      <c r="J378" s="8" t="n">
        <v>108.929675789631</v>
      </c>
      <c r="K378" s="8" t="n">
        <v>7.11445043219907</v>
      </c>
      <c r="L378" s="8" t="n">
        <v>112.021404013206</v>
      </c>
      <c r="M378" s="8" t="n">
        <v>-5.77628480668088</v>
      </c>
      <c r="N378" s="8" t="n">
        <v>0.143333333333333</v>
      </c>
      <c r="O378" s="8" t="n">
        <v>-0.01</v>
      </c>
      <c r="P378" s="8" t="n">
        <v>109.613333333333</v>
      </c>
      <c r="Q378" s="8" t="n">
        <v>-3.28804187988943</v>
      </c>
    </row>
    <row r="379" ht="19" customHeight="1">
      <c r="A379" s="7" t="inlineStr">
        <is>
          <t>Philippines</t>
        </is>
      </c>
      <c r="B379" s="10" t="n">
        <v>2012</v>
      </c>
      <c r="C379" s="10" t="n">
        <v>4</v>
      </c>
      <c r="D379" s="6" t="inlineStr">
        <is>
          <t>2012 Q4</t>
        </is>
      </c>
      <c r="E379" s="8" t="n">
        <v>86.0119233333333</v>
      </c>
      <c r="F379" s="10" t="n">
        <v>2.82839304091742</v>
      </c>
      <c r="G379" s="10" t="n">
        <v>0.231635050494394</v>
      </c>
      <c r="H379" s="8" t="n">
        <v>7.52510056694628</v>
      </c>
      <c r="I379" s="8" t="n">
        <v>15.2188435038675</v>
      </c>
      <c r="J379" s="8" t="n">
        <v>110.029806602123</v>
      </c>
      <c r="K379" s="8" t="n">
        <v>7.18832500930264</v>
      </c>
      <c r="L379" s="8" t="n">
        <v>112.043606667623</v>
      </c>
      <c r="M379" s="8" t="n">
        <v>-0.116348255206267</v>
      </c>
      <c r="N379" s="8" t="n">
        <v>0.16</v>
      </c>
      <c r="O379" s="8" t="n">
        <v>0.0166666666666667</v>
      </c>
      <c r="P379" s="8" t="n">
        <v>110.086666666667</v>
      </c>
      <c r="Q379" s="8" t="n">
        <v>0.630732197812245</v>
      </c>
    </row>
    <row r="380" ht="19" customHeight="1">
      <c r="A380" s="7" t="inlineStr">
        <is>
          <t>Philippines</t>
        </is>
      </c>
      <c r="B380" s="10" t="n">
        <v>2013</v>
      </c>
      <c r="C380" s="10" t="n">
        <v>1</v>
      </c>
      <c r="D380" s="6" t="inlineStr">
        <is>
          <t>2013 Q1</t>
        </is>
      </c>
      <c r="E380" s="8" t="n">
        <v>86.4946566666667</v>
      </c>
      <c r="F380" s="10" t="n">
        <v>2.83592637887817</v>
      </c>
      <c r="G380" s="10" t="n">
        <v>0.5612400172270831</v>
      </c>
      <c r="H380" s="8" t="n">
        <v>7.12601662831203</v>
      </c>
      <c r="I380" s="8" t="n">
        <v>25.6103474807105</v>
      </c>
      <c r="J380" s="8" t="n">
        <v>113.957722079632</v>
      </c>
      <c r="K380" s="8" t="n">
        <v>9.81633865986602</v>
      </c>
      <c r="L380" s="8" t="n">
        <v>112.344264317549</v>
      </c>
      <c r="M380" s="8" t="n">
        <v>-0.510765137598079</v>
      </c>
      <c r="N380" s="8" t="n">
        <v>0.143333333333333</v>
      </c>
      <c r="O380" s="8" t="n">
        <v>-0.0166666666666667</v>
      </c>
      <c r="P380" s="8" t="n">
        <v>112.493333333333</v>
      </c>
      <c r="Q380" s="8" t="n">
        <v>-5.06090528033308</v>
      </c>
    </row>
    <row r="381" ht="19" customHeight="1">
      <c r="A381" s="7" t="inlineStr">
        <is>
          <t>Philippines</t>
        </is>
      </c>
      <c r="B381" s="10" t="n">
        <v>2013</v>
      </c>
      <c r="C381" s="10" t="n">
        <v>2</v>
      </c>
      <c r="D381" s="6" t="inlineStr">
        <is>
          <t>2013 Q2</t>
        </is>
      </c>
      <c r="E381" s="8" t="n">
        <v>86.89219666666671</v>
      </c>
      <c r="F381" s="10" t="n">
        <v>2.34113311898261</v>
      </c>
      <c r="G381" s="10" t="n">
        <v>0.459612206488114</v>
      </c>
      <c r="H381" s="8" t="n">
        <v>6.81618906807903</v>
      </c>
      <c r="I381" s="8" t="n">
        <v>31.2546087522171</v>
      </c>
      <c r="J381" s="8" t="n">
        <v>113.565751094366</v>
      </c>
      <c r="K381" s="8" t="n">
        <v>7.14887629723286</v>
      </c>
      <c r="L381" s="8" t="n">
        <v>111.205746192615</v>
      </c>
      <c r="M381" s="8" t="n">
        <v>2.32916140689856</v>
      </c>
      <c r="N381" s="8" t="n">
        <v>0.116666666666667</v>
      </c>
      <c r="O381" s="8" t="n">
        <v>-0.0266666666666667</v>
      </c>
      <c r="P381" s="8" t="n">
        <v>102.576666666667</v>
      </c>
      <c r="Q381" s="8" t="n">
        <v>-5.38662567255957</v>
      </c>
    </row>
    <row r="382" ht="19" customHeight="1">
      <c r="A382" s="7" t="inlineStr">
        <is>
          <t>Philippines</t>
        </is>
      </c>
      <c r="B382" s="10" t="n">
        <v>2013</v>
      </c>
      <c r="C382" s="10" t="n">
        <v>3</v>
      </c>
      <c r="D382" s="6" t="inlineStr">
        <is>
          <t>2013 Q3</t>
        </is>
      </c>
      <c r="E382" s="8" t="n">
        <v>87.65889666666671</v>
      </c>
      <c r="F382" s="10" t="n">
        <v>2.15089023846191</v>
      </c>
      <c r="G382" s="10" t="n">
        <v>0.882357713824633</v>
      </c>
      <c r="H382" s="8" t="n">
        <v>6.59561757646345</v>
      </c>
      <c r="I382" s="8" t="n">
        <v>32.1516329624815</v>
      </c>
      <c r="J382" s="8" t="n">
        <v>109.356093276046</v>
      </c>
      <c r="K382" s="8" t="n">
        <v>0.39146126464038</v>
      </c>
      <c r="L382" s="8" t="n">
        <v>106.517639660823</v>
      </c>
      <c r="M382" s="8" t="n">
        <v>-4.91313637859304</v>
      </c>
      <c r="N382" s="8" t="n">
        <v>0.0833333333333333</v>
      </c>
      <c r="O382" s="8" t="n">
        <v>-0.0333333333333333</v>
      </c>
      <c r="P382" s="8" t="n">
        <v>110.27</v>
      </c>
      <c r="Q382" s="8" t="n">
        <v>0.599075538255689</v>
      </c>
    </row>
    <row r="383" ht="19" customHeight="1">
      <c r="A383" s="7" t="inlineStr">
        <is>
          <t>Philippines</t>
        </is>
      </c>
      <c r="B383" s="10" t="n">
        <v>2013</v>
      </c>
      <c r="C383" s="10" t="n">
        <v>4</v>
      </c>
      <c r="D383" s="6" t="inlineStr">
        <is>
          <t>2013 Q4</t>
        </is>
      </c>
      <c r="E383" s="8" t="n">
        <v>88.59596999999999</v>
      </c>
      <c r="F383" s="10" t="n">
        <v>3.00428890149609</v>
      </c>
      <c r="G383" s="10" t="n">
        <v>1.06899968966832</v>
      </c>
      <c r="H383" s="8" t="n">
        <v>6.46430193288341</v>
      </c>
      <c r="I383" s="8" t="n">
        <v>28.3014210086835</v>
      </c>
      <c r="J383" s="8" t="n">
        <v>109.702483584236</v>
      </c>
      <c r="K383" s="8" t="n">
        <v>-0.29748577044233</v>
      </c>
      <c r="L383" s="8" t="n">
        <v>108.042368791302</v>
      </c>
      <c r="M383" s="8" t="n">
        <v>-3.57114341043118</v>
      </c>
      <c r="N383" s="8" t="n">
        <v>0.0866666666666667</v>
      </c>
      <c r="O383" s="8" t="n">
        <v>0.0033333333333333</v>
      </c>
      <c r="P383" s="8" t="n">
        <v>109.21</v>
      </c>
      <c r="Q383" s="8" t="n">
        <v>-0.796342275782702</v>
      </c>
    </row>
    <row r="384" ht="19" customHeight="1">
      <c r="A384" s="7" t="inlineStr">
        <is>
          <t>Philippines</t>
        </is>
      </c>
      <c r="B384" s="10" t="n">
        <v>2014</v>
      </c>
      <c r="C384" s="10" t="n">
        <v>1</v>
      </c>
      <c r="D384" s="6" t="inlineStr">
        <is>
          <t>2014 Q1</t>
        </is>
      </c>
      <c r="E384" s="8" t="n">
        <v>89.64662666666671</v>
      </c>
      <c r="F384" s="10" t="n">
        <v>3.64412106073448</v>
      </c>
      <c r="G384" s="10" t="n">
        <v>1.18589667980007</v>
      </c>
      <c r="H384" s="8" t="n">
        <v>6.42224200607535</v>
      </c>
      <c r="I384" s="8" t="n">
        <v>19.7039690406712</v>
      </c>
      <c r="J384" s="8" t="n">
        <v>108.294595686665</v>
      </c>
      <c r="K384" s="8" t="n">
        <v>-4.96949771337975</v>
      </c>
      <c r="L384" s="8" t="n">
        <v>109.985285302654</v>
      </c>
      <c r="M384" s="8" t="n">
        <v>-2.09977699282194</v>
      </c>
      <c r="N384" s="8" t="n">
        <v>0.07333333333333331</v>
      </c>
      <c r="O384" s="8" t="n">
        <v>-0.0133333333333333</v>
      </c>
      <c r="P384" s="8" t="n">
        <v>108.166666666667</v>
      </c>
      <c r="Q384" s="8" t="n">
        <v>-3.84615384615383</v>
      </c>
    </row>
    <row r="385" ht="19" customHeight="1">
      <c r="A385" s="7" t="inlineStr">
        <is>
          <t>Philippines</t>
        </is>
      </c>
      <c r="B385" s="10" t="n">
        <v>2014</v>
      </c>
      <c r="C385" s="10" t="n">
        <v>2</v>
      </c>
      <c r="D385" s="6" t="inlineStr">
        <is>
          <t>2014 Q2</t>
        </is>
      </c>
      <c r="E385" s="8" t="n">
        <v>90.21454666666671</v>
      </c>
      <c r="F385" s="10" t="n">
        <v>3.82353091238457</v>
      </c>
      <c r="G385" s="10" t="n">
        <v>0.633509615606287</v>
      </c>
      <c r="H385" s="8" t="n">
        <v>6.37571624965709</v>
      </c>
      <c r="I385" s="8" t="n">
        <v>13.3584037785519</v>
      </c>
      <c r="J385" s="8" t="n">
        <v>109.279011152696</v>
      </c>
      <c r="K385" s="8" t="n">
        <v>-3.77467669641733</v>
      </c>
      <c r="L385" s="8" t="n">
        <v>111.498689744988</v>
      </c>
      <c r="M385" s="8" t="n">
        <v>0.26342483406061</v>
      </c>
      <c r="N385" s="8" t="n">
        <v>0.0933333333333333</v>
      </c>
      <c r="O385" s="8" t="n">
        <v>0.02</v>
      </c>
      <c r="P385" s="8" t="n">
        <v>109.7</v>
      </c>
      <c r="Q385" s="8" t="n">
        <v>6.94439931108439</v>
      </c>
    </row>
    <row r="386" ht="19" customHeight="1">
      <c r="A386" s="7" t="inlineStr">
        <is>
          <t>Philippines</t>
        </is>
      </c>
      <c r="B386" s="10" t="n">
        <v>2014</v>
      </c>
      <c r="C386" s="10" t="n">
        <v>3</v>
      </c>
      <c r="D386" s="6" t="inlineStr">
        <is>
          <t>2014 Q3</t>
        </is>
      </c>
      <c r="E386" s="8" t="n">
        <v>91.23681000000001</v>
      </c>
      <c r="F386" s="10" t="n">
        <v>4.08163172180775</v>
      </c>
      <c r="G386" s="10" t="n">
        <v>1.13314689382689</v>
      </c>
      <c r="H386" s="8" t="n">
        <v>6.32472461717987</v>
      </c>
      <c r="I386" s="8" t="n">
        <v>9.26471887694813</v>
      </c>
      <c r="J386" s="8" t="n">
        <v>112.106860096163</v>
      </c>
      <c r="K386" s="8" t="n">
        <v>2.51542162646006</v>
      </c>
      <c r="L386" s="8" t="n">
        <v>104.211407968198</v>
      </c>
      <c r="M386" s="8" t="n">
        <v>-2.16511715802957</v>
      </c>
      <c r="N386" s="8" t="n">
        <v>0.09</v>
      </c>
      <c r="O386" s="8" t="n">
        <v>-0.0033333333333333</v>
      </c>
      <c r="P386" s="8" t="n">
        <v>101.823333333333</v>
      </c>
      <c r="Q386" s="8" t="n">
        <v>-7.65998609473715</v>
      </c>
    </row>
    <row r="387" ht="19" customHeight="1">
      <c r="A387" s="7" t="inlineStr">
        <is>
          <t>Philippines</t>
        </is>
      </c>
      <c r="B387" s="10" t="n">
        <v>2014</v>
      </c>
      <c r="C387" s="10" t="n">
        <v>4</v>
      </c>
      <c r="D387" s="6" t="inlineStr">
        <is>
          <t>2014 Q4</t>
        </is>
      </c>
      <c r="E387" s="8" t="n">
        <v>91.1232266666667</v>
      </c>
      <c r="F387" s="10" t="n">
        <v>2.85256391082651</v>
      </c>
      <c r="G387" s="10" t="n">
        <v>-0.124492881034899</v>
      </c>
      <c r="H387" s="8" t="n">
        <v>6.26926705754471</v>
      </c>
      <c r="I387" s="8" t="n">
        <v>7.42291024209838</v>
      </c>
      <c r="J387" s="8" t="n">
        <v>114.175758055069</v>
      </c>
      <c r="K387" s="8" t="n">
        <v>4.07764193177831</v>
      </c>
      <c r="L387" s="8" t="n">
        <v>99.4046630544031</v>
      </c>
      <c r="M387" s="8" t="n">
        <v>-7.9947393171137</v>
      </c>
      <c r="N387" s="8" t="n">
        <v>0.1</v>
      </c>
      <c r="O387" s="8" t="n">
        <v>0.01</v>
      </c>
      <c r="P387" s="8" t="n">
        <v>76.40333333333329</v>
      </c>
      <c r="Q387" s="8" t="n">
        <v>-30.0399841284376</v>
      </c>
    </row>
    <row r="388" ht="19" customHeight="1">
      <c r="A388" s="7" t="inlineStr">
        <is>
          <t>Philippines</t>
        </is>
      </c>
      <c r="B388" s="10" t="n">
        <v>2015</v>
      </c>
      <c r="C388" s="10" t="n">
        <v>1</v>
      </c>
      <c r="D388" s="6" t="inlineStr">
        <is>
          <t>2015 Q1</t>
        </is>
      </c>
      <c r="E388" s="8" t="n">
        <v>91.00963666666669</v>
      </c>
      <c r="F388" s="10" t="n">
        <v>1.52042530843697</v>
      </c>
      <c r="G388" s="10" t="n">
        <v>-0.124655375095006</v>
      </c>
      <c r="H388" s="8" t="n">
        <v>6.20934351545893</v>
      </c>
      <c r="I388" s="8" t="n">
        <v>7.83297603206431</v>
      </c>
      <c r="J388" s="8" t="n">
        <v>119.573277887733</v>
      </c>
      <c r="K388" s="8" t="n">
        <v>10.4148153742602</v>
      </c>
      <c r="L388" s="8" t="n">
        <v>100.657732001964</v>
      </c>
      <c r="M388" s="8" t="n">
        <v>-8.4807283765489</v>
      </c>
      <c r="N388" s="8" t="n">
        <v>0.11</v>
      </c>
      <c r="O388" s="8" t="n">
        <v>0.01</v>
      </c>
      <c r="P388" s="8" t="n">
        <v>53.9166666666667</v>
      </c>
      <c r="Q388" s="8" t="n">
        <v>-50.1540832049307</v>
      </c>
    </row>
    <row r="389" ht="19" customHeight="1">
      <c r="A389" s="7" t="inlineStr">
        <is>
          <t>Philippines</t>
        </is>
      </c>
      <c r="B389" s="10" t="n">
        <v>2015</v>
      </c>
      <c r="C389" s="10" t="n">
        <v>2</v>
      </c>
      <c r="D389" s="6" t="inlineStr">
        <is>
          <t>2015 Q2</t>
        </is>
      </c>
      <c r="E389" s="8" t="n">
        <v>91.09482666666671</v>
      </c>
      <c r="F389" s="10" t="n">
        <v>0.97576281489562</v>
      </c>
      <c r="G389" s="10" t="n">
        <v>0.0936054720359181</v>
      </c>
      <c r="H389" s="8" t="n">
        <v>6.24096055411843</v>
      </c>
      <c r="I389" s="8" t="n">
        <v>8.542141393010031</v>
      </c>
      <c r="J389" s="8" t="n">
        <v>119.164682158279</v>
      </c>
      <c r="K389" s="8" t="n">
        <v>9.04626689179155</v>
      </c>
      <c r="L389" s="8" t="n">
        <v>96.8474817130345</v>
      </c>
      <c r="M389" s="8" t="n">
        <v>-13.1402513029193</v>
      </c>
      <c r="N389" s="8" t="n">
        <v>0.123333333333333</v>
      </c>
      <c r="O389" s="8" t="n">
        <v>0.0133333333333333</v>
      </c>
      <c r="P389" s="8" t="n">
        <v>61.6933333333333</v>
      </c>
      <c r="Q389" s="8" t="n">
        <v>-43.761774536615</v>
      </c>
    </row>
    <row r="390" ht="19" customHeight="1">
      <c r="A390" s="7" t="inlineStr">
        <is>
          <t>Philippines</t>
        </is>
      </c>
      <c r="B390" s="10" t="n">
        <v>2015</v>
      </c>
      <c r="C390" s="10" t="n">
        <v>3</v>
      </c>
      <c r="D390" s="6" t="inlineStr">
        <is>
          <t>2015 Q3</t>
        </is>
      </c>
      <c r="E390" s="8" t="n">
        <v>91.1800166666667</v>
      </c>
      <c r="F390" s="10" t="n">
        <v>-0.0622482672655189</v>
      </c>
      <c r="G390" s="10" t="n">
        <v>0.0935179341322367</v>
      </c>
      <c r="H390" s="8" t="n">
        <v>6.3641182053292</v>
      </c>
      <c r="I390" s="8" t="n">
        <v>9.55040703390908</v>
      </c>
      <c r="J390" s="8" t="n">
        <v>117.361133466409</v>
      </c>
      <c r="K390" s="8" t="n">
        <v>4.68684375402044</v>
      </c>
      <c r="L390" s="8" t="n">
        <v>92.7459060049042</v>
      </c>
      <c r="M390" s="8" t="n">
        <v>-11.002156277164</v>
      </c>
      <c r="N390" s="8" t="n">
        <v>0.136666666666667</v>
      </c>
      <c r="O390" s="8" t="n">
        <v>0.0133333333333333</v>
      </c>
      <c r="P390" s="8" t="n">
        <v>50.2333333333333</v>
      </c>
      <c r="Q390" s="8" t="n">
        <v>-50.666186532229</v>
      </c>
    </row>
    <row r="391" ht="19" customHeight="1">
      <c r="A391" s="7" t="inlineStr">
        <is>
          <t>Philippines</t>
        </is>
      </c>
      <c r="B391" s="10" t="n">
        <v>2015</v>
      </c>
      <c r="C391" s="10" t="n">
        <v>4</v>
      </c>
      <c r="D391" s="6" t="inlineStr">
        <is>
          <t>2015 Q4</t>
        </is>
      </c>
      <c r="E391" s="8" t="n">
        <v>91.37879</v>
      </c>
      <c r="F391" s="10" t="n">
        <v>0.280459047250581</v>
      </c>
      <c r="G391" s="10" t="n">
        <v>0.218000983768185</v>
      </c>
      <c r="H391" s="8" t="n">
        <v>6.57881659213823</v>
      </c>
      <c r="I391" s="8" t="n">
        <v>10.8577739629605</v>
      </c>
      <c r="J391" s="8" t="n">
        <v>116.499446602539</v>
      </c>
      <c r="K391" s="8" t="n">
        <v>2.03518556570439</v>
      </c>
      <c r="L391" s="8" t="n">
        <v>90.3005619231251</v>
      </c>
      <c r="M391" s="8" t="n">
        <v>-9.15862581446042</v>
      </c>
      <c r="N391" s="8" t="n">
        <v>0.16</v>
      </c>
      <c r="O391" s="8" t="n">
        <v>0.0233333333333333</v>
      </c>
      <c r="P391" s="8" t="n">
        <v>43.57</v>
      </c>
      <c r="Q391" s="8" t="n">
        <v>-42.9736922472842</v>
      </c>
    </row>
    <row r="392" ht="19" customHeight="1">
      <c r="A392" s="7" t="inlineStr">
        <is>
          <t>Philippines</t>
        </is>
      </c>
      <c r="B392" s="10" t="n">
        <v>2016</v>
      </c>
      <c r="C392" s="10" t="n">
        <v>1</v>
      </c>
      <c r="D392" s="6" t="inlineStr">
        <is>
          <t>2016 Q1</t>
        </is>
      </c>
      <c r="E392" s="8" t="n">
        <v>91.54917</v>
      </c>
      <c r="F392" s="10" t="n">
        <v>0.5928309936116259</v>
      </c>
      <c r="G392" s="10" t="n">
        <v>0.186454646641754</v>
      </c>
      <c r="H392" s="8" t="n">
        <v>6.88505592927916</v>
      </c>
      <c r="I392" s="8" t="n">
        <v>12.4642434874549</v>
      </c>
      <c r="J392" s="8" t="n">
        <v>115.148543653966</v>
      </c>
      <c r="K392" s="8" t="n">
        <v>-3.70043734848597</v>
      </c>
      <c r="L392" s="8" t="n">
        <v>91.66230580090431</v>
      </c>
      <c r="M392" s="8" t="n">
        <v>-8.936647013747329</v>
      </c>
      <c r="N392" s="8" t="n">
        <v>0.36</v>
      </c>
      <c r="O392" s="8" t="n">
        <v>0.2</v>
      </c>
      <c r="P392" s="8" t="n">
        <v>33.6966666666667</v>
      </c>
      <c r="Q392" s="8" t="n">
        <v>-37.5023183925811</v>
      </c>
    </row>
    <row r="393" ht="19" customHeight="1">
      <c r="A393" s="7" t="inlineStr">
        <is>
          <t>Philippines</t>
        </is>
      </c>
      <c r="B393" s="10" t="n">
        <v>2016</v>
      </c>
      <c r="C393" s="10" t="n">
        <v>2</v>
      </c>
      <c r="D393" s="6" t="inlineStr">
        <is>
          <t>2016 Q2</t>
        </is>
      </c>
      <c r="E393" s="8" t="n">
        <v>91.97511</v>
      </c>
      <c r="F393" s="10" t="n">
        <v>0.96633734927063</v>
      </c>
      <c r="G393" s="10" t="n">
        <v>0.465258177654704</v>
      </c>
      <c r="H393" s="8" t="n">
        <v>7.11331188609775</v>
      </c>
      <c r="I393" s="8" t="n">
        <v>13.4516426840826</v>
      </c>
      <c r="J393" s="8" t="n">
        <v>114.254709314013</v>
      </c>
      <c r="K393" s="8" t="n">
        <v>-4.12032554892806</v>
      </c>
      <c r="L393" s="8" t="n">
        <v>96.9846126235507</v>
      </c>
      <c r="M393" s="8" t="n">
        <v>0.141594709630688</v>
      </c>
      <c r="N393" s="8" t="n">
        <v>0.373333333333333</v>
      </c>
      <c r="O393" s="8" t="n">
        <v>0.0133333333333334</v>
      </c>
      <c r="P393" s="8" t="n">
        <v>45.5233333333333</v>
      </c>
      <c r="Q393" s="8" t="n">
        <v>-26.2102874432678</v>
      </c>
    </row>
    <row r="394" ht="19" customHeight="1">
      <c r="A394" s="7" t="inlineStr">
        <is>
          <t>Philippines</t>
        </is>
      </c>
      <c r="B394" s="10" t="n">
        <v>2016</v>
      </c>
      <c r="C394" s="10" t="n">
        <v>3</v>
      </c>
      <c r="D394" s="6" t="inlineStr">
        <is>
          <t>2016 Q3</t>
        </is>
      </c>
      <c r="E394" s="8" t="n">
        <v>92.48624</v>
      </c>
      <c r="F394" s="10" t="n">
        <v>1.43257632657448</v>
      </c>
      <c r="G394" s="10" t="n">
        <v>0.55572643511923</v>
      </c>
      <c r="H394" s="8" t="n">
        <v>7.26358469088395</v>
      </c>
      <c r="I394" s="8" t="n">
        <v>13.8199725400212</v>
      </c>
      <c r="J394" s="8" t="n">
        <v>112.248385286022</v>
      </c>
      <c r="K394" s="8" t="n">
        <v>-4.35642365523889</v>
      </c>
      <c r="L394" s="8" t="n">
        <v>100.864699533998</v>
      </c>
      <c r="M394" s="8" t="n">
        <v>8.75380259767431</v>
      </c>
      <c r="N394" s="8" t="n">
        <v>0.396666666666667</v>
      </c>
      <c r="O394" s="8" t="n">
        <v>0.0233333333333333</v>
      </c>
      <c r="P394" s="8" t="n">
        <v>45.7866666666667</v>
      </c>
      <c r="Q394" s="8" t="n">
        <v>-8.852023888520231</v>
      </c>
    </row>
    <row r="395" ht="19" customHeight="1">
      <c r="A395" s="7" t="inlineStr">
        <is>
          <t>Philippines</t>
        </is>
      </c>
      <c r="B395" s="10" t="n">
        <v>2016</v>
      </c>
      <c r="C395" s="10" t="n">
        <v>4</v>
      </c>
      <c r="D395" s="6" t="inlineStr">
        <is>
          <t>2016 Q4</t>
        </is>
      </c>
      <c r="E395" s="8" t="n">
        <v>93.22454</v>
      </c>
      <c r="F395" s="10" t="n">
        <v>2.01988886042375</v>
      </c>
      <c r="G395" s="10" t="n">
        <v>0.798280911841598</v>
      </c>
      <c r="H395" s="8" t="n">
        <v>7.33587449381779</v>
      </c>
      <c r="I395" s="8" t="n">
        <v>13.569233423506</v>
      </c>
      <c r="J395" s="8" t="n">
        <v>110.8957458723</v>
      </c>
      <c r="K395" s="8" t="n">
        <v>-4.81006639401248</v>
      </c>
      <c r="L395" s="8" t="n">
        <v>101.835604997953</v>
      </c>
      <c r="M395" s="8" t="n">
        <v>12.7740545896579</v>
      </c>
      <c r="N395" s="8" t="n">
        <v>0.45</v>
      </c>
      <c r="O395" s="8" t="n">
        <v>0.0533333333333333</v>
      </c>
      <c r="P395" s="8" t="n">
        <v>49.1866666666667</v>
      </c>
      <c r="Q395" s="8" t="n">
        <v>12.8911330426134</v>
      </c>
    </row>
    <row r="396" ht="19" customHeight="1">
      <c r="A396" s="7" t="inlineStr">
        <is>
          <t>Philippines</t>
        </is>
      </c>
      <c r="B396" s="10" t="n">
        <v>2017</v>
      </c>
      <c r="C396" s="10" t="n">
        <v>1</v>
      </c>
      <c r="D396" s="6" t="inlineStr">
        <is>
          <t>2017 Q1</t>
        </is>
      </c>
      <c r="E396" s="8" t="n">
        <v>94.1900066666667</v>
      </c>
      <c r="F396" s="10" t="n">
        <v>2.88461016813879</v>
      </c>
      <c r="G396" s="10" t="n">
        <v>1.03563575284646</v>
      </c>
      <c r="H396" s="8" t="n">
        <v>7.3301813672683</v>
      </c>
      <c r="I396" s="8" t="n">
        <v>12.6994250839868</v>
      </c>
      <c r="J396" s="8" t="n">
        <v>110.444236000095</v>
      </c>
      <c r="K396" s="8" t="n">
        <v>-4.0854252295267</v>
      </c>
      <c r="L396" s="8" t="n">
        <v>100.125779631695</v>
      </c>
      <c r="M396" s="8" t="n">
        <v>9.23331980015236</v>
      </c>
      <c r="N396" s="8" t="n">
        <v>0.7</v>
      </c>
      <c r="O396" s="8" t="n">
        <v>0.25</v>
      </c>
      <c r="P396" s="8" t="n">
        <v>53.68</v>
      </c>
      <c r="Q396" s="8" t="n">
        <v>59.30359085963</v>
      </c>
    </row>
    <row r="397" ht="19" customHeight="1">
      <c r="A397" s="7" t="inlineStr">
        <is>
          <t>Philippines</t>
        </is>
      </c>
      <c r="B397" s="10" t="n">
        <v>2017</v>
      </c>
      <c r="C397" s="10" t="n">
        <v>2</v>
      </c>
      <c r="D397" s="6" t="inlineStr">
        <is>
          <t>2017 Q2</t>
        </is>
      </c>
      <c r="E397" s="8" t="n">
        <v>94.5875566666667</v>
      </c>
      <c r="F397" s="10" t="n">
        <v>2.84038438950132</v>
      </c>
      <c r="G397" s="10" t="n">
        <v>0.422072376963434</v>
      </c>
      <c r="H397" s="8" t="n">
        <v>7.16822699664909</v>
      </c>
      <c r="I397" s="8" t="n">
        <v>11.8409821218418</v>
      </c>
      <c r="J397" s="8" t="n">
        <v>109.325690894706</v>
      </c>
      <c r="K397" s="8" t="n">
        <v>-4.31406149374564</v>
      </c>
      <c r="L397" s="8" t="n">
        <v>99.4605526807123</v>
      </c>
      <c r="M397" s="8" t="n">
        <v>2.55292049963849</v>
      </c>
      <c r="N397" s="8" t="n">
        <v>0.95</v>
      </c>
      <c r="O397" s="8" t="n">
        <v>0.25</v>
      </c>
      <c r="P397" s="8" t="n">
        <v>49.67</v>
      </c>
      <c r="Q397" s="8" t="n">
        <v>9.10888189207</v>
      </c>
    </row>
    <row r="398" ht="19" customHeight="1">
      <c r="A398" s="7" t="inlineStr">
        <is>
          <t>Philippines</t>
        </is>
      </c>
      <c r="B398" s="10" t="n">
        <v>2017</v>
      </c>
      <c r="C398" s="10" t="n">
        <v>3</v>
      </c>
      <c r="D398" s="6" t="inlineStr">
        <is>
          <t>2017 Q3</t>
        </is>
      </c>
      <c r="E398" s="8" t="n">
        <v>94.95670333333329</v>
      </c>
      <c r="F398" s="10" t="n">
        <v>2.67116852553779</v>
      </c>
      <c r="G398" s="10" t="n">
        <v>0.390269798349441</v>
      </c>
      <c r="H398" s="8" t="n">
        <v>6.85001122008377</v>
      </c>
      <c r="I398" s="8" t="n">
        <v>10.9939036785922</v>
      </c>
      <c r="J398" s="8" t="n">
        <v>105.439358264816</v>
      </c>
      <c r="K398" s="8" t="n">
        <v>-6.06603560831246</v>
      </c>
      <c r="L398" s="8" t="n">
        <v>102.480667511988</v>
      </c>
      <c r="M398" s="8" t="n">
        <v>1.60211450136303</v>
      </c>
      <c r="N398" s="8" t="n">
        <v>1.15333333333333</v>
      </c>
      <c r="O398" s="8" t="n">
        <v>0.203333333333333</v>
      </c>
      <c r="P398" s="8" t="n">
        <v>52.11</v>
      </c>
      <c r="Q398" s="8" t="n">
        <v>13.8104251601631</v>
      </c>
    </row>
    <row r="399" ht="19" customHeight="1">
      <c r="A399" s="7" t="inlineStr">
        <is>
          <t>Philippines</t>
        </is>
      </c>
      <c r="B399" s="10" t="n">
        <v>2017</v>
      </c>
      <c r="C399" s="10" t="n">
        <v>4</v>
      </c>
      <c r="D399" s="6" t="inlineStr">
        <is>
          <t>2017 Q4</t>
        </is>
      </c>
      <c r="E399" s="8" t="n">
        <v>96.03576</v>
      </c>
      <c r="F399" s="10" t="n">
        <v>3.01553646711477</v>
      </c>
      <c r="G399" s="10" t="n">
        <v>1.13636702706366</v>
      </c>
      <c r="H399" s="8" t="n">
        <v>6.37553371929144</v>
      </c>
      <c r="I399" s="8" t="n">
        <v>10.158188907206</v>
      </c>
      <c r="J399" s="8" t="n">
        <v>105.991399388192</v>
      </c>
      <c r="K399" s="8" t="n">
        <v>-4.42248387936899</v>
      </c>
      <c r="L399" s="8" t="n">
        <v>100.792675769869</v>
      </c>
      <c r="M399" s="8" t="n">
        <v>-1.0241302421728</v>
      </c>
      <c r="N399" s="8" t="n">
        <v>1.20333333333333</v>
      </c>
      <c r="O399" s="8" t="n">
        <v>0.05</v>
      </c>
      <c r="P399" s="8" t="n">
        <v>61.53</v>
      </c>
      <c r="Q399" s="8" t="n">
        <v>25.0948766603416</v>
      </c>
    </row>
    <row r="400" ht="19" customHeight="1">
      <c r="A400" s="7" t="inlineStr">
        <is>
          <t>Philippines</t>
        </is>
      </c>
      <c r="B400" s="10" t="n">
        <v>2018</v>
      </c>
      <c r="C400" s="10" t="n">
        <v>1</v>
      </c>
      <c r="D400" s="6" t="inlineStr">
        <is>
          <t>2018 Q1</t>
        </is>
      </c>
      <c r="E400" s="8" t="n">
        <v>97.8333333333333</v>
      </c>
      <c r="F400" s="10" t="n">
        <v>3.86806073765364</v>
      </c>
      <c r="G400" s="10" t="n">
        <v>1.87177498603994</v>
      </c>
      <c r="H400" s="8" t="n">
        <v>5.7447940197741</v>
      </c>
      <c r="I400" s="8" t="n">
        <v>9.33383697201984</v>
      </c>
      <c r="J400" s="8" t="n">
        <v>103.316353700286</v>
      </c>
      <c r="K400" s="8" t="n">
        <v>-6.45382915211801</v>
      </c>
      <c r="L400" s="8" t="n">
        <v>96.02404012089779</v>
      </c>
      <c r="M400" s="8" t="n">
        <v>-4.09658683895945</v>
      </c>
      <c r="N400" s="8" t="n">
        <v>1.44666666666667</v>
      </c>
      <c r="O400" s="8" t="n">
        <v>0.243333333333333</v>
      </c>
      <c r="P400" s="8" t="n">
        <v>66.8066666666667</v>
      </c>
      <c r="Q400" s="8" t="n">
        <v>24.4535519125683</v>
      </c>
    </row>
    <row r="401" ht="19" customHeight="1">
      <c r="A401" s="7" t="inlineStr">
        <is>
          <t>Philippines</t>
        </is>
      </c>
      <c r="B401" s="10" t="n">
        <v>2018</v>
      </c>
      <c r="C401" s="10" t="n">
        <v>2</v>
      </c>
      <c r="D401" s="6" t="inlineStr">
        <is>
          <t>2018 Q2</t>
        </is>
      </c>
      <c r="E401" s="8" t="n">
        <v>99.06666666666671</v>
      </c>
      <c r="F401" s="10" t="n">
        <v>4.73541146197982</v>
      </c>
      <c r="G401" s="10" t="n">
        <v>1.26064735945484</v>
      </c>
      <c r="H401" s="8" t="n">
        <v>5.73117470576752</v>
      </c>
      <c r="I401" s="8" t="n">
        <v>8.87021990274885</v>
      </c>
      <c r="J401" s="8" t="n">
        <v>103.917826323001</v>
      </c>
      <c r="K401" s="8" t="n">
        <v>-4.94656336259854</v>
      </c>
      <c r="L401" s="8" t="n">
        <v>96.1737638878632</v>
      </c>
      <c r="M401" s="8" t="n">
        <v>-3.30461545231933</v>
      </c>
      <c r="N401" s="8" t="n">
        <v>1.73666666666667</v>
      </c>
      <c r="O401" s="8" t="n">
        <v>0.29</v>
      </c>
      <c r="P401" s="8" t="n">
        <v>74.5</v>
      </c>
      <c r="Q401" s="8" t="n">
        <v>49.9899335615059</v>
      </c>
    </row>
    <row r="402" ht="19" customHeight="1">
      <c r="A402" s="7" t="inlineStr">
        <is>
          <t>Philippines</t>
        </is>
      </c>
      <c r="B402" s="10" t="n">
        <v>2018</v>
      </c>
      <c r="C402" s="10" t="n">
        <v>3</v>
      </c>
      <c r="D402" s="6" t="inlineStr">
        <is>
          <t>2018 Q3</t>
        </is>
      </c>
      <c r="E402" s="8" t="n">
        <v>101.133333333333</v>
      </c>
      <c r="F402" s="10" t="n">
        <v>6.50468032606157</v>
      </c>
      <c r="G402" s="10" t="n">
        <v>2.08613728129206</v>
      </c>
      <c r="H402" s="8" t="n">
        <v>6.33467576366091</v>
      </c>
      <c r="I402" s="8" t="n">
        <v>8.76733723592757</v>
      </c>
      <c r="J402" s="8" t="n">
        <v>105.656397829092</v>
      </c>
      <c r="K402" s="8" t="n">
        <v>0.205843024700059</v>
      </c>
      <c r="L402" s="8" t="n">
        <v>93.2694805076009</v>
      </c>
      <c r="M402" s="8" t="n">
        <v>-8.98821917149397</v>
      </c>
      <c r="N402" s="8" t="n">
        <v>1.92333333333333</v>
      </c>
      <c r="O402" s="8" t="n">
        <v>0.186666666666667</v>
      </c>
      <c r="P402" s="8" t="n">
        <v>75.2233333333333</v>
      </c>
      <c r="Q402" s="8" t="n">
        <v>44.3548902961683</v>
      </c>
    </row>
    <row r="403" ht="19" customHeight="1">
      <c r="A403" s="7" t="inlineStr">
        <is>
          <t>Philippines</t>
        </is>
      </c>
      <c r="B403" s="10" t="n">
        <v>2018</v>
      </c>
      <c r="C403" s="10" t="n">
        <v>4</v>
      </c>
      <c r="D403" s="6" t="inlineStr">
        <is>
          <t>2018 Q4</t>
        </is>
      </c>
      <c r="E403" s="8" t="n">
        <v>101.9</v>
      </c>
      <c r="F403" s="10" t="n">
        <v>6.10630873333018</v>
      </c>
      <c r="G403" s="10" t="n">
        <v>0.758075148319071</v>
      </c>
      <c r="H403" s="8" t="n">
        <v>7.55529779688665</v>
      </c>
      <c r="I403" s="8" t="n">
        <v>9.02518886846827</v>
      </c>
      <c r="J403" s="8" t="n">
        <v>107.798512242035</v>
      </c>
      <c r="K403" s="8" t="n">
        <v>1.70496178395103</v>
      </c>
      <c r="L403" s="8" t="n">
        <v>90.7369363173618</v>
      </c>
      <c r="M403" s="8" t="n">
        <v>-9.976656910534739</v>
      </c>
      <c r="N403" s="8" t="n">
        <v>2.22</v>
      </c>
      <c r="O403" s="8" t="n">
        <v>0.296666666666667</v>
      </c>
      <c r="P403" s="8" t="n">
        <v>67.7133333333333</v>
      </c>
      <c r="Q403" s="8" t="n">
        <v>10.0492984452029</v>
      </c>
    </row>
    <row r="404" ht="19" customHeight="1">
      <c r="A404" s="7" t="inlineStr">
        <is>
          <t>Philippines</t>
        </is>
      </c>
      <c r="B404" s="10" t="n">
        <v>2019</v>
      </c>
      <c r="C404" s="10" t="n">
        <v>1</v>
      </c>
      <c r="D404" s="6" t="inlineStr">
        <is>
          <t>2019 Q1</t>
        </is>
      </c>
      <c r="E404" s="8" t="n">
        <v>101.6</v>
      </c>
      <c r="F404" s="10" t="n">
        <v>3.85008517887562</v>
      </c>
      <c r="G404" s="10" t="n">
        <v>-0.294406280667336</v>
      </c>
      <c r="H404" s="8" t="n">
        <v>9.393042026169461</v>
      </c>
      <c r="I404" s="8" t="n">
        <v>9.643775058428499</v>
      </c>
      <c r="J404" s="8" t="n">
        <v>107.85960833404</v>
      </c>
      <c r="K404" s="8" t="n">
        <v>4.39742061255175</v>
      </c>
      <c r="L404" s="8" t="n">
        <v>93.8324987094736</v>
      </c>
      <c r="M404" s="8" t="n">
        <v>-2.2822841120463</v>
      </c>
      <c r="N404" s="8" t="n">
        <v>2.40333333333333</v>
      </c>
      <c r="O404" s="8" t="n">
        <v>0.183333333333333</v>
      </c>
      <c r="P404" s="8" t="n">
        <v>63.17</v>
      </c>
      <c r="Q404" s="8" t="n">
        <v>-5.4435685061371</v>
      </c>
    </row>
    <row r="405" ht="19" customHeight="1">
      <c r="A405" s="7" t="inlineStr">
        <is>
          <t>Philippines</t>
        </is>
      </c>
      <c r="B405" s="10" t="n">
        <v>2019</v>
      </c>
      <c r="C405" s="10" t="n">
        <v>2</v>
      </c>
      <c r="D405" s="6" t="inlineStr">
        <is>
          <t>2019 Q2</t>
        </is>
      </c>
      <c r="E405" s="8" t="n">
        <v>102.1</v>
      </c>
      <c r="F405" s="10" t="n">
        <v>3.06191117092867</v>
      </c>
      <c r="G405" s="10" t="n">
        <v>0.492125984251968</v>
      </c>
      <c r="H405" s="8" t="n">
        <v>8.81833370089133</v>
      </c>
      <c r="I405" s="8" t="n">
        <v>9.97126803198849</v>
      </c>
      <c r="J405" s="8" t="n">
        <v>109.349839833697</v>
      </c>
      <c r="K405" s="8" t="n">
        <v>5.22722010544454</v>
      </c>
      <c r="L405" s="8" t="n">
        <v>94.8842784155444</v>
      </c>
      <c r="M405" s="8" t="n">
        <v>-1.34078715461562</v>
      </c>
      <c r="N405" s="8" t="n">
        <v>2.39666666666667</v>
      </c>
      <c r="O405" s="8" t="n">
        <v>-0.0066666666666668</v>
      </c>
      <c r="P405" s="8" t="n">
        <v>68.9233333333333</v>
      </c>
      <c r="Q405" s="8" t="n">
        <v>-7.48545861297539</v>
      </c>
    </row>
    <row r="406" ht="19" customHeight="1">
      <c r="A406" s="7" t="inlineStr">
        <is>
          <t>Philippines</t>
        </is>
      </c>
      <c r="B406" s="10" t="n">
        <v>2019</v>
      </c>
      <c r="C406" s="10" t="n">
        <v>3</v>
      </c>
      <c r="D406" s="6" t="inlineStr">
        <is>
          <t>2019 Q3</t>
        </is>
      </c>
      <c r="E406" s="8" t="n">
        <v>102.5</v>
      </c>
      <c r="F406" s="10" t="n">
        <v>1.35135135135136</v>
      </c>
      <c r="G406" s="10" t="n">
        <v>0.391772771792365</v>
      </c>
      <c r="H406" s="8" t="n">
        <v>5.83117224635622</v>
      </c>
      <c r="I406" s="8" t="n">
        <v>10.0076681167767</v>
      </c>
      <c r="J406" s="8" t="n">
        <v>110.205446324817</v>
      </c>
      <c r="K406" s="8" t="n">
        <v>4.30551162938846</v>
      </c>
      <c r="L406" s="8" t="n">
        <v>94.5983508132319</v>
      </c>
      <c r="M406" s="8" t="n">
        <v>1.42476434777905</v>
      </c>
      <c r="N406" s="8" t="n">
        <v>2.19</v>
      </c>
      <c r="O406" s="8" t="n">
        <v>-0.206666666666667</v>
      </c>
      <c r="P406" s="8" t="n">
        <v>61.93</v>
      </c>
      <c r="Q406" s="8" t="n">
        <v>-17.6718216865334</v>
      </c>
    </row>
    <row r="407" ht="19" customHeight="1">
      <c r="A407" s="7" t="inlineStr">
        <is>
          <t>Philippines</t>
        </is>
      </c>
      <c r="B407" s="10" t="n">
        <v>2019</v>
      </c>
      <c r="C407" s="10" t="n">
        <v>4</v>
      </c>
      <c r="D407" s="6" t="inlineStr">
        <is>
          <t>2019 Q4</t>
        </is>
      </c>
      <c r="E407" s="8" t="n">
        <v>103.3</v>
      </c>
      <c r="F407" s="10" t="n">
        <v>1.37389597644748</v>
      </c>
      <c r="G407" s="10" t="n">
        <v>0.78048780487805</v>
      </c>
      <c r="H407" s="8" t="n">
        <v>0.431554675417957</v>
      </c>
      <c r="I407" s="8" t="n">
        <v>9.75297534904505</v>
      </c>
      <c r="J407" s="8" t="n">
        <v>112.010106760914</v>
      </c>
      <c r="K407" s="8" t="n">
        <v>3.9069133991595</v>
      </c>
      <c r="L407" s="8" t="n">
        <v>98.5900431134575</v>
      </c>
      <c r="M407" s="8" t="n">
        <v>8.654807088293911</v>
      </c>
      <c r="N407" s="8" t="n">
        <v>1.64333333333333</v>
      </c>
      <c r="O407" s="8" t="n">
        <v>-0.546666666666667</v>
      </c>
      <c r="P407" s="8" t="n">
        <v>63.41</v>
      </c>
      <c r="Q407" s="8" t="n">
        <v>-6.35522299891701</v>
      </c>
    </row>
    <row r="408" ht="19" customHeight="1">
      <c r="A408" s="7" t="inlineStr">
        <is>
          <t>Philippines</t>
        </is>
      </c>
      <c r="B408" s="10" t="n">
        <v>2020</v>
      </c>
      <c r="C408" s="10" t="n">
        <v>1</v>
      </c>
      <c r="D408" s="6" t="inlineStr">
        <is>
          <t>2020 Q1</t>
        </is>
      </c>
      <c r="E408" s="8" t="n">
        <v>104.166666666667</v>
      </c>
      <c r="F408" s="10" t="n">
        <v>2.52624671916011</v>
      </c>
      <c r="G408" s="10" t="n">
        <v>0.838980316231042</v>
      </c>
      <c r="H408" s="8" t="n">
        <v>-7.38052441148343</v>
      </c>
      <c r="I408" s="8" t="n">
        <v>9.20718947413255</v>
      </c>
      <c r="J408" s="8" t="n">
        <v>113.229849009035</v>
      </c>
      <c r="K408" s="8" t="n">
        <v>4.97891727769286</v>
      </c>
      <c r="L408" s="8" t="n">
        <v>101.264856657347</v>
      </c>
      <c r="M408" s="8" t="n">
        <v>7.92087821393919</v>
      </c>
      <c r="N408" s="8" t="n">
        <v>1.26</v>
      </c>
      <c r="O408" s="8" t="n">
        <v>-0.383333333333333</v>
      </c>
      <c r="P408" s="8" t="n">
        <v>50.44</v>
      </c>
      <c r="Q408" s="8" t="n">
        <v>-20.1519708722495</v>
      </c>
    </row>
    <row r="409" ht="19" customHeight="1">
      <c r="A409" s="7" t="inlineStr">
        <is>
          <t>Philippines</t>
        </is>
      </c>
      <c r="B409" s="10" t="n">
        <v>2020</v>
      </c>
      <c r="C409" s="10" t="n">
        <v>2</v>
      </c>
      <c r="D409" s="6" t="inlineStr">
        <is>
          <t>2020 Q2</t>
        </is>
      </c>
      <c r="E409" s="8" t="n">
        <v>104</v>
      </c>
      <c r="F409" s="10" t="n">
        <v>1.86092066601371</v>
      </c>
      <c r="G409" s="10" t="n">
        <v>-0.160000000000005</v>
      </c>
      <c r="H409" s="8" t="n">
        <v>-11.3604625711426</v>
      </c>
      <c r="I409" s="8" t="n">
        <v>8.76909236633</v>
      </c>
      <c r="J409" s="8" t="n">
        <v>116.106743958614</v>
      </c>
      <c r="K409" s="8" t="n">
        <v>6.17916234280025</v>
      </c>
      <c r="L409" s="8" t="n">
        <v>94.2610802411244</v>
      </c>
      <c r="M409" s="8" t="n">
        <v>-0.656798138560644</v>
      </c>
      <c r="N409" s="8" t="n">
        <v>0.06</v>
      </c>
      <c r="O409" s="8" t="n">
        <v>-1.2</v>
      </c>
      <c r="P409" s="8" t="n">
        <v>29.3433333333333</v>
      </c>
      <c r="Q409" s="8" t="n">
        <v>-57.426125646854</v>
      </c>
    </row>
    <row r="410" ht="19" customHeight="1">
      <c r="A410" s="7" t="inlineStr">
        <is>
          <t>Philippines</t>
        </is>
      </c>
      <c r="B410" s="10" t="n">
        <v>2020</v>
      </c>
      <c r="C410" s="10" t="n">
        <v>3</v>
      </c>
      <c r="D410" s="6" t="inlineStr">
        <is>
          <t>2020 Q3</t>
        </is>
      </c>
      <c r="E410" s="8" t="n">
        <v>104.866666666667</v>
      </c>
      <c r="F410" s="10" t="n">
        <v>2.3089430894309</v>
      </c>
      <c r="G410" s="10" t="n">
        <v>0.83333333333333</v>
      </c>
      <c r="H410" s="8" t="n">
        <v>-11.5082637832826</v>
      </c>
      <c r="I410" s="8" t="n">
        <v>8.43868358755595</v>
      </c>
      <c r="J410" s="8" t="n">
        <v>117.389398483989</v>
      </c>
      <c r="K410" s="8" t="n">
        <v>6.51869068067488</v>
      </c>
      <c r="L410" s="8" t="n">
        <v>97.88852553233011</v>
      </c>
      <c r="M410" s="8" t="n">
        <v>3.47804659469599</v>
      </c>
      <c r="N410" s="8" t="n">
        <v>0.0933333333333333</v>
      </c>
      <c r="O410" s="8" t="n">
        <v>0.0333333333333333</v>
      </c>
      <c r="P410" s="8" t="n">
        <v>42.9633333333333</v>
      </c>
      <c r="Q410" s="8" t="n">
        <v>-30.6259755638086</v>
      </c>
    </row>
    <row r="411" ht="19" customHeight="1">
      <c r="A411" s="7" t="inlineStr">
        <is>
          <t>Philippines</t>
        </is>
      </c>
      <c r="B411" s="10" t="n">
        <v>2020</v>
      </c>
      <c r="C411" s="10" t="n">
        <v>4</v>
      </c>
      <c r="D411" s="6" t="inlineStr">
        <is>
          <t>2020 Q4</t>
        </is>
      </c>
      <c r="E411" s="8" t="n">
        <v>106.266666666667</v>
      </c>
      <c r="F411" s="10" t="n">
        <v>2.87189415940625</v>
      </c>
      <c r="G411" s="10" t="n">
        <v>1.33502860775587</v>
      </c>
      <c r="H411" s="8" t="n">
        <v>-7.82392819590261</v>
      </c>
      <c r="I411" s="8" t="n">
        <v>8.215962807245401</v>
      </c>
      <c r="J411" s="8" t="n">
        <v>118.0878685987</v>
      </c>
      <c r="K411" s="8" t="n">
        <v>5.4260834254533</v>
      </c>
      <c r="L411" s="8" t="n">
        <v>107.405441783652</v>
      </c>
      <c r="M411" s="8" t="n">
        <v>8.9414695356711</v>
      </c>
      <c r="N411" s="8" t="n">
        <v>0.09</v>
      </c>
      <c r="O411" s="8" t="n">
        <v>-0.0033333333333333</v>
      </c>
      <c r="P411" s="8" t="n">
        <v>44.29</v>
      </c>
      <c r="Q411" s="8" t="n">
        <v>-30.152972717237</v>
      </c>
    </row>
    <row r="412" ht="19" customHeight="1">
      <c r="A412" s="7" t="inlineStr">
        <is>
          <t>Philippines</t>
        </is>
      </c>
      <c r="B412" s="10" t="n">
        <v>2021</v>
      </c>
      <c r="C412" s="10" t="n">
        <v>1</v>
      </c>
      <c r="D412" s="6" t="inlineStr">
        <is>
          <t>2021 Q1</t>
        </is>
      </c>
      <c r="E412" s="8" t="n">
        <v>108.366666666667</v>
      </c>
      <c r="F412" s="10" t="n">
        <v>4.03200000000001</v>
      </c>
      <c r="G412" s="10" t="n">
        <v>1.97616060225847</v>
      </c>
      <c r="H412" s="8" t="n">
        <v>-0.307452124571783</v>
      </c>
      <c r="I412" s="8" t="n">
        <v>8.10092980283471</v>
      </c>
      <c r="J412" s="8" t="n">
        <v>118.237204769565</v>
      </c>
      <c r="K412" s="8" t="n">
        <v>4.42229306525914</v>
      </c>
      <c r="L412" s="8" t="n">
        <v>106.418456967928</v>
      </c>
      <c r="M412" s="8" t="n">
        <v>5.08922886053087</v>
      </c>
      <c r="N412" s="8" t="n">
        <v>0.08</v>
      </c>
      <c r="O412" s="8" t="n">
        <v>-0.01</v>
      </c>
      <c r="P412" s="8" t="n">
        <v>60.82</v>
      </c>
      <c r="Q412" s="8" t="n">
        <v>20.578905630452</v>
      </c>
    </row>
    <row r="413" ht="19" customHeight="1">
      <c r="A413" s="7" t="inlineStr">
        <is>
          <t>Philippines</t>
        </is>
      </c>
      <c r="B413" s="10" t="n">
        <v>2021</v>
      </c>
      <c r="C413" s="10" t="n">
        <v>2</v>
      </c>
      <c r="D413" s="6" t="inlineStr">
        <is>
          <t>2021 Q2</t>
        </is>
      </c>
      <c r="E413" s="8" t="n">
        <v>108.166666666667</v>
      </c>
      <c r="F413" s="10" t="n">
        <v>4.00641025641024</v>
      </c>
      <c r="G413" s="10" t="n">
        <v>-0.184558597354678</v>
      </c>
      <c r="H413" s="8" t="n">
        <v>5.10800990892451</v>
      </c>
      <c r="I413" s="8" t="n">
        <v>8.006652098537501</v>
      </c>
      <c r="J413" s="8" t="n">
        <v>118.791551897302</v>
      </c>
      <c r="K413" s="8" t="n">
        <v>2.31236175191161</v>
      </c>
      <c r="L413" s="8" t="n">
        <v>114.551815876528</v>
      </c>
      <c r="M413" s="8" t="n">
        <v>21.5261013172124</v>
      </c>
      <c r="N413" s="8" t="n">
        <v>0.07000000000000001</v>
      </c>
      <c r="O413" s="8" t="n">
        <v>-0.01</v>
      </c>
      <c r="P413" s="8" t="n">
        <v>68.8333333333333</v>
      </c>
      <c r="Q413" s="8" t="n">
        <v>134.579120754288</v>
      </c>
    </row>
    <row r="414" ht="19" customHeight="1">
      <c r="A414" s="7" t="inlineStr">
        <is>
          <t>Philippines</t>
        </is>
      </c>
      <c r="B414" s="10" t="n">
        <v>2021</v>
      </c>
      <c r="C414" s="10" t="n">
        <v>3</v>
      </c>
      <c r="D414" s="6" t="inlineStr">
        <is>
          <t>2021 Q3</t>
        </is>
      </c>
      <c r="E414" s="8" t="n">
        <v>109.166666666667</v>
      </c>
      <c r="F414" s="10" t="n">
        <v>4.10044500953592</v>
      </c>
      <c r="G414" s="10" t="n">
        <v>0.924499229583997</v>
      </c>
      <c r="H414" s="8" t="n">
        <v>8.422463319961039</v>
      </c>
      <c r="I414" s="8" t="n">
        <v>7.93312960011009</v>
      </c>
      <c r="J414" s="8" t="n">
        <v>115.360624089267</v>
      </c>
      <c r="K414" s="8" t="n">
        <v>-1.72824328339899</v>
      </c>
      <c r="L414" s="8" t="n">
        <v>116.298331246585</v>
      </c>
      <c r="M414" s="8" t="n">
        <v>18.8069087915464</v>
      </c>
      <c r="N414" s="8" t="n">
        <v>0.09</v>
      </c>
      <c r="O414" s="8" t="n">
        <v>0.02</v>
      </c>
      <c r="P414" s="8" t="n">
        <v>73.47</v>
      </c>
      <c r="Q414" s="8" t="n">
        <v>71.0062844285825</v>
      </c>
    </row>
    <row r="415" ht="19" customHeight="1">
      <c r="A415" s="7" t="inlineStr">
        <is>
          <t>Philippines</t>
        </is>
      </c>
      <c r="B415" s="10" t="n">
        <v>2021</v>
      </c>
      <c r="C415" s="10" t="n">
        <v>4</v>
      </c>
      <c r="D415" s="6" t="inlineStr">
        <is>
          <t>2021 Q4</t>
        </is>
      </c>
      <c r="E415" s="8" t="n">
        <v>110.066666666667</v>
      </c>
      <c r="F415" s="10" t="n">
        <v>3.5759096612296</v>
      </c>
      <c r="G415" s="10" t="n">
        <v>0.824427480916023</v>
      </c>
      <c r="H415" s="8" t="n">
        <v>9.63591142311113</v>
      </c>
      <c r="I415" s="8" t="n">
        <v>7.8803622342374</v>
      </c>
      <c r="J415" s="8" t="n">
        <v>115.389025813295</v>
      </c>
      <c r="K415" s="8" t="n">
        <v>-2.28545304223964</v>
      </c>
      <c r="L415" s="8" t="n">
        <v>122.679602624024</v>
      </c>
      <c r="M415" s="8" t="n">
        <v>14.2210306914792</v>
      </c>
      <c r="N415" s="8" t="n">
        <v>0.08</v>
      </c>
      <c r="O415" s="8" t="n">
        <v>-0.01</v>
      </c>
      <c r="P415" s="8" t="n">
        <v>79.5866666666667</v>
      </c>
      <c r="Q415" s="8" t="n">
        <v>79.69443817265</v>
      </c>
    </row>
    <row r="416" ht="19" customHeight="1">
      <c r="A416" s="7" t="inlineStr">
        <is>
          <t>Philippines</t>
        </is>
      </c>
      <c r="B416" s="10" t="n">
        <v>2022</v>
      </c>
      <c r="C416" s="10" t="n">
        <v>1</v>
      </c>
      <c r="D416" s="6" t="inlineStr">
        <is>
          <t>2022 Q1</t>
        </is>
      </c>
      <c r="E416" s="8" t="n">
        <v>112</v>
      </c>
      <c r="F416" s="10" t="n">
        <v>3.35281451860965</v>
      </c>
      <c r="G416" s="10" t="n">
        <v>1.75651120533011</v>
      </c>
      <c r="H416" s="8" t="n">
        <v>8.74835543172903</v>
      </c>
      <c r="I416" s="8" t="n">
        <v>7.84834994775523</v>
      </c>
      <c r="J416" s="8" t="n">
        <v>113.611876175955</v>
      </c>
      <c r="K416" s="8" t="n">
        <v>-3.91190624188423</v>
      </c>
      <c r="L416" s="8" t="n">
        <v>124.25343875034</v>
      </c>
      <c r="M416" s="8" t="n">
        <v>16.7592937264516</v>
      </c>
      <c r="N416" s="8" t="n">
        <v>0.12</v>
      </c>
      <c r="O416" s="8" t="n">
        <v>0.04</v>
      </c>
      <c r="P416" s="8" t="n">
        <v>100.296666666667</v>
      </c>
      <c r="Q416" s="8" t="n">
        <v>64.9073769593335</v>
      </c>
    </row>
    <row r="417" ht="19" customHeight="1">
      <c r="A417" s="7" t="inlineStr">
        <is>
          <t>Philippines</t>
        </is>
      </c>
      <c r="B417" s="10" t="n">
        <v>2022</v>
      </c>
      <c r="C417" s="10" t="n">
        <v>2</v>
      </c>
      <c r="D417" s="6" t="inlineStr">
        <is>
          <t>2022 Q2</t>
        </is>
      </c>
      <c r="E417" s="8" t="n">
        <v>114.066666666667</v>
      </c>
      <c r="F417" s="10" t="n">
        <v>5.45454545454547</v>
      </c>
      <c r="G417" s="10" t="n">
        <v>1.84523809523811</v>
      </c>
      <c r="H417" s="8" t="n">
        <v>7.92638411806585</v>
      </c>
      <c r="I417" s="8" t="n">
        <v>7.82434076098381</v>
      </c>
      <c r="J417" s="8" t="n">
        <v>116.657711955883</v>
      </c>
      <c r="K417" s="8" t="n">
        <v>-1.79628930453217</v>
      </c>
      <c r="L417" s="8" t="n">
        <v>134.351432934678</v>
      </c>
      <c r="M417" s="8" t="n">
        <v>17.2844200736996</v>
      </c>
      <c r="N417" s="8" t="n">
        <v>0.77</v>
      </c>
      <c r="O417" s="8" t="n">
        <v>0.65</v>
      </c>
      <c r="P417" s="8" t="n">
        <v>113.543333333333</v>
      </c>
      <c r="Q417" s="8" t="n">
        <v>64.95399515738499</v>
      </c>
    </row>
    <row r="418" ht="19" customHeight="1">
      <c r="A418" s="7" t="inlineStr">
        <is>
          <t>Philippines</t>
        </is>
      </c>
      <c r="B418" s="10" t="n">
        <v>2022</v>
      </c>
      <c r="C418" s="10" t="n">
        <v>3</v>
      </c>
      <c r="D418" s="6" t="inlineStr">
        <is>
          <t>2022 Q3</t>
        </is>
      </c>
      <c r="E418" s="8" t="n">
        <v>116.3</v>
      </c>
      <c r="F418" s="10" t="n">
        <v>6.53435114503815</v>
      </c>
      <c r="G418" s="10" t="n">
        <v>1.95791934541203</v>
      </c>
      <c r="H418" s="8" t="n">
        <v>7.16999666011445</v>
      </c>
      <c r="I418" s="8" t="n">
        <v>7.80833464987448</v>
      </c>
      <c r="J418" s="8" t="n">
        <v>113.481515471155</v>
      </c>
      <c r="K418" s="8" t="n">
        <v>-1.62889949057302</v>
      </c>
      <c r="L418" s="8" t="n">
        <v>118.584751746656</v>
      </c>
      <c r="M418" s="8" t="n">
        <v>1.96599596534466</v>
      </c>
      <c r="N418" s="8" t="n">
        <v>2.19</v>
      </c>
      <c r="O418" s="8" t="n">
        <v>1.42</v>
      </c>
      <c r="P418" s="8" t="n">
        <v>100.713333333333</v>
      </c>
      <c r="Q418" s="8" t="n">
        <v>37.0808946962479</v>
      </c>
    </row>
    <row r="419" ht="19" customHeight="1">
      <c r="A419" s="7" t="inlineStr">
        <is>
          <t>Philippines</t>
        </is>
      </c>
      <c r="B419" s="10" t="n">
        <v>2022</v>
      </c>
      <c r="C419" s="10" t="n">
        <v>4</v>
      </c>
      <c r="D419" s="6" t="inlineStr">
        <is>
          <t>2022 Q4</t>
        </is>
      </c>
      <c r="E419" s="8" t="n">
        <v>118.766666666667</v>
      </c>
      <c r="F419" s="10" t="n">
        <v>7.90430042398547</v>
      </c>
      <c r="G419" s="10" t="n">
        <v>2.12095156205216</v>
      </c>
      <c r="H419" s="8" t="n">
        <v>6.47919230147492</v>
      </c>
      <c r="I419" s="8" t="n">
        <v>7.80033159829504</v>
      </c>
      <c r="J419" s="8" t="n">
        <v>113.415648607995</v>
      </c>
      <c r="K419" s="8" t="n">
        <v>-1.71019487459179</v>
      </c>
      <c r="L419" s="8" t="n">
        <v>115.210051245214</v>
      </c>
      <c r="M419" s="8" t="n">
        <v>-6.08866610181539</v>
      </c>
      <c r="N419" s="8" t="n">
        <v>3.65333333333333</v>
      </c>
      <c r="O419" s="8" t="n">
        <v>1.46333333333333</v>
      </c>
      <c r="P419" s="8" t="n">
        <v>88.5566666666667</v>
      </c>
      <c r="Q419" s="8" t="n">
        <v>11.2707321159323</v>
      </c>
    </row>
    <row r="420" ht="19" customHeight="1">
      <c r="A420" s="7" t="inlineStr">
        <is>
          <t>Philippines</t>
        </is>
      </c>
      <c r="B420" s="10" t="n">
        <v>2023</v>
      </c>
      <c r="C420" s="10" t="n">
        <v>1</v>
      </c>
      <c r="D420" s="6" t="inlineStr">
        <is>
          <t>2023 Q1</t>
        </is>
      </c>
      <c r="E420" s="8" t="n">
        <v>121.3</v>
      </c>
      <c r="F420" s="10" t="n">
        <v>8.303571428571431</v>
      </c>
      <c r="G420" s="10" t="n">
        <v>2.13303396014595</v>
      </c>
      <c r="H420" s="8" t="n">
        <v>5.8539703512618</v>
      </c>
      <c r="I420" s="9" t="inlineStr"/>
      <c r="J420" s="8" t="n">
        <v>115.389749425747</v>
      </c>
      <c r="K420" s="8" t="n">
        <v>1.56486567217542</v>
      </c>
      <c r="L420" s="8" t="n">
        <v>114.034689515825</v>
      </c>
      <c r="M420" s="8" t="n">
        <v>-8.224117849203459</v>
      </c>
      <c r="N420" s="8" t="n">
        <v>4.51666666666667</v>
      </c>
      <c r="O420" s="8" t="n">
        <v>0.863333333333333</v>
      </c>
      <c r="P420" s="8" t="n">
        <v>81.1733333333333</v>
      </c>
      <c r="Q420" s="8" t="n">
        <v>-19.0667685865266</v>
      </c>
    </row>
    <row r="421" ht="19" customHeight="1">
      <c r="A421" s="7" t="inlineStr">
        <is>
          <t>Philippines</t>
        </is>
      </c>
      <c r="B421" s="10" t="n">
        <v>2023</v>
      </c>
      <c r="C421" s="10" t="n">
        <v>2</v>
      </c>
      <c r="D421" s="6" t="inlineStr">
        <is>
          <t>2023 Q2</t>
        </is>
      </c>
      <c r="E421" s="8" t="n">
        <v>120.966666666667</v>
      </c>
      <c r="F421" s="10" t="n">
        <v>6.04909409701928</v>
      </c>
      <c r="G421" s="10" t="n">
        <v>-0.274800769442152</v>
      </c>
      <c r="H421" s="8" t="n">
        <v>5.46987347009449</v>
      </c>
      <c r="I421" s="9" t="inlineStr"/>
      <c r="J421" s="8" t="n">
        <v>114.41874280086</v>
      </c>
      <c r="K421" s="8" t="n">
        <v>-1.91926373103407</v>
      </c>
      <c r="L421" s="8" t="n">
        <v>109.857789884183</v>
      </c>
      <c r="M421" s="8" t="n">
        <v>-18.2310247948031</v>
      </c>
      <c r="N421" s="8" t="n">
        <v>4.99</v>
      </c>
      <c r="O421" s="8" t="n">
        <v>0.473333333333334</v>
      </c>
      <c r="P421" s="8" t="n">
        <v>78.31666666666671</v>
      </c>
      <c r="Q421" s="8" t="n">
        <v>-31.0248656900449</v>
      </c>
    </row>
    <row r="422" ht="19" customHeight="1">
      <c r="A422" s="7" t="inlineStr">
        <is>
          <t>Philippines</t>
        </is>
      </c>
      <c r="B422" s="10" t="n">
        <v>2023</v>
      </c>
      <c r="C422" s="10" t="n">
        <v>3</v>
      </c>
      <c r="D422" s="6" t="inlineStr">
        <is>
          <t>2023 Q3</t>
        </is>
      </c>
      <c r="E422" s="8" t="n">
        <v>122.533333333333</v>
      </c>
      <c r="F422" s="10" t="n">
        <v>5.359701920321</v>
      </c>
      <c r="G422" s="10" t="n">
        <v>1.29512262331219</v>
      </c>
      <c r="H422" s="8" t="n">
        <v>5.32690127372412</v>
      </c>
      <c r="I422" s="9" t="inlineStr"/>
      <c r="J422" s="8" t="n">
        <v>115.961331597612</v>
      </c>
      <c r="K422" s="8" t="n">
        <v>2.18521590601028</v>
      </c>
      <c r="L422" s="8" t="n">
        <v>107.510614988168</v>
      </c>
      <c r="M422" s="8" t="n">
        <v>-9.338584088911441</v>
      </c>
      <c r="N422" s="8" t="n">
        <v>5.26</v>
      </c>
      <c r="O422" s="8" t="n">
        <v>0.27</v>
      </c>
      <c r="P422" s="8" t="n">
        <v>86.66</v>
      </c>
      <c r="Q422" s="8" t="n">
        <v>-13.9537962533925</v>
      </c>
    </row>
    <row r="423" ht="19" customHeight="1">
      <c r="A423" s="7" t="inlineStr">
        <is>
          <t>Philippines</t>
        </is>
      </c>
      <c r="B423" s="10" t="n">
        <v>2023</v>
      </c>
      <c r="C423" s="10" t="n">
        <v>4</v>
      </c>
      <c r="D423" s="6" t="inlineStr">
        <is>
          <t>2023 Q4</t>
        </is>
      </c>
      <c r="E423" s="8" t="n">
        <v>123.9</v>
      </c>
      <c r="F423" s="10" t="n">
        <v>4.32220039292732</v>
      </c>
      <c r="G423" s="10" t="n">
        <v>1.11534276387377</v>
      </c>
      <c r="H423" s="8" t="n">
        <v>5.42505361919044</v>
      </c>
      <c r="I423" s="9" t="inlineStr"/>
      <c r="J423" s="8" t="n">
        <v>117.257666401877</v>
      </c>
      <c r="K423" s="8" t="n">
        <v>3.38755528098387</v>
      </c>
      <c r="L423" s="8" t="n">
        <v>105.339533846651</v>
      </c>
      <c r="M423" s="8" t="n">
        <v>-8.56740995414912</v>
      </c>
      <c r="N423" s="8" t="n">
        <v>5.33</v>
      </c>
      <c r="O423" s="8" t="n">
        <v>0.0700000000000003</v>
      </c>
      <c r="P423" s="8" t="n">
        <v>83.7233333333333</v>
      </c>
      <c r="Q423" s="8" t="n">
        <v>-5.45789889712802</v>
      </c>
    </row>
    <row r="424" ht="19" customHeight="1">
      <c r="A424" s="7" t="inlineStr">
        <is>
          <t>Philippines</t>
        </is>
      </c>
      <c r="B424" s="10" t="n">
        <v>2024</v>
      </c>
      <c r="C424" s="10" t="n">
        <v>1</v>
      </c>
      <c r="D424" s="6" t="inlineStr">
        <is>
          <t>2024 Q1</t>
        </is>
      </c>
      <c r="E424" s="8" t="n">
        <v>125.3</v>
      </c>
      <c r="F424" s="10" t="n">
        <v>3.29760923330584</v>
      </c>
      <c r="G424" s="10" t="n">
        <v>1.12994350282485</v>
      </c>
      <c r="H424" s="8" t="n">
        <v>5.7643306047241</v>
      </c>
      <c r="I424" s="9" t="inlineStr"/>
      <c r="J424" s="8" t="n">
        <v>117.115942899713</v>
      </c>
      <c r="K424" s="8" t="n">
        <v>1.4959677809832</v>
      </c>
      <c r="L424" s="8" t="n">
        <v>102.582568583479</v>
      </c>
      <c r="M424" s="8" t="n">
        <v>-10.0426641936497</v>
      </c>
      <c r="N424" s="8" t="n">
        <v>5.33</v>
      </c>
      <c r="O424" s="8" t="n">
        <v>0</v>
      </c>
      <c r="P424" s="8" t="n">
        <v>83.0033333333333</v>
      </c>
      <c r="Q424" s="8" t="n">
        <v>2.25443495400788</v>
      </c>
    </row>
    <row r="425" ht="19" customHeight="1">
      <c r="A425" s="7" t="inlineStr">
        <is>
          <t>Philippines</t>
        </is>
      </c>
      <c r="B425" s="10" t="n">
        <v>2024</v>
      </c>
      <c r="C425" s="10" t="n">
        <v>2</v>
      </c>
      <c r="D425" s="6" t="inlineStr">
        <is>
          <t>2024 Q2</t>
        </is>
      </c>
      <c r="E425" s="8" t="n">
        <v>125.566666666667</v>
      </c>
      <c r="F425" s="10" t="n">
        <v>3.80270046844859</v>
      </c>
      <c r="G425" s="10" t="n">
        <v>0.212822559191284</v>
      </c>
      <c r="H425" s="8" t="n">
        <v>5.88020722597106</v>
      </c>
      <c r="I425" s="9" t="inlineStr"/>
      <c r="J425" s="8" t="n">
        <v>115.725855838831</v>
      </c>
      <c r="K425" s="8" t="n">
        <v>1.14239416198252</v>
      </c>
      <c r="L425" s="8" t="n">
        <v>104.519793640698</v>
      </c>
      <c r="M425" s="8" t="n">
        <v>-4.85900567371084</v>
      </c>
      <c r="N425" s="8" t="n">
        <v>5.33</v>
      </c>
      <c r="O425" s="8" t="n">
        <v>0</v>
      </c>
      <c r="P425" s="8" t="n">
        <v>84.6466666666667</v>
      </c>
      <c r="Q425" s="8" t="n">
        <v>8.082570759736109</v>
      </c>
    </row>
    <row r="426" ht="19" customHeight="1">
      <c r="A426" s="7" t="inlineStr">
        <is>
          <t>Philippines</t>
        </is>
      </c>
      <c r="B426" s="10" t="n">
        <v>2024</v>
      </c>
      <c r="C426" s="10" t="n">
        <v>3</v>
      </c>
      <c r="D426" s="6" t="inlineStr">
        <is>
          <t>2024 Q3</t>
        </is>
      </c>
      <c r="E426" s="8" t="n">
        <v>126.466666666667</v>
      </c>
      <c r="F426" s="10" t="n">
        <v>3.21001088139281</v>
      </c>
      <c r="G426" s="10" t="n">
        <v>0.716750730023907</v>
      </c>
      <c r="H426" s="8" t="n">
        <v>5.7726835988153</v>
      </c>
      <c r="I426" s="9" t="inlineStr"/>
      <c r="J426" s="8" t="n">
        <v>114.823981364291</v>
      </c>
      <c r="K426" s="8" t="n">
        <v>-0.980801287508681</v>
      </c>
      <c r="L426" s="8" t="n">
        <v>106.377099329068</v>
      </c>
      <c r="M426" s="8" t="n">
        <v>-1.05432906250624</v>
      </c>
      <c r="N426" s="8" t="n">
        <v>5.26333333333333</v>
      </c>
      <c r="O426" s="8" t="n">
        <v>-0.0666666666666664</v>
      </c>
      <c r="P426" s="8" t="n">
        <v>79.84333333333331</v>
      </c>
      <c r="Q426" s="8" t="n">
        <v>-7.86598969151473</v>
      </c>
    </row>
    <row r="427" ht="19" customHeight="1">
      <c r="A427" s="7" t="inlineStr">
        <is>
          <t>Philippines</t>
        </is>
      </c>
      <c r="B427" s="10" t="n">
        <v>2024</v>
      </c>
      <c r="C427" s="10" t="n">
        <v>4</v>
      </c>
      <c r="D427" s="6" t="inlineStr">
        <is>
          <t>2024 Q4</t>
        </is>
      </c>
      <c r="E427" s="8" t="n">
        <v>127.066666666667</v>
      </c>
      <c r="F427" s="10" t="n">
        <v>2.55582458972288</v>
      </c>
      <c r="G427" s="10" t="n">
        <v>0.474433315761735</v>
      </c>
      <c r="H427" s="8" t="n">
        <v>5.44175961572209</v>
      </c>
      <c r="I427" s="9" t="inlineStr"/>
      <c r="J427" s="8" t="n">
        <v>114.187205662897</v>
      </c>
      <c r="K427" s="8" t="n">
        <v>-2.61855862665427</v>
      </c>
      <c r="L427" s="8" t="n">
        <v>110.645361455409</v>
      </c>
      <c r="M427" s="8" t="n">
        <v>5.03688161035707</v>
      </c>
      <c r="N427" s="8" t="n">
        <v>4.65</v>
      </c>
      <c r="O427" s="8" t="n">
        <v>-0.613333333333333</v>
      </c>
      <c r="P427" s="8" t="n">
        <v>74.6133333333333</v>
      </c>
      <c r="Q427" s="8" t="n">
        <v>-10.8810765616913</v>
      </c>
    </row>
    <row r="428" ht="19" customHeight="1">
      <c r="A428" s="7" t="inlineStr">
        <is>
          <t>Philippines</t>
        </is>
      </c>
      <c r="B428" s="10" t="n">
        <v>2025</v>
      </c>
      <c r="C428" s="10" t="n">
        <v>1</v>
      </c>
      <c r="D428" s="6" t="inlineStr">
        <is>
          <t>2025 Q1</t>
        </is>
      </c>
      <c r="E428" s="8" t="n">
        <v>128.1</v>
      </c>
      <c r="F428" s="10" t="n">
        <v>2.23463687150838</v>
      </c>
      <c r="G428" s="10" t="n">
        <v>0.81322140608604</v>
      </c>
      <c r="H428" s="8" t="n">
        <v>4.88743494577728</v>
      </c>
      <c r="I428" s="9" t="inlineStr"/>
      <c r="J428" s="8" t="n">
        <v>114.983977890931</v>
      </c>
      <c r="K428" s="8" t="n">
        <v>-1.82038837411573</v>
      </c>
      <c r="L428" s="8" t="n">
        <v>108.711496383905</v>
      </c>
      <c r="M428" s="8" t="n">
        <v>5.97462891118643</v>
      </c>
      <c r="N428" s="8" t="n">
        <v>4.33</v>
      </c>
      <c r="O428" s="8" t="n">
        <v>-0.32</v>
      </c>
      <c r="P428" s="8" t="n">
        <v>75.8133333333333</v>
      </c>
      <c r="Q428" s="8" t="n">
        <v>-8.662302718766311</v>
      </c>
    </row>
    <row r="429" ht="19" customHeight="1">
      <c r="A429" s="6" t="inlineStr">
        <is>
          <t>Singapore</t>
        </is>
      </c>
      <c r="B429" s="10" t="n">
        <v>2010</v>
      </c>
      <c r="C429" s="10" t="n">
        <v>1</v>
      </c>
      <c r="D429" s="6" t="inlineStr">
        <is>
          <t>2010 Q1</t>
        </is>
      </c>
      <c r="E429" s="8" t="n">
        <v>85.9483333333333</v>
      </c>
      <c r="F429" s="9" t="inlineStr"/>
      <c r="G429" s="9" t="inlineStr"/>
      <c r="H429" s="8" t="n">
        <v>16.4061112791934</v>
      </c>
      <c r="I429" s="8" t="n">
        <v>8.134683296277061</v>
      </c>
      <c r="J429" s="8" t="n">
        <v>104.805468709456</v>
      </c>
      <c r="K429" s="9" t="inlineStr"/>
      <c r="L429" s="8" t="n">
        <v>99.24199528149821</v>
      </c>
      <c r="M429" s="9" t="inlineStr"/>
      <c r="N429" s="8" t="n">
        <v>0.133333333333333</v>
      </c>
      <c r="O429" s="9" t="inlineStr"/>
      <c r="P429" s="8" t="n">
        <v>76.25</v>
      </c>
      <c r="Q429" s="9" t="inlineStr"/>
    </row>
    <row r="430" ht="19" customHeight="1">
      <c r="A430" s="6" t="inlineStr">
        <is>
          <t>Singapore</t>
        </is>
      </c>
      <c r="B430" s="10" t="n">
        <v>2010</v>
      </c>
      <c r="C430" s="10" t="n">
        <v>2</v>
      </c>
      <c r="D430" s="6" t="inlineStr">
        <is>
          <t>2010 Q2</t>
        </is>
      </c>
      <c r="E430" s="8" t="n">
        <v>86.95666666666671</v>
      </c>
      <c r="F430" s="9" t="inlineStr"/>
      <c r="G430" s="10" t="n">
        <v>1.17318544086562</v>
      </c>
      <c r="H430" s="8" t="n">
        <v>15.6515671046107</v>
      </c>
      <c r="I430" s="8" t="n">
        <v>8.316938082074801</v>
      </c>
      <c r="J430" s="8" t="n">
        <v>108.489423765313</v>
      </c>
      <c r="K430" s="9" t="inlineStr"/>
      <c r="L430" s="8" t="n">
        <v>96.4984622523225</v>
      </c>
      <c r="M430" s="9" t="inlineStr"/>
      <c r="N430" s="8" t="n">
        <v>0.193333333333333</v>
      </c>
      <c r="O430" s="8" t="n">
        <v>0.06</v>
      </c>
      <c r="P430" s="8" t="n">
        <v>78.51000000000001</v>
      </c>
      <c r="Q430" s="9" t="inlineStr"/>
    </row>
    <row r="431" ht="19" customHeight="1">
      <c r="A431" s="6" t="inlineStr">
        <is>
          <t>Singapore</t>
        </is>
      </c>
      <c r="B431" s="10" t="n">
        <v>2010</v>
      </c>
      <c r="C431" s="10" t="n">
        <v>3</v>
      </c>
      <c r="D431" s="6" t="inlineStr">
        <is>
          <t>2010 Q3</t>
        </is>
      </c>
      <c r="E431" s="8" t="n">
        <v>87.962</v>
      </c>
      <c r="F431" s="9" t="inlineStr"/>
      <c r="G431" s="10" t="n">
        <v>1.15613140644766</v>
      </c>
      <c r="H431" s="8" t="n">
        <v>14.1424780009039</v>
      </c>
      <c r="I431" s="8" t="n">
        <v>8.681447835913909</v>
      </c>
      <c r="J431" s="8" t="n">
        <v>109.740701225659</v>
      </c>
      <c r="K431" s="9" t="inlineStr"/>
      <c r="L431" s="8" t="n">
        <v>107.356970480027</v>
      </c>
      <c r="M431" s="9" t="inlineStr"/>
      <c r="N431" s="8" t="n">
        <v>0.186666666666667</v>
      </c>
      <c r="O431" s="8" t="n">
        <v>-0.0066666666666666</v>
      </c>
      <c r="P431" s="8" t="n">
        <v>76.81999999999999</v>
      </c>
      <c r="Q431" s="9" t="inlineStr"/>
    </row>
    <row r="432" ht="19" customHeight="1">
      <c r="A432" s="6" t="inlineStr">
        <is>
          <t>Singapore</t>
        </is>
      </c>
      <c r="B432" s="10" t="n">
        <v>2010</v>
      </c>
      <c r="C432" s="10" t="n">
        <v>4</v>
      </c>
      <c r="D432" s="6" t="inlineStr">
        <is>
          <t>2010 Q4</t>
        </is>
      </c>
      <c r="E432" s="8" t="n">
        <v>88.7656666666667</v>
      </c>
      <c r="F432" s="9" t="inlineStr"/>
      <c r="G432" s="10" t="n">
        <v>0.913652107349372</v>
      </c>
      <c r="H432" s="8" t="n">
        <v>11.8788424589509</v>
      </c>
      <c r="I432" s="8" t="n">
        <v>9.228212922324889</v>
      </c>
      <c r="J432" s="8" t="n">
        <v>111.087461574039</v>
      </c>
      <c r="K432" s="9" t="inlineStr"/>
      <c r="L432" s="8" t="n">
        <v>124.608736829891</v>
      </c>
      <c r="M432" s="9" t="inlineStr"/>
      <c r="N432" s="8" t="n">
        <v>0.186666666666667</v>
      </c>
      <c r="O432" s="8" t="n">
        <v>0</v>
      </c>
      <c r="P432" s="8" t="n">
        <v>86.4666666666667</v>
      </c>
      <c r="Q432" s="9" t="inlineStr"/>
    </row>
    <row r="433" ht="19" customHeight="1">
      <c r="A433" s="6" t="inlineStr">
        <is>
          <t>Singapore</t>
        </is>
      </c>
      <c r="B433" s="10" t="n">
        <v>2011</v>
      </c>
      <c r="C433" s="10" t="n">
        <v>1</v>
      </c>
      <c r="D433" s="6" t="inlineStr">
        <is>
          <t>2011 Q1</t>
        </is>
      </c>
      <c r="E433" s="8" t="n">
        <v>90.40066666666669</v>
      </c>
      <c r="F433" s="10" t="n">
        <v>5.18024394500571</v>
      </c>
      <c r="G433" s="10" t="n">
        <v>1.84192837320736</v>
      </c>
      <c r="H433" s="8" t="n">
        <v>8.860658215169661</v>
      </c>
      <c r="I433" s="8" t="n">
        <v>9.95723388802508</v>
      </c>
      <c r="J433" s="8" t="n">
        <v>113.44692709045</v>
      </c>
      <c r="K433" s="8" t="n">
        <v>8.24523613834589</v>
      </c>
      <c r="L433" s="8" t="n">
        <v>121.875946057639</v>
      </c>
      <c r="M433" s="8" t="n">
        <v>22.8068276055313</v>
      </c>
      <c r="N433" s="8" t="n">
        <v>0.156666666666667</v>
      </c>
      <c r="O433" s="8" t="n">
        <v>-0.03</v>
      </c>
      <c r="P433" s="8" t="n">
        <v>104.96</v>
      </c>
      <c r="Q433" s="8" t="n">
        <v>37.6524590163934</v>
      </c>
    </row>
    <row r="434" ht="19" customHeight="1">
      <c r="A434" s="6" t="inlineStr">
        <is>
          <t>Singapore</t>
        </is>
      </c>
      <c r="B434" s="10" t="n">
        <v>2011</v>
      </c>
      <c r="C434" s="10" t="n">
        <v>2</v>
      </c>
      <c r="D434" s="6" t="inlineStr">
        <is>
          <t>2011 Q2</t>
        </is>
      </c>
      <c r="E434" s="8" t="n">
        <v>91.065</v>
      </c>
      <c r="F434" s="10" t="n">
        <v>4.7245754590409</v>
      </c>
      <c r="G434" s="10" t="n">
        <v>0.734876586455857</v>
      </c>
      <c r="H434" s="8" t="n">
        <v>6.59509595655449</v>
      </c>
      <c r="I434" s="8" t="n">
        <v>10.2612003669535</v>
      </c>
      <c r="J434" s="8" t="n">
        <v>114.772804377246</v>
      </c>
      <c r="K434" s="8" t="n">
        <v>5.79169876090873</v>
      </c>
      <c r="L434" s="8" t="n">
        <v>122.00081812372</v>
      </c>
      <c r="M434" s="8" t="n">
        <v>26.4277329152819</v>
      </c>
      <c r="N434" s="8" t="n">
        <v>0.0933333333333333</v>
      </c>
      <c r="O434" s="8" t="n">
        <v>-0.0633333333333333</v>
      </c>
      <c r="P434" s="8" t="n">
        <v>117.36</v>
      </c>
      <c r="Q434" s="8" t="n">
        <v>49.4841421474971</v>
      </c>
    </row>
    <row r="435" ht="19" customHeight="1">
      <c r="A435" s="6" t="inlineStr">
        <is>
          <t>Singapore</t>
        </is>
      </c>
      <c r="B435" s="10" t="n">
        <v>2011</v>
      </c>
      <c r="C435" s="10" t="n">
        <v>3</v>
      </c>
      <c r="D435" s="6" t="inlineStr">
        <is>
          <t>2011 Q3</t>
        </is>
      </c>
      <c r="E435" s="8" t="n">
        <v>92.83466666666671</v>
      </c>
      <c r="F435" s="10" t="n">
        <v>5.53951327467164</v>
      </c>
      <c r="G435" s="10" t="n">
        <v>1.9433005728509</v>
      </c>
      <c r="H435" s="8" t="n">
        <v>5.08215341747502</v>
      </c>
      <c r="I435" s="8" t="n">
        <v>10.1401126630628</v>
      </c>
      <c r="J435" s="8" t="n">
        <v>117.192589431241</v>
      </c>
      <c r="K435" s="8" t="n">
        <v>6.79045069181656</v>
      </c>
      <c r="L435" s="8" t="n">
        <v>118.888757234176</v>
      </c>
      <c r="M435" s="8" t="n">
        <v>10.7415351817278</v>
      </c>
      <c r="N435" s="8" t="n">
        <v>0.0833333333333333</v>
      </c>
      <c r="O435" s="8" t="n">
        <v>-0.01</v>
      </c>
      <c r="P435" s="8" t="n">
        <v>113.34</v>
      </c>
      <c r="Q435" s="8" t="n">
        <v>47.5397032022911</v>
      </c>
    </row>
    <row r="436" ht="19" customHeight="1">
      <c r="A436" s="6" t="inlineStr">
        <is>
          <t>Singapore</t>
        </is>
      </c>
      <c r="B436" s="10" t="n">
        <v>2011</v>
      </c>
      <c r="C436" s="10" t="n">
        <v>4</v>
      </c>
      <c r="D436" s="6" t="inlineStr">
        <is>
          <t>2011 Q4</t>
        </is>
      </c>
      <c r="E436" s="8" t="n">
        <v>93.68033333333329</v>
      </c>
      <c r="F436" s="10" t="n">
        <v>5.53667521601822</v>
      </c>
      <c r="G436" s="10" t="n">
        <v>0.910938442535847</v>
      </c>
      <c r="H436" s="8" t="n">
        <v>4.32182908509772</v>
      </c>
      <c r="I436" s="8" t="n">
        <v>9.593970655303041</v>
      </c>
      <c r="J436" s="8" t="n">
        <v>114.808604812319</v>
      </c>
      <c r="K436" s="8" t="n">
        <v>3.34974189305735</v>
      </c>
      <c r="L436" s="8" t="n">
        <v>112.174119298219</v>
      </c>
      <c r="M436" s="8" t="n">
        <v>-9.978929124887189</v>
      </c>
      <c r="N436" s="8" t="n">
        <v>0.07333333333333331</v>
      </c>
      <c r="O436" s="8" t="n">
        <v>-0.01</v>
      </c>
      <c r="P436" s="8" t="n">
        <v>109.396666666667</v>
      </c>
      <c r="Q436" s="8" t="n">
        <v>26.5188897455667</v>
      </c>
    </row>
    <row r="437" ht="19" customHeight="1">
      <c r="A437" s="6" t="inlineStr">
        <is>
          <t>Singapore</t>
        </is>
      </c>
      <c r="B437" s="10" t="n">
        <v>2012</v>
      </c>
      <c r="C437" s="10" t="n">
        <v>1</v>
      </c>
      <c r="D437" s="6" t="inlineStr">
        <is>
          <t>2012 Q1</t>
        </is>
      </c>
      <c r="E437" s="8" t="n">
        <v>94.8153333333333</v>
      </c>
      <c r="F437" s="10" t="n">
        <v>4.88344481235388</v>
      </c>
      <c r="G437" s="10" t="n">
        <v>1.21156699556291</v>
      </c>
      <c r="H437" s="8" t="n">
        <v>4.31412219900292</v>
      </c>
      <c r="I437" s="8" t="n">
        <v>8.622773797504509</v>
      </c>
      <c r="J437" s="8" t="n">
        <v>117.828786238105</v>
      </c>
      <c r="K437" s="8" t="n">
        <v>3.86247495638314</v>
      </c>
      <c r="L437" s="8" t="n">
        <v>112.921025549072</v>
      </c>
      <c r="M437" s="8" t="n">
        <v>-7.3475700482622</v>
      </c>
      <c r="N437" s="8" t="n">
        <v>0.103333333333333</v>
      </c>
      <c r="O437" s="8" t="n">
        <v>0.03</v>
      </c>
      <c r="P437" s="8" t="n">
        <v>118.49</v>
      </c>
      <c r="Q437" s="8" t="n">
        <v>12.890625</v>
      </c>
    </row>
    <row r="438" ht="19" customHeight="1">
      <c r="A438" s="6" t="inlineStr">
        <is>
          <t>Singapore</t>
        </is>
      </c>
      <c r="B438" s="10" t="n">
        <v>2012</v>
      </c>
      <c r="C438" s="10" t="n">
        <v>2</v>
      </c>
      <c r="D438" s="6" t="inlineStr">
        <is>
          <t>2012 Q2</t>
        </is>
      </c>
      <c r="E438" s="8" t="n">
        <v>95.85299999999999</v>
      </c>
      <c r="F438" s="10" t="n">
        <v>5.25778290232253</v>
      </c>
      <c r="G438" s="10" t="n">
        <v>1.09440807745584</v>
      </c>
      <c r="H438" s="8" t="n">
        <v>4.35958957444045</v>
      </c>
      <c r="I438" s="8" t="n">
        <v>7.6753089614702</v>
      </c>
      <c r="J438" s="8" t="n">
        <v>120.33613489321</v>
      </c>
      <c r="K438" s="8" t="n">
        <v>4.84725501494012</v>
      </c>
      <c r="L438" s="8" t="n">
        <v>108.674540730789</v>
      </c>
      <c r="M438" s="8" t="n">
        <v>-10.9231049413272</v>
      </c>
      <c r="N438" s="8" t="n">
        <v>0.153333333333333</v>
      </c>
      <c r="O438" s="8" t="n">
        <v>0.05</v>
      </c>
      <c r="P438" s="8" t="n">
        <v>108.416666666667</v>
      </c>
      <c r="Q438" s="8" t="n">
        <v>-7.6204271756419</v>
      </c>
    </row>
    <row r="439" ht="19" customHeight="1">
      <c r="A439" s="6" t="inlineStr">
        <is>
          <t>Singapore</t>
        </is>
      </c>
      <c r="B439" s="10" t="n">
        <v>2012</v>
      </c>
      <c r="C439" s="10" t="n">
        <v>3</v>
      </c>
      <c r="D439" s="6" t="inlineStr">
        <is>
          <t>2012 Q3</t>
        </is>
      </c>
      <c r="E439" s="8" t="n">
        <v>96.7293333333333</v>
      </c>
      <c r="F439" s="10" t="n">
        <v>4.1952718811938</v>
      </c>
      <c r="G439" s="10" t="n">
        <v>0.91424716319084</v>
      </c>
      <c r="H439" s="8" t="n">
        <v>4.45823125684445</v>
      </c>
      <c r="I439" s="8" t="n">
        <v>6.75157519970182</v>
      </c>
      <c r="J439" s="8" t="n">
        <v>122.507874351232</v>
      </c>
      <c r="K439" s="8" t="n">
        <v>4.53551282191742</v>
      </c>
      <c r="L439" s="8" t="n">
        <v>112.021404013206</v>
      </c>
      <c r="M439" s="8" t="n">
        <v>-5.77628480668088</v>
      </c>
      <c r="N439" s="8" t="n">
        <v>0.143333333333333</v>
      </c>
      <c r="O439" s="8" t="n">
        <v>-0.01</v>
      </c>
      <c r="P439" s="8" t="n">
        <v>109.613333333333</v>
      </c>
      <c r="Q439" s="8" t="n">
        <v>-3.28804187988943</v>
      </c>
    </row>
    <row r="440" ht="19" customHeight="1">
      <c r="A440" s="6" t="inlineStr">
        <is>
          <t>Singapore</t>
        </is>
      </c>
      <c r="B440" s="10" t="n">
        <v>2012</v>
      </c>
      <c r="C440" s="10" t="n">
        <v>4</v>
      </c>
      <c r="D440" s="6" t="inlineStr">
        <is>
          <t>2012 Q4</t>
        </is>
      </c>
      <c r="E440" s="8" t="n">
        <v>97.4203333333333</v>
      </c>
      <c r="F440" s="10" t="n">
        <v>3.99230005586373</v>
      </c>
      <c r="G440" s="10" t="n">
        <v>0.714364480957186</v>
      </c>
      <c r="H440" s="8" t="n">
        <v>4.61004734488074</v>
      </c>
      <c r="I440" s="8" t="n">
        <v>5.85157158854532</v>
      </c>
      <c r="J440" s="8" t="n">
        <v>124.151738289872</v>
      </c>
      <c r="K440" s="8" t="n">
        <v>8.13800802895126</v>
      </c>
      <c r="L440" s="8" t="n">
        <v>112.043606667623</v>
      </c>
      <c r="M440" s="8" t="n">
        <v>-0.116348255206267</v>
      </c>
      <c r="N440" s="8" t="n">
        <v>0.16</v>
      </c>
      <c r="O440" s="8" t="n">
        <v>0.0166666666666667</v>
      </c>
      <c r="P440" s="8" t="n">
        <v>110.086666666667</v>
      </c>
      <c r="Q440" s="8" t="n">
        <v>0.630732197812245</v>
      </c>
    </row>
    <row r="441" ht="19" customHeight="1">
      <c r="A441" s="6" t="inlineStr">
        <is>
          <t>Singapore</t>
        </is>
      </c>
      <c r="B441" s="10" t="n">
        <v>2013</v>
      </c>
      <c r="C441" s="10" t="n">
        <v>1</v>
      </c>
      <c r="D441" s="6" t="inlineStr">
        <is>
          <t>2013 Q1</t>
        </is>
      </c>
      <c r="E441" s="8" t="n">
        <v>98.6006666666667</v>
      </c>
      <c r="F441" s="10" t="n">
        <v>3.99232191698953</v>
      </c>
      <c r="G441" s="10" t="n">
        <v>1.21158827212664</v>
      </c>
      <c r="H441" s="8" t="n">
        <v>4.81503799038404</v>
      </c>
      <c r="I441" s="8" t="n">
        <v>4.9752972278821</v>
      </c>
      <c r="J441" s="8" t="n">
        <v>125.445975038906</v>
      </c>
      <c r="K441" s="8" t="n">
        <v>6.46462468467401</v>
      </c>
      <c r="L441" s="8" t="n">
        <v>112.344264317549</v>
      </c>
      <c r="M441" s="8" t="n">
        <v>-0.510765137598079</v>
      </c>
      <c r="N441" s="8" t="n">
        <v>0.143333333333333</v>
      </c>
      <c r="O441" s="8" t="n">
        <v>-0.0166666666666667</v>
      </c>
      <c r="P441" s="8" t="n">
        <v>112.493333333333</v>
      </c>
      <c r="Q441" s="8" t="n">
        <v>-5.06090528033308</v>
      </c>
    </row>
    <row r="442" ht="19" customHeight="1">
      <c r="A442" s="6" t="inlineStr">
        <is>
          <t>Singapore</t>
        </is>
      </c>
      <c r="B442" s="10" t="n">
        <v>2013</v>
      </c>
      <c r="C442" s="10" t="n">
        <v>2</v>
      </c>
      <c r="D442" s="6" t="inlineStr">
        <is>
          <t>2013 Q2</t>
        </is>
      </c>
      <c r="E442" s="8" t="n">
        <v>97.4083333333333</v>
      </c>
      <c r="F442" s="10" t="n">
        <v>1.62262353117097</v>
      </c>
      <c r="G442" s="10" t="n">
        <v>-1.20925483938581</v>
      </c>
      <c r="H442" s="8" t="n">
        <v>4.89807141957799</v>
      </c>
      <c r="I442" s="8" t="n">
        <v>4.36093158324164</v>
      </c>
      <c r="J442" s="8" t="n">
        <v>124.843687089308</v>
      </c>
      <c r="K442" s="8" t="n">
        <v>3.74580104313542</v>
      </c>
      <c r="L442" s="8" t="n">
        <v>111.205746192615</v>
      </c>
      <c r="M442" s="8" t="n">
        <v>2.32916140689856</v>
      </c>
      <c r="N442" s="8" t="n">
        <v>0.116666666666667</v>
      </c>
      <c r="O442" s="8" t="n">
        <v>-0.0266666666666667</v>
      </c>
      <c r="P442" s="8" t="n">
        <v>102.576666666667</v>
      </c>
      <c r="Q442" s="8" t="n">
        <v>-5.38662567255957</v>
      </c>
    </row>
    <row r="443" ht="19" customHeight="1">
      <c r="A443" s="6" t="inlineStr">
        <is>
          <t>Singapore</t>
        </is>
      </c>
      <c r="B443" s="10" t="n">
        <v>2013</v>
      </c>
      <c r="C443" s="10" t="n">
        <v>3</v>
      </c>
      <c r="D443" s="6" t="inlineStr">
        <is>
          <t>2013 Q3</t>
        </is>
      </c>
      <c r="E443" s="8" t="n">
        <v>98.504</v>
      </c>
      <c r="F443" s="10" t="n">
        <v>1.8346726949426</v>
      </c>
      <c r="G443" s="10" t="n">
        <v>1.12481820515016</v>
      </c>
      <c r="H443" s="8" t="n">
        <v>4.85914771554374</v>
      </c>
      <c r="I443" s="8" t="n">
        <v>4.00847404023723</v>
      </c>
      <c r="J443" s="8" t="n">
        <v>124.636894731972</v>
      </c>
      <c r="K443" s="8" t="n">
        <v>1.73786411038059</v>
      </c>
      <c r="L443" s="8" t="n">
        <v>106.517639660823</v>
      </c>
      <c r="M443" s="8" t="n">
        <v>-4.91313637859304</v>
      </c>
      <c r="N443" s="8" t="n">
        <v>0.0833333333333333</v>
      </c>
      <c r="O443" s="8" t="n">
        <v>-0.0333333333333333</v>
      </c>
      <c r="P443" s="8" t="n">
        <v>110.27</v>
      </c>
      <c r="Q443" s="8" t="n">
        <v>0.599075538255689</v>
      </c>
    </row>
    <row r="444" ht="19" customHeight="1">
      <c r="A444" s="6" t="inlineStr">
        <is>
          <t>Singapore</t>
        </is>
      </c>
      <c r="B444" s="10" t="n">
        <v>2013</v>
      </c>
      <c r="C444" s="10" t="n">
        <v>4</v>
      </c>
      <c r="D444" s="6" t="inlineStr">
        <is>
          <t>2013 Q4</t>
        </is>
      </c>
      <c r="E444" s="8" t="n">
        <v>99.3813333333333</v>
      </c>
      <c r="F444" s="10" t="n">
        <v>2.0129268017286</v>
      </c>
      <c r="G444" s="10" t="n">
        <v>0.890657570589348</v>
      </c>
      <c r="H444" s="8" t="n">
        <v>4.69826683932992</v>
      </c>
      <c r="I444" s="8" t="n">
        <v>3.91792424635386</v>
      </c>
      <c r="J444" s="8" t="n">
        <v>126.206693550692</v>
      </c>
      <c r="K444" s="8" t="n">
        <v>1.65519652735104</v>
      </c>
      <c r="L444" s="8" t="n">
        <v>108.042368791302</v>
      </c>
      <c r="M444" s="8" t="n">
        <v>-3.57114341043118</v>
      </c>
      <c r="N444" s="8" t="n">
        <v>0.0866666666666667</v>
      </c>
      <c r="O444" s="8" t="n">
        <v>0.0033333333333333</v>
      </c>
      <c r="P444" s="8" t="n">
        <v>109.21</v>
      </c>
      <c r="Q444" s="8" t="n">
        <v>-0.796342275782702</v>
      </c>
    </row>
    <row r="445" ht="19" customHeight="1">
      <c r="A445" s="6" t="inlineStr">
        <is>
          <t>Singapore</t>
        </is>
      </c>
      <c r="B445" s="10" t="n">
        <v>2014</v>
      </c>
      <c r="C445" s="10" t="n">
        <v>1</v>
      </c>
      <c r="D445" s="6" t="inlineStr">
        <is>
          <t>2014 Q1</t>
        </is>
      </c>
      <c r="E445" s="8" t="n">
        <v>99.5796666666667</v>
      </c>
      <c r="F445" s="10" t="n">
        <v>0.992893895240732</v>
      </c>
      <c r="G445" s="10" t="n">
        <v>0.19956799398948</v>
      </c>
      <c r="H445" s="8" t="n">
        <v>4.41542863008001</v>
      </c>
      <c r="I445" s="8" t="n">
        <v>4.08928211110333</v>
      </c>
      <c r="J445" s="8" t="n">
        <v>124.965663028207</v>
      </c>
      <c r="K445" s="8" t="n">
        <v>-0.382883556486591</v>
      </c>
      <c r="L445" s="8" t="n">
        <v>109.985285302654</v>
      </c>
      <c r="M445" s="8" t="n">
        <v>-2.09977699282194</v>
      </c>
      <c r="N445" s="8" t="n">
        <v>0.07333333333333331</v>
      </c>
      <c r="O445" s="8" t="n">
        <v>-0.0133333333333333</v>
      </c>
      <c r="P445" s="8" t="n">
        <v>108.166666666667</v>
      </c>
      <c r="Q445" s="8" t="n">
        <v>-3.84615384615383</v>
      </c>
    </row>
    <row r="446" ht="19" customHeight="1">
      <c r="A446" s="6" t="inlineStr">
        <is>
          <t>Singapore</t>
        </is>
      </c>
      <c r="B446" s="10" t="n">
        <v>2014</v>
      </c>
      <c r="C446" s="10" t="n">
        <v>2</v>
      </c>
      <c r="D446" s="6" t="inlineStr">
        <is>
          <t>2014 Q2</t>
        </is>
      </c>
      <c r="E446" s="8" t="n">
        <v>99.5086666666667</v>
      </c>
      <c r="F446" s="10" t="n">
        <v>2.15621524510223</v>
      </c>
      <c r="G446" s="10" t="n">
        <v>-0.0712996963904922</v>
      </c>
      <c r="H446" s="8" t="n">
        <v>4.11033815993858</v>
      </c>
      <c r="I446" s="8" t="n">
        <v>3.85480169898665</v>
      </c>
      <c r="J446" s="8" t="n">
        <v>124.855446504303</v>
      </c>
      <c r="K446" s="8" t="n">
        <v>0.009419310875125</v>
      </c>
      <c r="L446" s="8" t="n">
        <v>111.498689744988</v>
      </c>
      <c r="M446" s="8" t="n">
        <v>0.26342483406061</v>
      </c>
      <c r="N446" s="8" t="n">
        <v>0.0933333333333333</v>
      </c>
      <c r="O446" s="8" t="n">
        <v>0.02</v>
      </c>
      <c r="P446" s="8" t="n">
        <v>109.7</v>
      </c>
      <c r="Q446" s="8" t="n">
        <v>6.94439931108439</v>
      </c>
    </row>
    <row r="447" ht="19" customHeight="1">
      <c r="A447" s="6" t="inlineStr">
        <is>
          <t>Singapore</t>
        </is>
      </c>
      <c r="B447" s="10" t="n">
        <v>2014</v>
      </c>
      <c r="C447" s="10" t="n">
        <v>3</v>
      </c>
      <c r="D447" s="6" t="inlineStr">
        <is>
          <t>2014 Q3</t>
        </is>
      </c>
      <c r="E447" s="8" t="n">
        <v>99.5026666666667</v>
      </c>
      <c r="F447" s="10" t="n">
        <v>1.01383361758576</v>
      </c>
      <c r="G447" s="10" t="n">
        <v>-0.0060296255602554</v>
      </c>
      <c r="H447" s="8" t="n">
        <v>3.78299512388304</v>
      </c>
      <c r="I447" s="8" t="n">
        <v>3.21448277555395</v>
      </c>
      <c r="J447" s="8" t="n">
        <v>125.536046383159</v>
      </c>
      <c r="K447" s="8" t="n">
        <v>0.721416923231755</v>
      </c>
      <c r="L447" s="8" t="n">
        <v>104.211407968198</v>
      </c>
      <c r="M447" s="8" t="n">
        <v>-2.16511715802957</v>
      </c>
      <c r="N447" s="8" t="n">
        <v>0.09</v>
      </c>
      <c r="O447" s="8" t="n">
        <v>-0.0033333333333333</v>
      </c>
      <c r="P447" s="8" t="n">
        <v>101.823333333333</v>
      </c>
      <c r="Q447" s="8" t="n">
        <v>-7.65998609473715</v>
      </c>
    </row>
    <row r="448" ht="19" customHeight="1">
      <c r="A448" s="6" t="inlineStr">
        <is>
          <t>Singapore</t>
        </is>
      </c>
      <c r="B448" s="10" t="n">
        <v>2014</v>
      </c>
      <c r="C448" s="10" t="n">
        <v>4</v>
      </c>
      <c r="D448" s="6" t="inlineStr">
        <is>
          <t>2014 Q4</t>
        </is>
      </c>
      <c r="E448" s="8" t="n">
        <v>99.3413333333333</v>
      </c>
      <c r="F448" s="10" t="n">
        <v>-0.040249007191151</v>
      </c>
      <c r="G448" s="10" t="n">
        <v>-0.162139708148523</v>
      </c>
      <c r="H448" s="8" t="n">
        <v>3.43339919446602</v>
      </c>
      <c r="I448" s="8" t="n">
        <v>2.16832470037293</v>
      </c>
      <c r="J448" s="8" t="n">
        <v>125.991014263641</v>
      </c>
      <c r="K448" s="8" t="n">
        <v>-0.170893699045227</v>
      </c>
      <c r="L448" s="8" t="n">
        <v>99.4046630544031</v>
      </c>
      <c r="M448" s="8" t="n">
        <v>-7.9947393171137</v>
      </c>
      <c r="N448" s="8" t="n">
        <v>0.1</v>
      </c>
      <c r="O448" s="8" t="n">
        <v>0.01</v>
      </c>
      <c r="P448" s="8" t="n">
        <v>76.40333333333329</v>
      </c>
      <c r="Q448" s="8" t="n">
        <v>-30.0399841284376</v>
      </c>
    </row>
    <row r="449" ht="19" customHeight="1">
      <c r="A449" s="6" t="inlineStr">
        <is>
          <t>Singapore</t>
        </is>
      </c>
      <c r="B449" s="10" t="n">
        <v>2015</v>
      </c>
      <c r="C449" s="10" t="n">
        <v>1</v>
      </c>
      <c r="D449" s="6" t="inlineStr">
        <is>
          <t>2015 Q1</t>
        </is>
      </c>
      <c r="E449" s="8" t="n">
        <v>99.258</v>
      </c>
      <c r="F449" s="10" t="n">
        <v>-0.323024446088394</v>
      </c>
      <c r="G449" s="10" t="n">
        <v>-0.08388586154136619</v>
      </c>
      <c r="H449" s="8" t="n">
        <v>3.06155002217855</v>
      </c>
      <c r="I449" s="8" t="n">
        <v>0.716326427402953</v>
      </c>
      <c r="J449" s="8" t="n">
        <v>125.103274918948</v>
      </c>
      <c r="K449" s="8" t="n">
        <v>0.110119762025773</v>
      </c>
      <c r="L449" s="8" t="n">
        <v>100.657732001964</v>
      </c>
      <c r="M449" s="8" t="n">
        <v>-8.4807283765489</v>
      </c>
      <c r="N449" s="8" t="n">
        <v>0.11</v>
      </c>
      <c r="O449" s="8" t="n">
        <v>0.01</v>
      </c>
      <c r="P449" s="8" t="n">
        <v>53.9166666666667</v>
      </c>
      <c r="Q449" s="8" t="n">
        <v>-50.1540832049307</v>
      </c>
    </row>
    <row r="450" ht="19" customHeight="1">
      <c r="A450" s="6" t="inlineStr">
        <is>
          <t>Singapore</t>
        </is>
      </c>
      <c r="B450" s="10" t="n">
        <v>2015</v>
      </c>
      <c r="C450" s="10" t="n">
        <v>2</v>
      </c>
      <c r="D450" s="6" t="inlineStr">
        <is>
          <t>2015 Q2</t>
        </is>
      </c>
      <c r="E450" s="8" t="n">
        <v>99.093</v>
      </c>
      <c r="F450" s="10" t="n">
        <v>-0.417719059646393</v>
      </c>
      <c r="G450" s="10" t="n">
        <v>-0.166233452215425</v>
      </c>
      <c r="H450" s="8" t="n">
        <v>2.87891014332129</v>
      </c>
      <c r="I450" s="8" t="n">
        <v>0.458592894437492</v>
      </c>
      <c r="J450" s="8" t="n">
        <v>126.542773213926</v>
      </c>
      <c r="K450" s="8" t="n">
        <v>1.35142419242775</v>
      </c>
      <c r="L450" s="8" t="n">
        <v>96.8474817130345</v>
      </c>
      <c r="M450" s="8" t="n">
        <v>-13.1402513029193</v>
      </c>
      <c r="N450" s="8" t="n">
        <v>0.123333333333333</v>
      </c>
      <c r="O450" s="8" t="n">
        <v>0.0133333333333333</v>
      </c>
      <c r="P450" s="8" t="n">
        <v>61.6933333333333</v>
      </c>
      <c r="Q450" s="8" t="n">
        <v>-43.761774536615</v>
      </c>
    </row>
    <row r="451" ht="19" customHeight="1">
      <c r="A451" s="6" t="inlineStr">
        <is>
          <t>Singapore</t>
        </is>
      </c>
      <c r="B451" s="10" t="n">
        <v>2015</v>
      </c>
      <c r="C451" s="10" t="n">
        <v>3</v>
      </c>
      <c r="D451" s="6" t="inlineStr">
        <is>
          <t>2015 Q3</t>
        </is>
      </c>
      <c r="E451" s="8" t="n">
        <v>98.8803333333333</v>
      </c>
      <c r="F451" s="10" t="n">
        <v>-0.625443874201026</v>
      </c>
      <c r="G451" s="10" t="n">
        <v>-0.214613208467462</v>
      </c>
      <c r="H451" s="8" t="n">
        <v>2.88547937529819</v>
      </c>
      <c r="I451" s="8" t="n">
        <v>1.39512384379276</v>
      </c>
      <c r="J451" s="8" t="n">
        <v>124.123158343851</v>
      </c>
      <c r="K451" s="8" t="n">
        <v>-1.12548393868981</v>
      </c>
      <c r="L451" s="8" t="n">
        <v>92.7459060049042</v>
      </c>
      <c r="M451" s="8" t="n">
        <v>-11.002156277164</v>
      </c>
      <c r="N451" s="8" t="n">
        <v>0.136666666666667</v>
      </c>
      <c r="O451" s="8" t="n">
        <v>0.0133333333333333</v>
      </c>
      <c r="P451" s="8" t="n">
        <v>50.2333333333333</v>
      </c>
      <c r="Q451" s="8" t="n">
        <v>-50.666186532229</v>
      </c>
    </row>
    <row r="452" ht="19" customHeight="1">
      <c r="A452" s="6" t="inlineStr">
        <is>
          <t>Singapore</t>
        </is>
      </c>
      <c r="B452" s="10" t="n">
        <v>2015</v>
      </c>
      <c r="C452" s="10" t="n">
        <v>4</v>
      </c>
      <c r="D452" s="6" t="inlineStr">
        <is>
          <t>2015 Q4</t>
        </is>
      </c>
      <c r="E452" s="8" t="n">
        <v>98.6213333333333</v>
      </c>
      <c r="F452" s="10" t="n">
        <v>-0.724773843717297</v>
      </c>
      <c r="G452" s="10" t="n">
        <v>-0.261932773959106</v>
      </c>
      <c r="H452" s="8" t="n">
        <v>3.08125772463792</v>
      </c>
      <c r="I452" s="8" t="n">
        <v>3.5259202119911</v>
      </c>
      <c r="J452" s="8" t="n">
        <v>123.580780908244</v>
      </c>
      <c r="K452" s="8" t="n">
        <v>-1.91302004312258</v>
      </c>
      <c r="L452" s="8" t="n">
        <v>90.3005619231251</v>
      </c>
      <c r="M452" s="8" t="n">
        <v>-9.15862581446042</v>
      </c>
      <c r="N452" s="8" t="n">
        <v>0.16</v>
      </c>
      <c r="O452" s="8" t="n">
        <v>0.0233333333333333</v>
      </c>
      <c r="P452" s="8" t="n">
        <v>43.57</v>
      </c>
      <c r="Q452" s="8" t="n">
        <v>-42.9736922472842</v>
      </c>
    </row>
    <row r="453" ht="19" customHeight="1">
      <c r="A453" s="6" t="inlineStr">
        <is>
          <t>Singapore</t>
        </is>
      </c>
      <c r="B453" s="10" t="n">
        <v>2016</v>
      </c>
      <c r="C453" s="10" t="n">
        <v>1</v>
      </c>
      <c r="D453" s="6" t="inlineStr">
        <is>
          <t>2016 Q1</t>
        </is>
      </c>
      <c r="E453" s="8" t="n">
        <v>98.4223333333333</v>
      </c>
      <c r="F453" s="10" t="n">
        <v>-0.841913666068894</v>
      </c>
      <c r="G453" s="10" t="n">
        <v>-0.201781899791798</v>
      </c>
      <c r="H453" s="8" t="n">
        <v>3.46624538716847</v>
      </c>
      <c r="I453" s="8" t="n">
        <v>6.85098412977097</v>
      </c>
      <c r="J453" s="8" t="n">
        <v>123.18741556723</v>
      </c>
      <c r="K453" s="8" t="n">
        <v>-1.53142222132792</v>
      </c>
      <c r="L453" s="8" t="n">
        <v>91.66230580090431</v>
      </c>
      <c r="M453" s="8" t="n">
        <v>-8.936647013747329</v>
      </c>
      <c r="N453" s="8" t="n">
        <v>0.36</v>
      </c>
      <c r="O453" s="8" t="n">
        <v>0.2</v>
      </c>
      <c r="P453" s="8" t="n">
        <v>33.6966666666667</v>
      </c>
      <c r="Q453" s="8" t="n">
        <v>-37.5023183925811</v>
      </c>
    </row>
    <row r="454" ht="19" customHeight="1">
      <c r="A454" s="6" t="inlineStr">
        <is>
          <t>Singapore</t>
        </is>
      </c>
      <c r="B454" s="10" t="n">
        <v>2016</v>
      </c>
      <c r="C454" s="10" t="n">
        <v>2</v>
      </c>
      <c r="D454" s="6" t="inlineStr">
        <is>
          <t>2016 Q2</t>
        </is>
      </c>
      <c r="E454" s="8" t="n">
        <v>98.1793333333333</v>
      </c>
      <c r="F454" s="10" t="n">
        <v>-0.922029473995811</v>
      </c>
      <c r="G454" s="10" t="n">
        <v>-0.246895183003848</v>
      </c>
      <c r="H454" s="8" t="n">
        <v>3.79812336196791</v>
      </c>
      <c r="I454" s="8" t="n">
        <v>8.65818225211981</v>
      </c>
      <c r="J454" s="8" t="n">
        <v>123.636358020705</v>
      </c>
      <c r="K454" s="8" t="n">
        <v>-2.29678480991374</v>
      </c>
      <c r="L454" s="8" t="n">
        <v>96.9846126235507</v>
      </c>
      <c r="M454" s="8" t="n">
        <v>0.141594709630688</v>
      </c>
      <c r="N454" s="8" t="n">
        <v>0.373333333333333</v>
      </c>
      <c r="O454" s="8" t="n">
        <v>0.0133333333333334</v>
      </c>
      <c r="P454" s="8" t="n">
        <v>45.5233333333333</v>
      </c>
      <c r="Q454" s="8" t="n">
        <v>-26.2102874432678</v>
      </c>
    </row>
    <row r="455" ht="19" customHeight="1">
      <c r="A455" s="6" t="inlineStr">
        <is>
          <t>Singapore</t>
        </is>
      </c>
      <c r="B455" s="10" t="n">
        <v>2016</v>
      </c>
      <c r="C455" s="10" t="n">
        <v>3</v>
      </c>
      <c r="D455" s="6" t="inlineStr">
        <is>
          <t>2016 Q3</t>
        </is>
      </c>
      <c r="E455" s="8" t="n">
        <v>98.49866666666669</v>
      </c>
      <c r="F455" s="10" t="n">
        <v>-0.385988450686192</v>
      </c>
      <c r="G455" s="10" t="n">
        <v>0.32525514534627</v>
      </c>
      <c r="H455" s="8" t="n">
        <v>4.07689198094705</v>
      </c>
      <c r="I455" s="8" t="n">
        <v>8.94751638623562</v>
      </c>
      <c r="J455" s="8" t="n">
        <v>123.548281756393</v>
      </c>
      <c r="K455" s="8" t="n">
        <v>-0.463150144685531</v>
      </c>
      <c r="L455" s="8" t="n">
        <v>100.864699533998</v>
      </c>
      <c r="M455" s="8" t="n">
        <v>8.75380259767431</v>
      </c>
      <c r="N455" s="8" t="n">
        <v>0.396666666666667</v>
      </c>
      <c r="O455" s="8" t="n">
        <v>0.0233333333333333</v>
      </c>
      <c r="P455" s="8" t="n">
        <v>45.7866666666667</v>
      </c>
      <c r="Q455" s="8" t="n">
        <v>-8.852023888520231</v>
      </c>
    </row>
    <row r="456" ht="19" customHeight="1">
      <c r="A456" s="6" t="inlineStr">
        <is>
          <t>Singapore</t>
        </is>
      </c>
      <c r="B456" s="10" t="n">
        <v>2016</v>
      </c>
      <c r="C456" s="10" t="n">
        <v>4</v>
      </c>
      <c r="D456" s="6" t="inlineStr">
        <is>
          <t>2016 Q4</t>
        </is>
      </c>
      <c r="E456" s="8" t="n">
        <v>98.6453333333333</v>
      </c>
      <c r="F456" s="10" t="n">
        <v>0.0243355055025374</v>
      </c>
      <c r="G456" s="10" t="n">
        <v>0.148902184801147</v>
      </c>
      <c r="H456" s="8" t="n">
        <v>4.30255152281413</v>
      </c>
      <c r="I456" s="8" t="n">
        <v>7.71898682147112</v>
      </c>
      <c r="J456" s="8" t="n">
        <v>121.431843349797</v>
      </c>
      <c r="K456" s="8" t="n">
        <v>-1.73889300800139</v>
      </c>
      <c r="L456" s="8" t="n">
        <v>101.835604997953</v>
      </c>
      <c r="M456" s="8" t="n">
        <v>12.7740545896579</v>
      </c>
      <c r="N456" s="8" t="n">
        <v>0.45</v>
      </c>
      <c r="O456" s="8" t="n">
        <v>0.0533333333333333</v>
      </c>
      <c r="P456" s="8" t="n">
        <v>49.1866666666667</v>
      </c>
      <c r="Q456" s="8" t="n">
        <v>12.8911330426134</v>
      </c>
    </row>
    <row r="457" ht="19" customHeight="1">
      <c r="A457" s="6" t="inlineStr">
        <is>
          <t>Singapore</t>
        </is>
      </c>
      <c r="B457" s="10" t="n">
        <v>2017</v>
      </c>
      <c r="C457" s="10" t="n">
        <v>1</v>
      </c>
      <c r="D457" s="6" t="inlineStr">
        <is>
          <t>2017 Q1</t>
        </is>
      </c>
      <c r="E457" s="8" t="n">
        <v>99.03766666666669</v>
      </c>
      <c r="F457" s="10" t="n">
        <v>0.625196855727195</v>
      </c>
      <c r="G457" s="10" t="n">
        <v>0.397721128892736</v>
      </c>
      <c r="H457" s="8" t="n">
        <v>4.47510221328366</v>
      </c>
      <c r="I457" s="8" t="n">
        <v>4.97259232923329</v>
      </c>
      <c r="J457" s="8" t="n">
        <v>121.669312680992</v>
      </c>
      <c r="K457" s="8" t="n">
        <v>-1.23235224900811</v>
      </c>
      <c r="L457" s="8" t="n">
        <v>100.125779631695</v>
      </c>
      <c r="M457" s="8" t="n">
        <v>9.23331980015236</v>
      </c>
      <c r="N457" s="8" t="n">
        <v>0.7</v>
      </c>
      <c r="O457" s="8" t="n">
        <v>0.25</v>
      </c>
      <c r="P457" s="8" t="n">
        <v>53.68</v>
      </c>
      <c r="Q457" s="8" t="n">
        <v>59.30359085963</v>
      </c>
    </row>
    <row r="458" ht="19" customHeight="1">
      <c r="A458" s="6" t="inlineStr">
        <is>
          <t>Singapore</t>
        </is>
      </c>
      <c r="B458" s="10" t="n">
        <v>2017</v>
      </c>
      <c r="C458" s="10" t="n">
        <v>2</v>
      </c>
      <c r="D458" s="6" t="inlineStr">
        <is>
          <t>2017 Q2</t>
        </is>
      </c>
      <c r="E458" s="8" t="n">
        <v>98.93866666666671</v>
      </c>
      <c r="F458" s="10" t="n">
        <v>0.773414635802516</v>
      </c>
      <c r="G458" s="10" t="n">
        <v>-0.099961967332296</v>
      </c>
      <c r="H458" s="8" t="n">
        <v>4.48479909865614</v>
      </c>
      <c r="I458" s="8" t="n">
        <v>3.16442085011264</v>
      </c>
      <c r="J458" s="8" t="n">
        <v>121.47831969838</v>
      </c>
      <c r="K458" s="8" t="n">
        <v>-1.7454722517495</v>
      </c>
      <c r="L458" s="8" t="n">
        <v>99.4605526807123</v>
      </c>
      <c r="M458" s="8" t="n">
        <v>2.55292049963849</v>
      </c>
      <c r="N458" s="8" t="n">
        <v>0.95</v>
      </c>
      <c r="O458" s="8" t="n">
        <v>0.25</v>
      </c>
      <c r="P458" s="8" t="n">
        <v>49.67</v>
      </c>
      <c r="Q458" s="8" t="n">
        <v>9.10888189207</v>
      </c>
    </row>
    <row r="459" ht="19" customHeight="1">
      <c r="A459" s="6" t="inlineStr">
        <is>
          <t>Singapore</t>
        </is>
      </c>
      <c r="B459" s="10" t="n">
        <v>2017</v>
      </c>
      <c r="C459" s="10" t="n">
        <v>3</v>
      </c>
      <c r="D459" s="6" t="inlineStr">
        <is>
          <t>2017 Q3</t>
        </is>
      </c>
      <c r="E459" s="8" t="n">
        <v>98.93933333333329</v>
      </c>
      <c r="F459" s="10" t="n">
        <v>0.447383382516175</v>
      </c>
      <c r="G459" s="10" t="n">
        <v>0.0006738181230092</v>
      </c>
      <c r="H459" s="8" t="n">
        <v>4.33164218866914</v>
      </c>
      <c r="I459" s="8" t="n">
        <v>2.29447057587654</v>
      </c>
      <c r="J459" s="8" t="n">
        <v>121.441267358794</v>
      </c>
      <c r="K459" s="8" t="n">
        <v>-1.70541780722894</v>
      </c>
      <c r="L459" s="8" t="n">
        <v>102.480667511988</v>
      </c>
      <c r="M459" s="8" t="n">
        <v>1.60211450136303</v>
      </c>
      <c r="N459" s="8" t="n">
        <v>1.15333333333333</v>
      </c>
      <c r="O459" s="8" t="n">
        <v>0.203333333333333</v>
      </c>
      <c r="P459" s="8" t="n">
        <v>52.11</v>
      </c>
      <c r="Q459" s="8" t="n">
        <v>13.8104251601631</v>
      </c>
    </row>
    <row r="460" ht="19" customHeight="1">
      <c r="A460" s="6" t="inlineStr">
        <is>
          <t>Singapore</t>
        </is>
      </c>
      <c r="B460" s="10" t="n">
        <v>2017</v>
      </c>
      <c r="C460" s="10" t="n">
        <v>4</v>
      </c>
      <c r="D460" s="6" t="inlineStr">
        <is>
          <t>2017 Q4</t>
        </is>
      </c>
      <c r="E460" s="8" t="n">
        <v>99.099</v>
      </c>
      <c r="F460" s="10" t="n">
        <v>0.459896734429077</v>
      </c>
      <c r="G460" s="10" t="n">
        <v>0.161378353064845</v>
      </c>
      <c r="H460" s="8" t="n">
        <v>4.01563133012136</v>
      </c>
      <c r="I460" s="8" t="n">
        <v>2.3627406365907</v>
      </c>
      <c r="J460" s="8" t="n">
        <v>121.519266166778</v>
      </c>
      <c r="K460" s="8" t="n">
        <v>0.07199332116640809</v>
      </c>
      <c r="L460" s="8" t="n">
        <v>100.792675769869</v>
      </c>
      <c r="M460" s="8" t="n">
        <v>-1.0241302421728</v>
      </c>
      <c r="N460" s="8" t="n">
        <v>1.20333333333333</v>
      </c>
      <c r="O460" s="8" t="n">
        <v>0.05</v>
      </c>
      <c r="P460" s="8" t="n">
        <v>61.53</v>
      </c>
      <c r="Q460" s="8" t="n">
        <v>25.0948766603416</v>
      </c>
    </row>
    <row r="461" ht="19" customHeight="1">
      <c r="A461" s="6" t="inlineStr">
        <is>
          <t>Singapore</t>
        </is>
      </c>
      <c r="B461" s="10" t="n">
        <v>2018</v>
      </c>
      <c r="C461" s="10" t="n">
        <v>1</v>
      </c>
      <c r="D461" s="6" t="inlineStr">
        <is>
          <t>2018 Q1</t>
        </is>
      </c>
      <c r="E461" s="8" t="n">
        <v>99.27833333333329</v>
      </c>
      <c r="F461" s="10" t="n">
        <v>0.243005186578849</v>
      </c>
      <c r="G461" s="10" t="n">
        <v>0.180963817327462</v>
      </c>
      <c r="H461" s="8" t="n">
        <v>3.53676620702843</v>
      </c>
      <c r="I461" s="8" t="n">
        <v>3.36923110059288</v>
      </c>
      <c r="J461" s="8" t="n">
        <v>120.729328371518</v>
      </c>
      <c r="K461" s="8" t="n">
        <v>-0.77257304143642</v>
      </c>
      <c r="L461" s="8" t="n">
        <v>96.02404012089779</v>
      </c>
      <c r="M461" s="8" t="n">
        <v>-4.09658683895945</v>
      </c>
      <c r="N461" s="8" t="n">
        <v>1.44666666666667</v>
      </c>
      <c r="O461" s="8" t="n">
        <v>0.243333333333333</v>
      </c>
      <c r="P461" s="8" t="n">
        <v>66.8066666666667</v>
      </c>
      <c r="Q461" s="8" t="n">
        <v>24.4535519125683</v>
      </c>
    </row>
    <row r="462" ht="19" customHeight="1">
      <c r="A462" s="6" t="inlineStr">
        <is>
          <t>Singapore</t>
        </is>
      </c>
      <c r="B462" s="10" t="n">
        <v>2018</v>
      </c>
      <c r="C462" s="10" t="n">
        <v>2</v>
      </c>
      <c r="D462" s="6" t="inlineStr">
        <is>
          <t>2018 Q2</t>
        </is>
      </c>
      <c r="E462" s="8" t="n">
        <v>99.2623333333333</v>
      </c>
      <c r="F462" s="10" t="n">
        <v>0.327138698722451</v>
      </c>
      <c r="G462" s="10" t="n">
        <v>-0.0161163060083624</v>
      </c>
      <c r="H462" s="8" t="n">
        <v>3.20515721994062</v>
      </c>
      <c r="I462" s="8" t="n">
        <v>3.98488612521664</v>
      </c>
      <c r="J462" s="8" t="n">
        <v>120.916913311677</v>
      </c>
      <c r="K462" s="8" t="n">
        <v>-0.462145334325659</v>
      </c>
      <c r="L462" s="8" t="n">
        <v>96.1737638878632</v>
      </c>
      <c r="M462" s="8" t="n">
        <v>-3.30461545231933</v>
      </c>
      <c r="N462" s="8" t="n">
        <v>1.73666666666667</v>
      </c>
      <c r="O462" s="8" t="n">
        <v>0.29</v>
      </c>
      <c r="P462" s="8" t="n">
        <v>74.5</v>
      </c>
      <c r="Q462" s="8" t="n">
        <v>49.9899335615059</v>
      </c>
    </row>
    <row r="463" ht="19" customHeight="1">
      <c r="A463" s="6" t="inlineStr">
        <is>
          <t>Singapore</t>
        </is>
      </c>
      <c r="B463" s="10" t="n">
        <v>2018</v>
      </c>
      <c r="C463" s="10" t="n">
        <v>3</v>
      </c>
      <c r="D463" s="6" t="inlineStr">
        <is>
          <t>2018 Q3</t>
        </is>
      </c>
      <c r="E463" s="8" t="n">
        <v>99.63</v>
      </c>
      <c r="F463" s="10" t="n">
        <v>0.69807087171263</v>
      </c>
      <c r="G463" s="10" t="n">
        <v>0.370398976449615</v>
      </c>
      <c r="H463" s="8" t="n">
        <v>3.02080403729912</v>
      </c>
      <c r="I463" s="8" t="n">
        <v>4.20970632627731</v>
      </c>
      <c r="J463" s="8" t="n">
        <v>120.659172724249</v>
      </c>
      <c r="K463" s="8" t="n">
        <v>-0.644010599983402</v>
      </c>
      <c r="L463" s="8" t="n">
        <v>93.2694805076009</v>
      </c>
      <c r="M463" s="8" t="n">
        <v>-8.98821917149397</v>
      </c>
      <c r="N463" s="8" t="n">
        <v>1.92333333333333</v>
      </c>
      <c r="O463" s="8" t="n">
        <v>0.186666666666667</v>
      </c>
      <c r="P463" s="8" t="n">
        <v>75.2233333333333</v>
      </c>
      <c r="Q463" s="8" t="n">
        <v>44.3548902961683</v>
      </c>
    </row>
    <row r="464" ht="19" customHeight="1">
      <c r="A464" s="6" t="inlineStr">
        <is>
          <t>Singapore</t>
        </is>
      </c>
      <c r="B464" s="10" t="n">
        <v>2018</v>
      </c>
      <c r="C464" s="10" t="n">
        <v>4</v>
      </c>
      <c r="D464" s="6" t="inlineStr">
        <is>
          <t>2018 Q4</t>
        </is>
      </c>
      <c r="E464" s="8" t="n">
        <v>99.581</v>
      </c>
      <c r="F464" s="10" t="n">
        <v>0.486382304564126</v>
      </c>
      <c r="G464" s="10" t="n">
        <v>-0.0491819733012044</v>
      </c>
      <c r="H464" s="8" t="n">
        <v>2.98370647465766</v>
      </c>
      <c r="I464" s="8" t="n">
        <v>4.0436919284834</v>
      </c>
      <c r="J464" s="8" t="n">
        <v>120.838001499175</v>
      </c>
      <c r="K464" s="8" t="n">
        <v>-0.560622763034491</v>
      </c>
      <c r="L464" s="8" t="n">
        <v>90.7369363173618</v>
      </c>
      <c r="M464" s="8" t="n">
        <v>-9.976656910534739</v>
      </c>
      <c r="N464" s="8" t="n">
        <v>2.22</v>
      </c>
      <c r="O464" s="8" t="n">
        <v>0.296666666666667</v>
      </c>
      <c r="P464" s="8" t="n">
        <v>67.7133333333333</v>
      </c>
      <c r="Q464" s="8" t="n">
        <v>10.0492984452029</v>
      </c>
    </row>
    <row r="465" ht="19" customHeight="1">
      <c r="A465" s="6" t="inlineStr">
        <is>
          <t>Singapore</t>
        </is>
      </c>
      <c r="B465" s="10" t="n">
        <v>2019</v>
      </c>
      <c r="C465" s="10" t="n">
        <v>1</v>
      </c>
      <c r="D465" s="6" t="inlineStr">
        <is>
          <t>2019 Q1</t>
        </is>
      </c>
      <c r="E465" s="8" t="n">
        <v>99.7706666666667</v>
      </c>
      <c r="F465" s="10" t="n">
        <v>0.495912166132251</v>
      </c>
      <c r="G465" s="10" t="n">
        <v>0.190464713817562</v>
      </c>
      <c r="H465" s="8" t="n">
        <v>3.09386449504264</v>
      </c>
      <c r="I465" s="8" t="n">
        <v>3.48684276581674</v>
      </c>
      <c r="J465" s="8" t="n">
        <v>121.416371895118</v>
      </c>
      <c r="K465" s="8" t="n">
        <v>0.569077566211496</v>
      </c>
      <c r="L465" s="8" t="n">
        <v>93.8324987094736</v>
      </c>
      <c r="M465" s="8" t="n">
        <v>-2.2822841120463</v>
      </c>
      <c r="N465" s="8" t="n">
        <v>2.40333333333333</v>
      </c>
      <c r="O465" s="8" t="n">
        <v>0.183333333333333</v>
      </c>
      <c r="P465" s="8" t="n">
        <v>63.17</v>
      </c>
      <c r="Q465" s="8" t="n">
        <v>-5.4435685061371</v>
      </c>
    </row>
    <row r="466" ht="19" customHeight="1">
      <c r="A466" s="6" t="inlineStr">
        <is>
          <t>Singapore</t>
        </is>
      </c>
      <c r="B466" s="10" t="n">
        <v>2019</v>
      </c>
      <c r="C466" s="10" t="n">
        <v>2</v>
      </c>
      <c r="D466" s="6" t="inlineStr">
        <is>
          <t>2019 Q2</t>
        </is>
      </c>
      <c r="E466" s="8" t="n">
        <v>100.038666666667</v>
      </c>
      <c r="F466" s="10" t="n">
        <v>0.782102643836047</v>
      </c>
      <c r="G466" s="10" t="n">
        <v>0.268616026086499</v>
      </c>
      <c r="H466" s="8" t="n">
        <v>2.36389414334682</v>
      </c>
      <c r="I466" s="8" t="n">
        <v>3.84990596300593</v>
      </c>
      <c r="J466" s="8" t="n">
        <v>121.122391568039</v>
      </c>
      <c r="K466" s="8" t="n">
        <v>0.169933428446689</v>
      </c>
      <c r="L466" s="8" t="n">
        <v>94.8842784155444</v>
      </c>
      <c r="M466" s="8" t="n">
        <v>-1.34078715461562</v>
      </c>
      <c r="N466" s="8" t="n">
        <v>2.39666666666667</v>
      </c>
      <c r="O466" s="8" t="n">
        <v>-0.0066666666666668</v>
      </c>
      <c r="P466" s="8" t="n">
        <v>68.9233333333333</v>
      </c>
      <c r="Q466" s="8" t="n">
        <v>-7.48545861297539</v>
      </c>
    </row>
    <row r="467" ht="19" customHeight="1">
      <c r="A467" s="6" t="inlineStr">
        <is>
          <t>Singapore</t>
        </is>
      </c>
      <c r="B467" s="10" t="n">
        <v>2019</v>
      </c>
      <c r="C467" s="10" t="n">
        <v>3</v>
      </c>
      <c r="D467" s="6" t="inlineStr">
        <is>
          <t>2019 Q3</t>
        </is>
      </c>
      <c r="E467" s="8" t="n">
        <v>99.98099999999999</v>
      </c>
      <c r="F467" s="10" t="n">
        <v>0.352303523035236</v>
      </c>
      <c r="G467" s="10" t="n">
        <v>-0.0576443775073598</v>
      </c>
      <c r="H467" s="8" t="n">
        <v>0.793794689699816</v>
      </c>
      <c r="I467" s="8" t="n">
        <v>5.13288188298259</v>
      </c>
      <c r="J467" s="8" t="n">
        <v>119.819043008997</v>
      </c>
      <c r="K467" s="8" t="n">
        <v>-0.696283337838288</v>
      </c>
      <c r="L467" s="8" t="n">
        <v>94.5983508132319</v>
      </c>
      <c r="M467" s="8" t="n">
        <v>1.42476434777905</v>
      </c>
      <c r="N467" s="8" t="n">
        <v>2.19</v>
      </c>
      <c r="O467" s="8" t="n">
        <v>-0.206666666666667</v>
      </c>
      <c r="P467" s="8" t="n">
        <v>61.93</v>
      </c>
      <c r="Q467" s="8" t="n">
        <v>-17.6718216865334</v>
      </c>
    </row>
    <row r="468" ht="19" customHeight="1">
      <c r="A468" s="6" t="inlineStr">
        <is>
          <t>Singapore</t>
        </is>
      </c>
      <c r="B468" s="10" t="n">
        <v>2019</v>
      </c>
      <c r="C468" s="10" t="n">
        <v>4</v>
      </c>
      <c r="D468" s="6" t="inlineStr">
        <is>
          <t>2019 Q4</t>
        </is>
      </c>
      <c r="E468" s="8" t="n">
        <v>100.209666666667</v>
      </c>
      <c r="F468" s="10" t="n">
        <v>0.631311863374195</v>
      </c>
      <c r="G468" s="10" t="n">
        <v>0.228710121589759</v>
      </c>
      <c r="H468" s="8" t="n">
        <v>-1.61643543606546</v>
      </c>
      <c r="I468" s="8" t="n">
        <v>7.33577180879458</v>
      </c>
      <c r="J468" s="8" t="n">
        <v>120.395446650753</v>
      </c>
      <c r="K468" s="8" t="n">
        <v>-0.366238139435138</v>
      </c>
      <c r="L468" s="8" t="n">
        <v>98.5900431134575</v>
      </c>
      <c r="M468" s="8" t="n">
        <v>8.654807088293911</v>
      </c>
      <c r="N468" s="8" t="n">
        <v>1.64333333333333</v>
      </c>
      <c r="O468" s="8" t="n">
        <v>-0.546666666666667</v>
      </c>
      <c r="P468" s="8" t="n">
        <v>63.41</v>
      </c>
      <c r="Q468" s="8" t="n">
        <v>-6.35522299891701</v>
      </c>
    </row>
    <row r="469" ht="19" customHeight="1">
      <c r="A469" s="6" t="inlineStr">
        <is>
          <t>Singapore</t>
        </is>
      </c>
      <c r="B469" s="10" t="n">
        <v>2020</v>
      </c>
      <c r="C469" s="10" t="n">
        <v>1</v>
      </c>
      <c r="D469" s="6" t="inlineStr">
        <is>
          <t>2020 Q1</t>
        </is>
      </c>
      <c r="E469" s="8" t="n">
        <v>100.138666666667</v>
      </c>
      <c r="F469" s="10" t="n">
        <v>0.368845886566516</v>
      </c>
      <c r="G469" s="10" t="n">
        <v>-0.0708514481304157</v>
      </c>
      <c r="H469" s="8" t="n">
        <v>-4.86679864408999</v>
      </c>
      <c r="I469" s="8" t="n">
        <v>10.4585779432958</v>
      </c>
      <c r="J469" s="8" t="n">
        <v>118.590302251151</v>
      </c>
      <c r="K469" s="8" t="n">
        <v>-2.32758531642556</v>
      </c>
      <c r="L469" s="8" t="n">
        <v>101.264856657347</v>
      </c>
      <c r="M469" s="8" t="n">
        <v>7.92087821393919</v>
      </c>
      <c r="N469" s="8" t="n">
        <v>1.26</v>
      </c>
      <c r="O469" s="8" t="n">
        <v>-0.383333333333333</v>
      </c>
      <c r="P469" s="8" t="n">
        <v>50.44</v>
      </c>
      <c r="Q469" s="8" t="n">
        <v>-20.1519708722495</v>
      </c>
    </row>
    <row r="470" ht="19" customHeight="1">
      <c r="A470" s="6" t="inlineStr">
        <is>
          <t>Singapore</t>
        </is>
      </c>
      <c r="B470" s="10" t="n">
        <v>2020</v>
      </c>
      <c r="C470" s="10" t="n">
        <v>2</v>
      </c>
      <c r="D470" s="6" t="inlineStr">
        <is>
          <t>2020 Q2</t>
        </is>
      </c>
      <c r="E470" s="8" t="n">
        <v>99.3306666666667</v>
      </c>
      <c r="F470" s="10" t="n">
        <v>-0.707726345812953</v>
      </c>
      <c r="G470" s="10" t="n">
        <v>-0.80688112484022</v>
      </c>
      <c r="H470" s="8" t="n">
        <v>-5.66456144302173</v>
      </c>
      <c r="I470" s="8" t="n">
        <v>12.8006798116737</v>
      </c>
      <c r="J470" s="8" t="n">
        <v>117.665215800962</v>
      </c>
      <c r="K470" s="8" t="n">
        <v>-2.85428294663026</v>
      </c>
      <c r="L470" s="8" t="n">
        <v>94.2610802411244</v>
      </c>
      <c r="M470" s="8" t="n">
        <v>-0.656798138560644</v>
      </c>
      <c r="N470" s="8" t="n">
        <v>0.06</v>
      </c>
      <c r="O470" s="8" t="n">
        <v>-1.2</v>
      </c>
      <c r="P470" s="8" t="n">
        <v>29.3433333333333</v>
      </c>
      <c r="Q470" s="8" t="n">
        <v>-57.426125646854</v>
      </c>
    </row>
    <row r="471" ht="19" customHeight="1">
      <c r="A471" s="6" t="inlineStr">
        <is>
          <t>Singapore</t>
        </is>
      </c>
      <c r="B471" s="10" t="n">
        <v>2020</v>
      </c>
      <c r="C471" s="10" t="n">
        <v>3</v>
      </c>
      <c r="D471" s="6" t="inlineStr">
        <is>
          <t>2020 Q3</t>
        </is>
      </c>
      <c r="E471" s="8" t="n">
        <v>99.708</v>
      </c>
      <c r="F471" s="10" t="n">
        <v>-0.273051879857178</v>
      </c>
      <c r="G471" s="10" t="n">
        <v>0.379875969824695</v>
      </c>
      <c r="H471" s="8" t="n">
        <v>-4.00972463043943</v>
      </c>
      <c r="I471" s="8" t="n">
        <v>14.3620797561054</v>
      </c>
      <c r="J471" s="8" t="n">
        <v>117.550837634053</v>
      </c>
      <c r="K471" s="8" t="n">
        <v>-1.89302578119728</v>
      </c>
      <c r="L471" s="8" t="n">
        <v>97.88852553233011</v>
      </c>
      <c r="M471" s="8" t="n">
        <v>3.47804659469599</v>
      </c>
      <c r="N471" s="8" t="n">
        <v>0.0933333333333333</v>
      </c>
      <c r="O471" s="8" t="n">
        <v>0.0333333333333333</v>
      </c>
      <c r="P471" s="8" t="n">
        <v>42.9633333333333</v>
      </c>
      <c r="Q471" s="8" t="n">
        <v>-30.6259755638086</v>
      </c>
    </row>
    <row r="472" ht="19" customHeight="1">
      <c r="A472" s="6" t="inlineStr">
        <is>
          <t>Singapore</t>
        </is>
      </c>
      <c r="B472" s="10" t="n">
        <v>2020</v>
      </c>
      <c r="C472" s="10" t="n">
        <v>4</v>
      </c>
      <c r="D472" s="6" t="inlineStr">
        <is>
          <t>2020 Q4</t>
        </is>
      </c>
      <c r="E472" s="8" t="n">
        <v>100.095</v>
      </c>
      <c r="F472" s="10" t="n">
        <v>-0.114426751910157</v>
      </c>
      <c r="G472" s="10" t="n">
        <v>0.388133349380193</v>
      </c>
      <c r="H472" s="8" t="n">
        <v>0.09771344834434111</v>
      </c>
      <c r="I472" s="8" t="n">
        <v>15.1427793380136</v>
      </c>
      <c r="J472" s="8" t="n">
        <v>117.863077583461</v>
      </c>
      <c r="K472" s="8" t="n">
        <v>-2.10337611408067</v>
      </c>
      <c r="L472" s="8" t="n">
        <v>107.405441783652</v>
      </c>
      <c r="M472" s="8" t="n">
        <v>8.9414695356711</v>
      </c>
      <c r="N472" s="8" t="n">
        <v>0.09</v>
      </c>
      <c r="O472" s="8" t="n">
        <v>-0.0033333333333333</v>
      </c>
      <c r="P472" s="8" t="n">
        <v>44.29</v>
      </c>
      <c r="Q472" s="8" t="n">
        <v>-30.152972717237</v>
      </c>
    </row>
    <row r="473" ht="19" customHeight="1">
      <c r="A473" s="6" t="inlineStr">
        <is>
          <t>Singapore</t>
        </is>
      </c>
      <c r="B473" s="10" t="n">
        <v>2021</v>
      </c>
      <c r="C473" s="10" t="n">
        <v>1</v>
      </c>
      <c r="D473" s="6" t="inlineStr">
        <is>
          <t>2021 Q1</t>
        </is>
      </c>
      <c r="E473" s="8" t="n">
        <v>100.898</v>
      </c>
      <c r="F473" s="10" t="n">
        <v>0.758281849169151</v>
      </c>
      <c r="G473" s="10" t="n">
        <v>0.8022378740196729</v>
      </c>
      <c r="H473" s="8" t="n">
        <v>6.65775690082044</v>
      </c>
      <c r="I473" s="9" t="inlineStr"/>
      <c r="J473" s="8" t="n">
        <v>118.113544112902</v>
      </c>
      <c r="K473" s="8" t="n">
        <v>-0.402021184868173</v>
      </c>
      <c r="L473" s="8" t="n">
        <v>106.418456967928</v>
      </c>
      <c r="M473" s="8" t="n">
        <v>5.08922886053087</v>
      </c>
      <c r="N473" s="8" t="n">
        <v>0.08</v>
      </c>
      <c r="O473" s="8" t="n">
        <v>-0.01</v>
      </c>
      <c r="P473" s="8" t="n">
        <v>60.82</v>
      </c>
      <c r="Q473" s="8" t="n">
        <v>20.578905630452</v>
      </c>
    </row>
    <row r="474" ht="19" customHeight="1">
      <c r="A474" s="6" t="inlineStr">
        <is>
          <t>Singapore</t>
        </is>
      </c>
      <c r="B474" s="10" t="n">
        <v>2021</v>
      </c>
      <c r="C474" s="10" t="n">
        <v>2</v>
      </c>
      <c r="D474" s="6" t="inlineStr">
        <is>
          <t>2021 Q2</t>
        </is>
      </c>
      <c r="E474" s="8" t="n">
        <v>101.607666666667</v>
      </c>
      <c r="F474" s="10" t="n">
        <v>2.29234341861526</v>
      </c>
      <c r="G474" s="10" t="n">
        <v>0.703350578471995</v>
      </c>
      <c r="H474" s="8" t="n">
        <v>10.6751035749638</v>
      </c>
      <c r="I474" s="9" t="inlineStr"/>
      <c r="J474" s="8" t="n">
        <v>118.824351660708</v>
      </c>
      <c r="K474" s="8" t="n">
        <v>0.9851134439821549</v>
      </c>
      <c r="L474" s="8" t="n">
        <v>114.551815876528</v>
      </c>
      <c r="M474" s="8" t="n">
        <v>21.5261013172124</v>
      </c>
      <c r="N474" s="8" t="n">
        <v>0.07000000000000001</v>
      </c>
      <c r="O474" s="8" t="n">
        <v>-0.01</v>
      </c>
      <c r="P474" s="8" t="n">
        <v>68.8333333333333</v>
      </c>
      <c r="Q474" s="8" t="n">
        <v>134.579120754288</v>
      </c>
    </row>
    <row r="475" ht="19" customHeight="1">
      <c r="A475" s="6" t="inlineStr">
        <is>
          <t>Singapore</t>
        </is>
      </c>
      <c r="B475" s="10" t="n">
        <v>2021</v>
      </c>
      <c r="C475" s="10" t="n">
        <v>3</v>
      </c>
      <c r="D475" s="6" t="inlineStr">
        <is>
          <t>2021 Q3</t>
        </is>
      </c>
      <c r="E475" s="8" t="n">
        <v>102.186666666667</v>
      </c>
      <c r="F475" s="10" t="n">
        <v>2.48592556932912</v>
      </c>
      <c r="G475" s="10" t="n">
        <v>0.569838890109997</v>
      </c>
      <c r="H475" s="8" t="n">
        <v>12.1497574881364</v>
      </c>
      <c r="I475" s="9" t="inlineStr"/>
      <c r="J475" s="8" t="n">
        <v>118.213397493305</v>
      </c>
      <c r="K475" s="8" t="n">
        <v>0.563636867748718</v>
      </c>
      <c r="L475" s="8" t="n">
        <v>116.298331246585</v>
      </c>
      <c r="M475" s="8" t="n">
        <v>18.8069087915464</v>
      </c>
      <c r="N475" s="8" t="n">
        <v>0.09</v>
      </c>
      <c r="O475" s="8" t="n">
        <v>0.02</v>
      </c>
      <c r="P475" s="8" t="n">
        <v>73.47</v>
      </c>
      <c r="Q475" s="8" t="n">
        <v>71.0062844285825</v>
      </c>
    </row>
    <row r="476" ht="19" customHeight="1">
      <c r="A476" s="6" t="inlineStr">
        <is>
          <t>Singapore</t>
        </is>
      </c>
      <c r="B476" s="10" t="n">
        <v>2021</v>
      </c>
      <c r="C476" s="10" t="n">
        <v>4</v>
      </c>
      <c r="D476" s="6" t="inlineStr">
        <is>
          <t>2021 Q4</t>
        </is>
      </c>
      <c r="E476" s="8" t="n">
        <v>103.782666666667</v>
      </c>
      <c r="F476" s="10" t="n">
        <v>3.68416670829379</v>
      </c>
      <c r="G476" s="10" t="n">
        <v>1.56184759916493</v>
      </c>
      <c r="H476" s="8" t="n">
        <v>11.0817201149885</v>
      </c>
      <c r="I476" s="9" t="inlineStr"/>
      <c r="J476" s="8" t="n">
        <v>119.577884839659</v>
      </c>
      <c r="K476" s="8" t="n">
        <v>1.4549147123569</v>
      </c>
      <c r="L476" s="8" t="n">
        <v>122.679602624024</v>
      </c>
      <c r="M476" s="8" t="n">
        <v>14.2210306914792</v>
      </c>
      <c r="N476" s="8" t="n">
        <v>0.08</v>
      </c>
      <c r="O476" s="8" t="n">
        <v>-0.01</v>
      </c>
      <c r="P476" s="8" t="n">
        <v>79.5866666666667</v>
      </c>
      <c r="Q476" s="8" t="n">
        <v>79.69443817265</v>
      </c>
    </row>
    <row r="477" ht="19" customHeight="1">
      <c r="A477" s="6" t="inlineStr">
        <is>
          <t>Singapore</t>
        </is>
      </c>
      <c r="B477" s="10" t="n">
        <v>2022</v>
      </c>
      <c r="C477" s="10" t="n">
        <v>1</v>
      </c>
      <c r="D477" s="6" t="inlineStr">
        <is>
          <t>2022 Q1</t>
        </is>
      </c>
      <c r="E477" s="8" t="n">
        <v>105.514</v>
      </c>
      <c r="F477" s="10" t="n">
        <v>4.57491724315646</v>
      </c>
      <c r="G477" s="10" t="n">
        <v>1.66822976219534</v>
      </c>
      <c r="H477" s="8" t="n">
        <v>7.4709903874722</v>
      </c>
      <c r="I477" s="9" t="inlineStr"/>
      <c r="J477" s="8" t="n">
        <v>121.249727875352</v>
      </c>
      <c r="K477" s="8" t="n">
        <v>2.65522788771118</v>
      </c>
      <c r="L477" s="8" t="n">
        <v>124.25343875034</v>
      </c>
      <c r="M477" s="8" t="n">
        <v>16.7592937264516</v>
      </c>
      <c r="N477" s="8" t="n">
        <v>0.12</v>
      </c>
      <c r="O477" s="8" t="n">
        <v>0.04</v>
      </c>
      <c r="P477" s="8" t="n">
        <v>100.296666666667</v>
      </c>
      <c r="Q477" s="8" t="n">
        <v>64.9073769593335</v>
      </c>
    </row>
    <row r="478" ht="19" customHeight="1">
      <c r="A478" s="6" t="inlineStr">
        <is>
          <t>Singapore</t>
        </is>
      </c>
      <c r="B478" s="10" t="n">
        <v>2022</v>
      </c>
      <c r="C478" s="10" t="n">
        <v>2</v>
      </c>
      <c r="D478" s="6" t="inlineStr">
        <is>
          <t>2022 Q2</t>
        </is>
      </c>
      <c r="E478" s="8" t="n">
        <v>107.605333333333</v>
      </c>
      <c r="F478" s="10" t="n">
        <v>5.90276980411584</v>
      </c>
      <c r="G478" s="10" t="n">
        <v>1.98204345710837</v>
      </c>
      <c r="H478" s="8" t="n">
        <v>4.64241521544948</v>
      </c>
      <c r="I478" s="9" t="inlineStr"/>
      <c r="J478" s="8" t="n">
        <v>124.06321317901</v>
      </c>
      <c r="K478" s="8" t="n">
        <v>4.40891235263061</v>
      </c>
      <c r="L478" s="8" t="n">
        <v>134.351432934678</v>
      </c>
      <c r="M478" s="8" t="n">
        <v>17.2844200736996</v>
      </c>
      <c r="N478" s="8" t="n">
        <v>0.77</v>
      </c>
      <c r="O478" s="8" t="n">
        <v>0.65</v>
      </c>
      <c r="P478" s="8" t="n">
        <v>113.543333333333</v>
      </c>
      <c r="Q478" s="8" t="n">
        <v>64.95399515738499</v>
      </c>
    </row>
    <row r="479" ht="19" customHeight="1">
      <c r="A479" s="6" t="inlineStr">
        <is>
          <t>Singapore</t>
        </is>
      </c>
      <c r="B479" s="10" t="n">
        <v>2022</v>
      </c>
      <c r="C479" s="10" t="n">
        <v>3</v>
      </c>
      <c r="D479" s="6" t="inlineStr">
        <is>
          <t>2022 Q3</t>
        </is>
      </c>
      <c r="E479" s="8" t="n">
        <v>109.679333333333</v>
      </c>
      <c r="F479" s="10" t="n">
        <v>7.33233298538623</v>
      </c>
      <c r="G479" s="10" t="n">
        <v>1.92741375892149</v>
      </c>
      <c r="H479" s="8" t="n">
        <v>2.59599177033013</v>
      </c>
      <c r="I479" s="9" t="inlineStr"/>
      <c r="J479" s="8" t="n">
        <v>127.707976835236</v>
      </c>
      <c r="K479" s="8" t="n">
        <v>8.031728673112969</v>
      </c>
      <c r="L479" s="8" t="n">
        <v>118.584751746656</v>
      </c>
      <c r="M479" s="8" t="n">
        <v>1.96599596534466</v>
      </c>
      <c r="N479" s="8" t="n">
        <v>2.19</v>
      </c>
      <c r="O479" s="8" t="n">
        <v>1.42</v>
      </c>
      <c r="P479" s="8" t="n">
        <v>100.713333333333</v>
      </c>
      <c r="Q479" s="8" t="n">
        <v>37.0808946962479</v>
      </c>
    </row>
    <row r="480" ht="19" customHeight="1">
      <c r="A480" s="6" t="inlineStr">
        <is>
          <t>Singapore</t>
        </is>
      </c>
      <c r="B480" s="10" t="n">
        <v>2022</v>
      </c>
      <c r="C480" s="10" t="n">
        <v>4</v>
      </c>
      <c r="D480" s="6" t="inlineStr">
        <is>
          <t>2022 Q4</t>
        </is>
      </c>
      <c r="E480" s="8" t="n">
        <v>110.679333333333</v>
      </c>
      <c r="F480" s="10" t="n">
        <v>6.64529722368539</v>
      </c>
      <c r="G480" s="10" t="n">
        <v>0.911748794972</v>
      </c>
      <c r="H480" s="8" t="n">
        <v>1.33171800561325</v>
      </c>
      <c r="I480" s="9" t="inlineStr"/>
      <c r="J480" s="8" t="n">
        <v>129.716366930275</v>
      </c>
      <c r="K480" s="8" t="n">
        <v>8.478559479631651</v>
      </c>
      <c r="L480" s="8" t="n">
        <v>115.210051245214</v>
      </c>
      <c r="M480" s="8" t="n">
        <v>-6.08866610181539</v>
      </c>
      <c r="N480" s="8" t="n">
        <v>3.65333333333333</v>
      </c>
      <c r="O480" s="8" t="n">
        <v>1.46333333333333</v>
      </c>
      <c r="P480" s="8" t="n">
        <v>88.5566666666667</v>
      </c>
      <c r="Q480" s="8" t="n">
        <v>11.2707321159323</v>
      </c>
    </row>
    <row r="481" ht="19" customHeight="1">
      <c r="A481" s="6" t="inlineStr">
        <is>
          <t>Singapore</t>
        </is>
      </c>
      <c r="B481" s="10" t="n">
        <v>2023</v>
      </c>
      <c r="C481" s="10" t="n">
        <v>1</v>
      </c>
      <c r="D481" s="6" t="inlineStr">
        <is>
          <t>2023 Q1</t>
        </is>
      </c>
      <c r="E481" s="8" t="n">
        <v>111.999666666667</v>
      </c>
      <c r="F481" s="10" t="n">
        <v>6.14673566225019</v>
      </c>
      <c r="G481" s="10" t="n">
        <v>1.19293574831796</v>
      </c>
      <c r="H481" s="8" t="n">
        <v>0.849592657044287</v>
      </c>
      <c r="I481" s="9" t="inlineStr"/>
      <c r="J481" s="8" t="n">
        <v>130.967686894605</v>
      </c>
      <c r="K481" s="8" t="n">
        <v>8.014829550168811</v>
      </c>
      <c r="L481" s="8" t="n">
        <v>114.034689515825</v>
      </c>
      <c r="M481" s="8" t="n">
        <v>-8.224117849203459</v>
      </c>
      <c r="N481" s="8" t="n">
        <v>4.51666666666667</v>
      </c>
      <c r="O481" s="8" t="n">
        <v>0.863333333333333</v>
      </c>
      <c r="P481" s="8" t="n">
        <v>81.1733333333333</v>
      </c>
      <c r="Q481" s="8" t="n">
        <v>-19.0667685865266</v>
      </c>
    </row>
    <row r="482" ht="19" customHeight="1">
      <c r="A482" s="6" t="inlineStr">
        <is>
          <t>Singapore</t>
        </is>
      </c>
      <c r="B482" s="10" t="n">
        <v>2023</v>
      </c>
      <c r="C482" s="10" t="n">
        <v>2</v>
      </c>
      <c r="D482" s="6" t="inlineStr">
        <is>
          <t>2023 Q2</t>
        </is>
      </c>
      <c r="E482" s="8" t="n">
        <v>113.093</v>
      </c>
      <c r="F482" s="10" t="n">
        <v>5.09980917922284</v>
      </c>
      <c r="G482" s="10" t="n">
        <v>0.976193381527923</v>
      </c>
      <c r="H482" s="8" t="n">
        <v>0.897012481732378</v>
      </c>
      <c r="I482" s="9" t="inlineStr"/>
      <c r="J482" s="8" t="n">
        <v>131.684134472379</v>
      </c>
      <c r="K482" s="8" t="n">
        <v>6.14277278339816</v>
      </c>
      <c r="L482" s="8" t="n">
        <v>109.857789884183</v>
      </c>
      <c r="M482" s="8" t="n">
        <v>-18.2310247948031</v>
      </c>
      <c r="N482" s="8" t="n">
        <v>4.99</v>
      </c>
      <c r="O482" s="8" t="n">
        <v>0.473333333333334</v>
      </c>
      <c r="P482" s="8" t="n">
        <v>78.31666666666671</v>
      </c>
      <c r="Q482" s="8" t="n">
        <v>-31.0248656900449</v>
      </c>
    </row>
    <row r="483" ht="19" customHeight="1">
      <c r="A483" s="6" t="inlineStr">
        <is>
          <t>Singapore</t>
        </is>
      </c>
      <c r="B483" s="10" t="n">
        <v>2023</v>
      </c>
      <c r="C483" s="10" t="n">
        <v>3</v>
      </c>
      <c r="D483" s="6" t="inlineStr">
        <is>
          <t>2023 Q3</t>
        </is>
      </c>
      <c r="E483" s="8" t="n">
        <v>114.164</v>
      </c>
      <c r="F483" s="10" t="n">
        <v>4.08888942918448</v>
      </c>
      <c r="G483" s="10" t="n">
        <v>0.947008214478351</v>
      </c>
      <c r="H483" s="8" t="n">
        <v>1.47397752699283</v>
      </c>
      <c r="I483" s="9" t="inlineStr"/>
      <c r="J483" s="8" t="n">
        <v>132.786701293934</v>
      </c>
      <c r="K483" s="8" t="n">
        <v>3.97682633814651</v>
      </c>
      <c r="L483" s="8" t="n">
        <v>107.510614988168</v>
      </c>
      <c r="M483" s="8" t="n">
        <v>-9.338584088911441</v>
      </c>
      <c r="N483" s="8" t="n">
        <v>5.26</v>
      </c>
      <c r="O483" s="8" t="n">
        <v>0.27</v>
      </c>
      <c r="P483" s="8" t="n">
        <v>86.66</v>
      </c>
      <c r="Q483" s="8" t="n">
        <v>-13.9537962533925</v>
      </c>
    </row>
    <row r="484" ht="19" customHeight="1">
      <c r="A484" s="6" t="inlineStr">
        <is>
          <t>Singapore</t>
        </is>
      </c>
      <c r="B484" s="10" t="n">
        <v>2023</v>
      </c>
      <c r="C484" s="10" t="n">
        <v>4</v>
      </c>
      <c r="D484" s="6" t="inlineStr">
        <is>
          <t>2023 Q4</t>
        </is>
      </c>
      <c r="E484" s="8" t="n">
        <v>115.121333333333</v>
      </c>
      <c r="F484" s="10" t="n">
        <v>4.0133960570778</v>
      </c>
      <c r="G484" s="10" t="n">
        <v>0.838559732782085</v>
      </c>
      <c r="H484" s="8" t="n">
        <v>2.58048836979521</v>
      </c>
      <c r="I484" s="9" t="inlineStr"/>
      <c r="J484" s="8" t="n">
        <v>134.410505502557</v>
      </c>
      <c r="K484" s="8" t="n">
        <v>3.61877123401508</v>
      </c>
      <c r="L484" s="8" t="n">
        <v>105.339533846651</v>
      </c>
      <c r="M484" s="8" t="n">
        <v>-8.56740995414912</v>
      </c>
      <c r="N484" s="8" t="n">
        <v>5.33</v>
      </c>
      <c r="O484" s="8" t="n">
        <v>0.0700000000000003</v>
      </c>
      <c r="P484" s="8" t="n">
        <v>83.7233333333333</v>
      </c>
      <c r="Q484" s="8" t="n">
        <v>-5.45789889712802</v>
      </c>
    </row>
    <row r="485" ht="19" customHeight="1">
      <c r="A485" s="6" t="inlineStr">
        <is>
          <t>Singapore</t>
        </is>
      </c>
      <c r="B485" s="10" t="n">
        <v>2024</v>
      </c>
      <c r="C485" s="10" t="n">
        <v>1</v>
      </c>
      <c r="D485" s="6" t="inlineStr">
        <is>
          <t>2024 Q1</t>
        </is>
      </c>
      <c r="E485" s="8" t="n">
        <v>115.335333333333</v>
      </c>
      <c r="F485" s="10" t="n">
        <v>2.97828267346034</v>
      </c>
      <c r="G485" s="10" t="n">
        <v>0.185890828227597</v>
      </c>
      <c r="H485" s="8" t="n">
        <v>4.21654611669896</v>
      </c>
      <c r="I485" s="9" t="inlineStr"/>
      <c r="J485" s="8" t="n">
        <v>134.677170464195</v>
      </c>
      <c r="K485" s="8" t="n">
        <v>2.83236549224195</v>
      </c>
      <c r="L485" s="8" t="n">
        <v>102.582568583479</v>
      </c>
      <c r="M485" s="8" t="n">
        <v>-10.0426641936497</v>
      </c>
      <c r="N485" s="8" t="n">
        <v>5.33</v>
      </c>
      <c r="O485" s="8" t="n">
        <v>0</v>
      </c>
      <c r="P485" s="8" t="n">
        <v>83.0033333333333</v>
      </c>
      <c r="Q485" s="8" t="n">
        <v>2.25443495400788</v>
      </c>
    </row>
    <row r="486" ht="19" customHeight="1">
      <c r="A486" s="6" t="inlineStr">
        <is>
          <t>Singapore</t>
        </is>
      </c>
      <c r="B486" s="10" t="n">
        <v>2024</v>
      </c>
      <c r="C486" s="10" t="n">
        <v>2</v>
      </c>
      <c r="D486" s="6" t="inlineStr">
        <is>
          <t>2024 Q2</t>
        </is>
      </c>
      <c r="E486" s="8" t="n">
        <v>116.220333333333</v>
      </c>
      <c r="F486" s="10" t="n">
        <v>2.76527577598378</v>
      </c>
      <c r="G486" s="10" t="n">
        <v>0.76732773420114</v>
      </c>
      <c r="H486" s="8" t="n">
        <v>5.32175507695791</v>
      </c>
      <c r="I486" s="9" t="inlineStr"/>
      <c r="J486" s="8" t="n">
        <v>135.471374616555</v>
      </c>
      <c r="K486" s="8" t="n">
        <v>2.87600336923639</v>
      </c>
      <c r="L486" s="8" t="n">
        <v>104.519793640698</v>
      </c>
      <c r="M486" s="8" t="n">
        <v>-4.85900567371084</v>
      </c>
      <c r="N486" s="8" t="n">
        <v>5.33</v>
      </c>
      <c r="O486" s="8" t="n">
        <v>0</v>
      </c>
      <c r="P486" s="8" t="n">
        <v>84.6466666666667</v>
      </c>
      <c r="Q486" s="8" t="n">
        <v>8.082570759736109</v>
      </c>
    </row>
    <row r="487" ht="19" customHeight="1">
      <c r="A487" s="6" t="inlineStr">
        <is>
          <t>Singapore</t>
        </is>
      </c>
      <c r="B487" s="10" t="n">
        <v>2024</v>
      </c>
      <c r="C487" s="10" t="n">
        <v>3</v>
      </c>
      <c r="D487" s="6" t="inlineStr">
        <is>
          <t>2024 Q3</t>
        </is>
      </c>
      <c r="E487" s="8" t="n">
        <v>116.66</v>
      </c>
      <c r="F487" s="10" t="n">
        <v>2.18632843978837</v>
      </c>
      <c r="G487" s="10" t="n">
        <v>0.378304427509812</v>
      </c>
      <c r="H487" s="8" t="n">
        <v>5.89611635581672</v>
      </c>
      <c r="I487" s="9" t="inlineStr"/>
      <c r="J487" s="8" t="n">
        <v>136.015354185704</v>
      </c>
      <c r="K487" s="8" t="n">
        <v>2.43145801522959</v>
      </c>
      <c r="L487" s="8" t="n">
        <v>106.377099329068</v>
      </c>
      <c r="M487" s="8" t="n">
        <v>-1.05432906250624</v>
      </c>
      <c r="N487" s="8" t="n">
        <v>5.26333333333333</v>
      </c>
      <c r="O487" s="8" t="n">
        <v>-0.0666666666666664</v>
      </c>
      <c r="P487" s="8" t="n">
        <v>79.84333333333331</v>
      </c>
      <c r="Q487" s="8" t="n">
        <v>-7.86598969151473</v>
      </c>
    </row>
    <row r="488" ht="19" customHeight="1">
      <c r="A488" s="6" t="inlineStr">
        <is>
          <t>Singapore</t>
        </is>
      </c>
      <c r="B488" s="10" t="n">
        <v>2024</v>
      </c>
      <c r="C488" s="10" t="n">
        <v>4</v>
      </c>
      <c r="D488" s="6" t="inlineStr">
        <is>
          <t>2024 Q4</t>
        </is>
      </c>
      <c r="E488" s="8" t="n">
        <v>116.915</v>
      </c>
      <c r="F488" s="10" t="n">
        <v>1.55806627210711</v>
      </c>
      <c r="G488" s="10" t="n">
        <v>0.218583919081095</v>
      </c>
      <c r="H488" s="8" t="n">
        <v>5.93963052757344</v>
      </c>
      <c r="I488" s="9" t="inlineStr"/>
      <c r="J488" s="8" t="n">
        <v>135.781733927167</v>
      </c>
      <c r="K488" s="8" t="n">
        <v>1.02017950121007</v>
      </c>
      <c r="L488" s="8" t="n">
        <v>110.645361455409</v>
      </c>
      <c r="M488" s="8" t="n">
        <v>5.03688161035707</v>
      </c>
      <c r="N488" s="8" t="n">
        <v>4.65</v>
      </c>
      <c r="O488" s="8" t="n">
        <v>-0.613333333333333</v>
      </c>
      <c r="P488" s="8" t="n">
        <v>74.6133333333333</v>
      </c>
      <c r="Q488" s="8" t="n">
        <v>-10.8810765616913</v>
      </c>
    </row>
    <row r="489" ht="19" customHeight="1">
      <c r="A489" s="6" t="inlineStr">
        <is>
          <t>Singapore</t>
        </is>
      </c>
      <c r="B489" s="10" t="n">
        <v>2025</v>
      </c>
      <c r="C489" s="10" t="n">
        <v>1</v>
      </c>
      <c r="D489" s="6" t="inlineStr">
        <is>
          <t>2025 Q1</t>
        </is>
      </c>
      <c r="E489" s="9" t="inlineStr"/>
      <c r="F489" s="9" t="inlineStr"/>
      <c r="G489" s="9" t="inlineStr"/>
      <c r="H489" s="8" t="n">
        <v>5.45229763577801</v>
      </c>
      <c r="I489" s="9" t="inlineStr"/>
      <c r="J489" s="8" t="n">
        <v>134.80616193521</v>
      </c>
      <c r="K489" s="8" t="n">
        <v>0.0957782752415426</v>
      </c>
      <c r="L489" s="8" t="n">
        <v>108.711496383905</v>
      </c>
      <c r="M489" s="8" t="n">
        <v>5.97462891118643</v>
      </c>
      <c r="N489" s="8" t="n">
        <v>4.33</v>
      </c>
      <c r="O489" s="8" t="n">
        <v>-0.32</v>
      </c>
      <c r="P489" s="8" t="n">
        <v>75.8133333333333</v>
      </c>
      <c r="Q489" s="8" t="n">
        <v>-8.662302718766311</v>
      </c>
    </row>
    <row r="490" ht="19" customHeight="1">
      <c r="A490" s="6" t="inlineStr">
        <is>
          <t>Thailand</t>
        </is>
      </c>
      <c r="B490" s="10" t="n">
        <v>2010</v>
      </c>
      <c r="C490" s="10" t="n">
        <v>1</v>
      </c>
      <c r="D490" s="6" t="inlineStr">
        <is>
          <t>2010 Q1</t>
        </is>
      </c>
      <c r="E490" s="8" t="n">
        <v>87.30760918108631</v>
      </c>
      <c r="F490" s="9" t="inlineStr"/>
      <c r="G490" s="9" t="inlineStr"/>
      <c r="H490" s="8" t="n">
        <v>9.543645749474861</v>
      </c>
      <c r="I490" s="8" t="n">
        <v>9.69780352899895</v>
      </c>
      <c r="J490" s="8" t="n">
        <v>101.554809842604</v>
      </c>
      <c r="K490" s="9" t="inlineStr"/>
      <c r="L490" s="8" t="n">
        <v>99.24199528149821</v>
      </c>
      <c r="M490" s="9" t="inlineStr"/>
      <c r="N490" s="8" t="n">
        <v>0.133333333333333</v>
      </c>
      <c r="O490" s="9" t="inlineStr"/>
      <c r="P490" s="8" t="n">
        <v>76.25</v>
      </c>
      <c r="Q490" s="9" t="inlineStr"/>
    </row>
    <row r="491" ht="19" customHeight="1">
      <c r="A491" s="6" t="inlineStr">
        <is>
          <t>Thailand</t>
        </is>
      </c>
      <c r="B491" s="10" t="n">
        <v>2010</v>
      </c>
      <c r="C491" s="10" t="n">
        <v>2</v>
      </c>
      <c r="D491" s="6" t="inlineStr">
        <is>
          <t>2010 Q2</t>
        </is>
      </c>
      <c r="E491" s="8" t="n">
        <v>88.2271166666667</v>
      </c>
      <c r="F491" s="9" t="inlineStr"/>
      <c r="G491" s="10" t="n">
        <v>1.05318138270536</v>
      </c>
      <c r="H491" s="8" t="n">
        <v>8.731544150001881</v>
      </c>
      <c r="I491" s="8" t="n">
        <v>10.1958438567985</v>
      </c>
      <c r="J491" s="8" t="n">
        <v>104.979662779692</v>
      </c>
      <c r="K491" s="9" t="inlineStr"/>
      <c r="L491" s="8" t="n">
        <v>96.4984622523225</v>
      </c>
      <c r="M491" s="9" t="inlineStr"/>
      <c r="N491" s="8" t="n">
        <v>0.193333333333333</v>
      </c>
      <c r="O491" s="8" t="n">
        <v>0.06</v>
      </c>
      <c r="P491" s="8" t="n">
        <v>78.51000000000001</v>
      </c>
      <c r="Q491" s="9" t="inlineStr"/>
    </row>
    <row r="492" ht="19" customHeight="1">
      <c r="A492" s="6" t="inlineStr">
        <is>
          <t>Thailand</t>
        </is>
      </c>
      <c r="B492" s="10" t="n">
        <v>2010</v>
      </c>
      <c r="C492" s="10" t="n">
        <v>3</v>
      </c>
      <c r="D492" s="6" t="inlineStr">
        <is>
          <t>2010 Q3</t>
        </is>
      </c>
      <c r="E492" s="8" t="n">
        <v>88.69450999999999</v>
      </c>
      <c r="F492" s="9" t="inlineStr"/>
      <c r="G492" s="10" t="n">
        <v>0.529761541566875</v>
      </c>
      <c r="H492" s="8" t="n">
        <v>7.10734013894131</v>
      </c>
      <c r="I492" s="8" t="n">
        <v>11.1919250104253</v>
      </c>
      <c r="J492" s="8" t="n">
        <v>105.612444358991</v>
      </c>
      <c r="K492" s="9" t="inlineStr"/>
      <c r="L492" s="8" t="n">
        <v>107.356970480027</v>
      </c>
      <c r="M492" s="9" t="inlineStr"/>
      <c r="N492" s="8" t="n">
        <v>0.186666666666667</v>
      </c>
      <c r="O492" s="8" t="n">
        <v>-0.0066666666666666</v>
      </c>
      <c r="P492" s="8" t="n">
        <v>76.81999999999999</v>
      </c>
      <c r="Q492" s="9" t="inlineStr"/>
    </row>
    <row r="493" ht="19" customHeight="1">
      <c r="A493" s="6" t="inlineStr">
        <is>
          <t>Thailand</t>
        </is>
      </c>
      <c r="B493" s="10" t="n">
        <v>2010</v>
      </c>
      <c r="C493" s="10" t="n">
        <v>4</v>
      </c>
      <c r="D493" s="6" t="inlineStr">
        <is>
          <t>2010 Q4</t>
        </is>
      </c>
      <c r="E493" s="8" t="n">
        <v>88.91446000000001</v>
      </c>
      <c r="F493" s="9" t="inlineStr"/>
      <c r="G493" s="10" t="n">
        <v>0.247986036565306</v>
      </c>
      <c r="H493" s="8" t="n">
        <v>4.67103209208628</v>
      </c>
      <c r="I493" s="8" t="n">
        <v>12.6860479859855</v>
      </c>
      <c r="J493" s="8" t="n">
        <v>108.052106064296</v>
      </c>
      <c r="K493" s="9" t="inlineStr"/>
      <c r="L493" s="8" t="n">
        <v>124.608736829891</v>
      </c>
      <c r="M493" s="9" t="inlineStr"/>
      <c r="N493" s="8" t="n">
        <v>0.186666666666667</v>
      </c>
      <c r="O493" s="8" t="n">
        <v>0</v>
      </c>
      <c r="P493" s="8" t="n">
        <v>86.4666666666667</v>
      </c>
      <c r="Q493" s="9" t="inlineStr"/>
    </row>
    <row r="494" ht="19" customHeight="1">
      <c r="A494" s="6" t="inlineStr">
        <is>
          <t>Thailand</t>
        </is>
      </c>
      <c r="B494" s="10" t="n">
        <v>2011</v>
      </c>
      <c r="C494" s="10" t="n">
        <v>1</v>
      </c>
      <c r="D494" s="6" t="inlineStr">
        <is>
          <t>2011 Q1</t>
        </is>
      </c>
      <c r="E494" s="8" t="n">
        <v>89.94089</v>
      </c>
      <c r="F494" s="10" t="n">
        <v>3.01609543957613</v>
      </c>
      <c r="G494" s="10" t="n">
        <v>1.15440165750316</v>
      </c>
      <c r="H494" s="8" t="n">
        <v>1.42261757315622</v>
      </c>
      <c r="I494" s="8" t="n">
        <v>14.6782142775673</v>
      </c>
      <c r="J494" s="8" t="n">
        <v>105.288776709976</v>
      </c>
      <c r="K494" s="8" t="n">
        <v>3.67679962491072</v>
      </c>
      <c r="L494" s="8" t="n">
        <v>121.875946057639</v>
      </c>
      <c r="M494" s="8" t="n">
        <v>22.8068276055313</v>
      </c>
      <c r="N494" s="8" t="n">
        <v>0.156666666666667</v>
      </c>
      <c r="O494" s="8" t="n">
        <v>-0.03</v>
      </c>
      <c r="P494" s="8" t="n">
        <v>104.96</v>
      </c>
      <c r="Q494" s="8" t="n">
        <v>37.6524590163934</v>
      </c>
    </row>
    <row r="495" ht="19" customHeight="1">
      <c r="A495" s="6" t="inlineStr">
        <is>
          <t>Thailand</t>
        </is>
      </c>
      <c r="B495" s="10" t="n">
        <v>2011</v>
      </c>
      <c r="C495" s="10" t="n">
        <v>2</v>
      </c>
      <c r="D495" s="6" t="inlineStr">
        <is>
          <t>2011 Q2</t>
        </is>
      </c>
      <c r="E495" s="8" t="n">
        <v>91.84711666666669</v>
      </c>
      <c r="F495" s="10" t="n">
        <v>4.10304692793808</v>
      </c>
      <c r="G495" s="10" t="n">
        <v>2.11942161865051</v>
      </c>
      <c r="H495" s="8" t="n">
        <v>-0.10974183588176</v>
      </c>
      <c r="I495" s="8" t="n">
        <v>15.6521819043358</v>
      </c>
      <c r="J495" s="8" t="n">
        <v>104.704506731938</v>
      </c>
      <c r="K495" s="8" t="n">
        <v>-0.262104145192077</v>
      </c>
      <c r="L495" s="8" t="n">
        <v>122.00081812372</v>
      </c>
      <c r="M495" s="8" t="n">
        <v>26.4277329152819</v>
      </c>
      <c r="N495" s="8" t="n">
        <v>0.0933333333333333</v>
      </c>
      <c r="O495" s="8" t="n">
        <v>-0.0633333333333333</v>
      </c>
      <c r="P495" s="8" t="n">
        <v>117.36</v>
      </c>
      <c r="Q495" s="8" t="n">
        <v>49.4841421474971</v>
      </c>
    </row>
    <row r="496" ht="19" customHeight="1">
      <c r="A496" s="6" t="inlineStr">
        <is>
          <t>Thailand</t>
        </is>
      </c>
      <c r="B496" s="10" t="n">
        <v>2011</v>
      </c>
      <c r="C496" s="10" t="n">
        <v>3</v>
      </c>
      <c r="D496" s="6" t="inlineStr">
        <is>
          <t>2011 Q3</t>
        </is>
      </c>
      <c r="E496" s="8" t="n">
        <v>92.36033</v>
      </c>
      <c r="F496" s="10" t="n">
        <v>4.13308557654808</v>
      </c>
      <c r="G496" s="10" t="n">
        <v>0.558769128481074</v>
      </c>
      <c r="H496" s="8" t="n">
        <v>0.073952332588232</v>
      </c>
      <c r="I496" s="8" t="n">
        <v>15.6079518402495</v>
      </c>
      <c r="J496" s="8" t="n">
        <v>104.857052157509</v>
      </c>
      <c r="K496" s="8" t="n">
        <v>-0.715249236079685</v>
      </c>
      <c r="L496" s="8" t="n">
        <v>118.888757234176</v>
      </c>
      <c r="M496" s="8" t="n">
        <v>10.7415351817278</v>
      </c>
      <c r="N496" s="8" t="n">
        <v>0.0833333333333333</v>
      </c>
      <c r="O496" s="8" t="n">
        <v>-0.01</v>
      </c>
      <c r="P496" s="8" t="n">
        <v>113.34</v>
      </c>
      <c r="Q496" s="8" t="n">
        <v>47.5397032022911</v>
      </c>
    </row>
    <row r="497" ht="19" customHeight="1">
      <c r="A497" s="6" t="inlineStr">
        <is>
          <t>Thailand</t>
        </is>
      </c>
      <c r="B497" s="10" t="n">
        <v>2011</v>
      </c>
      <c r="C497" s="10" t="n">
        <v>4</v>
      </c>
      <c r="D497" s="6" t="inlineStr">
        <is>
          <t>2011 Q4</t>
        </is>
      </c>
      <c r="E497" s="8" t="n">
        <v>92.4458666666667</v>
      </c>
      <c r="F497" s="10" t="n">
        <v>3.97168994409534</v>
      </c>
      <c r="G497" s="10" t="n">
        <v>0.09261191105172099</v>
      </c>
      <c r="H497" s="8" t="n">
        <v>1.97370026226952</v>
      </c>
      <c r="I497" s="8" t="n">
        <v>14.5455240410968</v>
      </c>
      <c r="J497" s="8" t="n">
        <v>104.366420470424</v>
      </c>
      <c r="K497" s="8" t="n">
        <v>-3.4110261503641</v>
      </c>
      <c r="L497" s="8" t="n">
        <v>112.174119298219</v>
      </c>
      <c r="M497" s="8" t="n">
        <v>-9.978929124887189</v>
      </c>
      <c r="N497" s="8" t="n">
        <v>0.07333333333333331</v>
      </c>
      <c r="O497" s="8" t="n">
        <v>-0.01</v>
      </c>
      <c r="P497" s="8" t="n">
        <v>109.396666666667</v>
      </c>
      <c r="Q497" s="8" t="n">
        <v>26.5188897455667</v>
      </c>
    </row>
    <row r="498" ht="19" customHeight="1">
      <c r="A498" s="6" t="inlineStr">
        <is>
          <t>Thailand</t>
        </is>
      </c>
      <c r="B498" s="10" t="n">
        <v>2012</v>
      </c>
      <c r="C498" s="10" t="n">
        <v>1</v>
      </c>
      <c r="D498" s="6" t="inlineStr">
        <is>
          <t>2012 Q1</t>
        </is>
      </c>
      <c r="E498" s="8" t="n">
        <v>92.98963000000001</v>
      </c>
      <c r="F498" s="10" t="n">
        <v>3.38971517849114</v>
      </c>
      <c r="G498" s="10" t="n">
        <v>0.588196479669545</v>
      </c>
      <c r="H498" s="8" t="n">
        <v>5.58950385291192</v>
      </c>
      <c r="I498" s="8" t="n">
        <v>12.464897444435</v>
      </c>
      <c r="J498" s="8" t="n">
        <v>104.794201236359</v>
      </c>
      <c r="K498" s="8" t="n">
        <v>-0.46973237705985</v>
      </c>
      <c r="L498" s="8" t="n">
        <v>112.921025549072</v>
      </c>
      <c r="M498" s="8" t="n">
        <v>-7.3475700482622</v>
      </c>
      <c r="N498" s="8" t="n">
        <v>0.103333333333333</v>
      </c>
      <c r="O498" s="8" t="n">
        <v>0.03</v>
      </c>
      <c r="P498" s="8" t="n">
        <v>118.49</v>
      </c>
      <c r="Q498" s="8" t="n">
        <v>12.890625</v>
      </c>
    </row>
    <row r="499" ht="19" customHeight="1">
      <c r="A499" s="6" t="inlineStr">
        <is>
          <t>Thailand</t>
        </is>
      </c>
      <c r="B499" s="10" t="n">
        <v>2012</v>
      </c>
      <c r="C499" s="10" t="n">
        <v>2</v>
      </c>
      <c r="D499" s="6" t="inlineStr">
        <is>
          <t>2012 Q2</t>
        </is>
      </c>
      <c r="E499" s="8" t="n">
        <v>94.15964</v>
      </c>
      <c r="F499" s="10" t="n">
        <v>2.51779633075035</v>
      </c>
      <c r="G499" s="10" t="n">
        <v>1.25821556661747</v>
      </c>
      <c r="H499" s="8" t="n">
        <v>7.69714132599865</v>
      </c>
      <c r="I499" s="8" t="n">
        <v>10.7968677483501</v>
      </c>
      <c r="J499" s="8" t="n">
        <v>105.214145752999</v>
      </c>
      <c r="K499" s="8" t="n">
        <v>0.486740291290633</v>
      </c>
      <c r="L499" s="8" t="n">
        <v>108.674540730789</v>
      </c>
      <c r="M499" s="8" t="n">
        <v>-10.9231049413272</v>
      </c>
      <c r="N499" s="8" t="n">
        <v>0.153333333333333</v>
      </c>
      <c r="O499" s="8" t="n">
        <v>0.05</v>
      </c>
      <c r="P499" s="8" t="n">
        <v>108.416666666667</v>
      </c>
      <c r="Q499" s="8" t="n">
        <v>-7.6204271756419</v>
      </c>
    </row>
    <row r="500" ht="19" customHeight="1">
      <c r="A500" s="6" t="inlineStr">
        <is>
          <t>Thailand</t>
        </is>
      </c>
      <c r="B500" s="10" t="n">
        <v>2012</v>
      </c>
      <c r="C500" s="10" t="n">
        <v>3</v>
      </c>
      <c r="D500" s="6" t="inlineStr">
        <is>
          <t>2012 Q3</t>
        </is>
      </c>
      <c r="E500" s="8" t="n">
        <v>95.0699833333333</v>
      </c>
      <c r="F500" s="10" t="n">
        <v>2.93378481143727</v>
      </c>
      <c r="G500" s="10" t="n">
        <v>0.966808425917232</v>
      </c>
      <c r="H500" s="8" t="n">
        <v>8.29661478915923</v>
      </c>
      <c r="I500" s="8" t="n">
        <v>9.541433284816209</v>
      </c>
      <c r="J500" s="8" t="n">
        <v>105.802404018206</v>
      </c>
      <c r="K500" s="8" t="n">
        <v>0.9015624998469201</v>
      </c>
      <c r="L500" s="8" t="n">
        <v>112.021404013206</v>
      </c>
      <c r="M500" s="8" t="n">
        <v>-5.77628480668088</v>
      </c>
      <c r="N500" s="8" t="n">
        <v>0.143333333333333</v>
      </c>
      <c r="O500" s="8" t="n">
        <v>-0.01</v>
      </c>
      <c r="P500" s="8" t="n">
        <v>109.613333333333</v>
      </c>
      <c r="Q500" s="8" t="n">
        <v>-3.28804187988943</v>
      </c>
    </row>
    <row r="501" ht="19" customHeight="1">
      <c r="A501" s="6" t="inlineStr">
        <is>
          <t>Thailand</t>
        </is>
      </c>
      <c r="B501" s="10" t="n">
        <v>2012</v>
      </c>
      <c r="C501" s="10" t="n">
        <v>4</v>
      </c>
      <c r="D501" s="6" t="inlineStr">
        <is>
          <t>2012 Q4</t>
        </is>
      </c>
      <c r="E501" s="8" t="n">
        <v>95.42740000000001</v>
      </c>
      <c r="F501" s="10" t="n">
        <v>3.22516672820419</v>
      </c>
      <c r="G501" s="10" t="n">
        <v>0.375951119517404</v>
      </c>
      <c r="H501" s="8" t="n">
        <v>7.38792484187505</v>
      </c>
      <c r="I501" s="8" t="n">
        <v>8.698592798380449</v>
      </c>
      <c r="J501" s="8" t="n">
        <v>107.813209334965</v>
      </c>
      <c r="K501" s="8" t="n">
        <v>3.30258415398819</v>
      </c>
      <c r="L501" s="8" t="n">
        <v>112.043606667623</v>
      </c>
      <c r="M501" s="8" t="n">
        <v>-0.116348255206267</v>
      </c>
      <c r="N501" s="8" t="n">
        <v>0.16</v>
      </c>
      <c r="O501" s="8" t="n">
        <v>0.0166666666666667</v>
      </c>
      <c r="P501" s="8" t="n">
        <v>110.086666666667</v>
      </c>
      <c r="Q501" s="8" t="n">
        <v>0.630732197812245</v>
      </c>
    </row>
    <row r="502" ht="19" customHeight="1">
      <c r="A502" s="6" t="inlineStr">
        <is>
          <t>Thailand</t>
        </is>
      </c>
      <c r="B502" s="10" t="n">
        <v>2013</v>
      </c>
      <c r="C502" s="10" t="n">
        <v>1</v>
      </c>
      <c r="D502" s="6" t="inlineStr">
        <is>
          <t>2013 Q1</t>
        </is>
      </c>
      <c r="E502" s="8" t="n">
        <v>95.87035666666669</v>
      </c>
      <c r="F502" s="10" t="n">
        <v>3.09790098817111</v>
      </c>
      <c r="G502" s="10" t="n">
        <v>0.464181845745215</v>
      </c>
      <c r="H502" s="8" t="n">
        <v>4.9710705754534</v>
      </c>
      <c r="I502" s="8" t="n">
        <v>8.26834544620862</v>
      </c>
      <c r="J502" s="8" t="n">
        <v>113.787235792141</v>
      </c>
      <c r="K502" s="8" t="n">
        <v>8.581614678754001</v>
      </c>
      <c r="L502" s="8" t="n">
        <v>112.344264317549</v>
      </c>
      <c r="M502" s="8" t="n">
        <v>-0.510765137598079</v>
      </c>
      <c r="N502" s="8" t="n">
        <v>0.143333333333333</v>
      </c>
      <c r="O502" s="8" t="n">
        <v>-0.0166666666666667</v>
      </c>
      <c r="P502" s="8" t="n">
        <v>112.493333333333</v>
      </c>
      <c r="Q502" s="8" t="n">
        <v>-5.06090528033308</v>
      </c>
    </row>
    <row r="503" ht="19" customHeight="1">
      <c r="A503" s="6" t="inlineStr">
        <is>
          <t>Thailand</t>
        </is>
      </c>
      <c r="B503" s="10" t="n">
        <v>2013</v>
      </c>
      <c r="C503" s="10" t="n">
        <v>2</v>
      </c>
      <c r="D503" s="6" t="inlineStr">
        <is>
          <t>2013 Q2</t>
        </is>
      </c>
      <c r="E503" s="8" t="n">
        <v>96.33774333333329</v>
      </c>
      <c r="F503" s="10" t="n">
        <v>2.3132026984527</v>
      </c>
      <c r="G503" s="10" t="n">
        <v>0.48751948247332</v>
      </c>
      <c r="H503" s="8" t="n">
        <v>3.09089975038103</v>
      </c>
      <c r="I503" s="8" t="n">
        <v>7.71724874041759</v>
      </c>
      <c r="J503" s="8" t="n">
        <v>115.556941664381</v>
      </c>
      <c r="K503" s="8" t="n">
        <v>9.83023322326151</v>
      </c>
      <c r="L503" s="8" t="n">
        <v>111.205746192615</v>
      </c>
      <c r="M503" s="8" t="n">
        <v>2.32916140689856</v>
      </c>
      <c r="N503" s="8" t="n">
        <v>0.116666666666667</v>
      </c>
      <c r="O503" s="8" t="n">
        <v>-0.0266666666666667</v>
      </c>
      <c r="P503" s="8" t="n">
        <v>102.576666666667</v>
      </c>
      <c r="Q503" s="8" t="n">
        <v>-5.38662567255957</v>
      </c>
    </row>
    <row r="504" ht="19" customHeight="1">
      <c r="A504" s="6" t="inlineStr">
        <is>
          <t>Thailand</t>
        </is>
      </c>
      <c r="B504" s="10" t="n">
        <v>2013</v>
      </c>
      <c r="C504" s="10" t="n">
        <v>3</v>
      </c>
      <c r="D504" s="6" t="inlineStr">
        <is>
          <t>2013 Q3</t>
        </is>
      </c>
      <c r="E504" s="8" t="n">
        <v>96.6585033333333</v>
      </c>
      <c r="F504" s="10" t="n">
        <v>1.67089542282799</v>
      </c>
      <c r="G504" s="10" t="n">
        <v>0.33295361599881</v>
      </c>
      <c r="H504" s="8" t="n">
        <v>1.74741048657137</v>
      </c>
      <c r="I504" s="8" t="n">
        <v>7.04530212989888</v>
      </c>
      <c r="J504" s="8" t="n">
        <v>110.169410705038</v>
      </c>
      <c r="K504" s="8" t="n">
        <v>4.12751177759694</v>
      </c>
      <c r="L504" s="8" t="n">
        <v>106.517639660823</v>
      </c>
      <c r="M504" s="8" t="n">
        <v>-4.91313637859304</v>
      </c>
      <c r="N504" s="8" t="n">
        <v>0.0833333333333333</v>
      </c>
      <c r="O504" s="8" t="n">
        <v>-0.0333333333333333</v>
      </c>
      <c r="P504" s="8" t="n">
        <v>110.27</v>
      </c>
      <c r="Q504" s="8" t="n">
        <v>0.599075538255689</v>
      </c>
    </row>
    <row r="505" ht="19" customHeight="1">
      <c r="A505" s="6" t="inlineStr">
        <is>
          <t>Thailand</t>
        </is>
      </c>
      <c r="B505" s="10" t="n">
        <v>2013</v>
      </c>
      <c r="C505" s="10" t="n">
        <v>4</v>
      </c>
      <c r="D505" s="6" t="inlineStr">
        <is>
          <t>2013 Q4</t>
        </is>
      </c>
      <c r="E505" s="8" t="n">
        <v>97.0311966666667</v>
      </c>
      <c r="F505" s="10" t="n">
        <v>1.68064588018395</v>
      </c>
      <c r="G505" s="10" t="n">
        <v>0.385577388931901</v>
      </c>
      <c r="H505" s="8" t="n">
        <v>0.940601440453837</v>
      </c>
      <c r="I505" s="8" t="n">
        <v>6.2525049427074</v>
      </c>
      <c r="J505" s="8" t="n">
        <v>108.849451055062</v>
      </c>
      <c r="K505" s="8" t="n">
        <v>0.9611454166783771</v>
      </c>
      <c r="L505" s="8" t="n">
        <v>108.042368791302</v>
      </c>
      <c r="M505" s="8" t="n">
        <v>-3.57114341043118</v>
      </c>
      <c r="N505" s="8" t="n">
        <v>0.0866666666666667</v>
      </c>
      <c r="O505" s="8" t="n">
        <v>0.0033333333333333</v>
      </c>
      <c r="P505" s="8" t="n">
        <v>109.21</v>
      </c>
      <c r="Q505" s="8" t="n">
        <v>-0.796342275782702</v>
      </c>
    </row>
    <row r="506" ht="19" customHeight="1">
      <c r="A506" s="6" t="inlineStr">
        <is>
          <t>Thailand</t>
        </is>
      </c>
      <c r="B506" s="10" t="n">
        <v>2014</v>
      </c>
      <c r="C506" s="10" t="n">
        <v>1</v>
      </c>
      <c r="D506" s="6" t="inlineStr">
        <is>
          <t>2014 Q1</t>
        </is>
      </c>
      <c r="E506" s="8" t="n">
        <v>97.7887966666667</v>
      </c>
      <c r="F506" s="10" t="n">
        <v>2.00107735769699</v>
      </c>
      <c r="G506" s="10" t="n">
        <v>0.780779817240229</v>
      </c>
      <c r="H506" s="8" t="n">
        <v>0.670471805257575</v>
      </c>
      <c r="I506" s="8" t="n">
        <v>5.33885638602955</v>
      </c>
      <c r="J506" s="8" t="n">
        <v>107.201853544888</v>
      </c>
      <c r="K506" s="8" t="n">
        <v>-5.78745252172502</v>
      </c>
      <c r="L506" s="8" t="n">
        <v>109.985285302654</v>
      </c>
      <c r="M506" s="8" t="n">
        <v>-2.09977699282194</v>
      </c>
      <c r="N506" s="8" t="n">
        <v>0.07333333333333331</v>
      </c>
      <c r="O506" s="8" t="n">
        <v>-0.0133333333333333</v>
      </c>
      <c r="P506" s="8" t="n">
        <v>108.166666666667</v>
      </c>
      <c r="Q506" s="8" t="n">
        <v>-3.84615384615383</v>
      </c>
    </row>
    <row r="507" ht="19" customHeight="1">
      <c r="A507" s="6" t="inlineStr">
        <is>
          <t>Thailand</t>
        </is>
      </c>
      <c r="B507" s="10" t="n">
        <v>2014</v>
      </c>
      <c r="C507" s="10" t="n">
        <v>2</v>
      </c>
      <c r="D507" s="6" t="inlineStr">
        <is>
          <t>2014 Q2</t>
        </is>
      </c>
      <c r="E507" s="8" t="n">
        <v>98.7205266666667</v>
      </c>
      <c r="F507" s="10" t="n">
        <v>2.47336428162821</v>
      </c>
      <c r="G507" s="10" t="n">
        <v>0.952798307945235</v>
      </c>
      <c r="H507" s="8" t="n">
        <v>0.6880187369706759</v>
      </c>
      <c r="I507" s="8" t="n">
        <v>4.69699452929783</v>
      </c>
      <c r="J507" s="8" t="n">
        <v>106.813419697291</v>
      </c>
      <c r="K507" s="8" t="n">
        <v>-7.56641863410011</v>
      </c>
      <c r="L507" s="8" t="n">
        <v>111.498689744988</v>
      </c>
      <c r="M507" s="8" t="n">
        <v>0.26342483406061</v>
      </c>
      <c r="N507" s="8" t="n">
        <v>0.0933333333333333</v>
      </c>
      <c r="O507" s="8" t="n">
        <v>0.02</v>
      </c>
      <c r="P507" s="8" t="n">
        <v>109.7</v>
      </c>
      <c r="Q507" s="8" t="n">
        <v>6.94439931108439</v>
      </c>
    </row>
    <row r="508" ht="19" customHeight="1">
      <c r="A508" s="6" t="inlineStr">
        <is>
          <t>Thailand</t>
        </is>
      </c>
      <c r="B508" s="10" t="n">
        <v>2014</v>
      </c>
      <c r="C508" s="10" t="n">
        <v>3</v>
      </c>
      <c r="D508" s="6" t="inlineStr">
        <is>
          <t>2014 Q3</t>
        </is>
      </c>
      <c r="E508" s="8" t="n">
        <v>98.5922266666667</v>
      </c>
      <c r="F508" s="10" t="n">
        <v>2.0005723931652</v>
      </c>
      <c r="G508" s="10" t="n">
        <v>-0.129962839879516</v>
      </c>
      <c r="H508" s="8" t="n">
        <v>0.993242253190631</v>
      </c>
      <c r="I508" s="8" t="n">
        <v>4.32691873058616</v>
      </c>
      <c r="J508" s="8" t="n">
        <v>108.938602402541</v>
      </c>
      <c r="K508" s="8" t="n">
        <v>-1.11719604799572</v>
      </c>
      <c r="L508" s="8" t="n">
        <v>104.211407968198</v>
      </c>
      <c r="M508" s="8" t="n">
        <v>-2.16511715802957</v>
      </c>
      <c r="N508" s="8" t="n">
        <v>0.09</v>
      </c>
      <c r="O508" s="8" t="n">
        <v>-0.0033333333333333</v>
      </c>
      <c r="P508" s="8" t="n">
        <v>101.823333333333</v>
      </c>
      <c r="Q508" s="8" t="n">
        <v>-7.65998609473715</v>
      </c>
    </row>
    <row r="509" ht="19" customHeight="1">
      <c r="A509" s="6" t="inlineStr">
        <is>
          <t>Thailand</t>
        </is>
      </c>
      <c r="B509" s="10" t="n">
        <v>2014</v>
      </c>
      <c r="C509" s="10" t="n">
        <v>4</v>
      </c>
      <c r="D509" s="6" t="inlineStr">
        <is>
          <t>2014 Q4</t>
        </is>
      </c>
      <c r="E509" s="8" t="n">
        <v>98.10956</v>
      </c>
      <c r="F509" s="10" t="n">
        <v>1.11135734730539</v>
      </c>
      <c r="G509" s="10" t="n">
        <v>-0.489558541261592</v>
      </c>
      <c r="H509" s="8" t="n">
        <v>1.58614265903408</v>
      </c>
      <c r="I509" s="8" t="n">
        <v>4.22862861989407</v>
      </c>
      <c r="J509" s="8" t="n">
        <v>111.436341234083</v>
      </c>
      <c r="K509" s="8" t="n">
        <v>2.37657622886245</v>
      </c>
      <c r="L509" s="8" t="n">
        <v>99.4046630544031</v>
      </c>
      <c r="M509" s="8" t="n">
        <v>-7.9947393171137</v>
      </c>
      <c r="N509" s="8" t="n">
        <v>0.1</v>
      </c>
      <c r="O509" s="8" t="n">
        <v>0.01</v>
      </c>
      <c r="P509" s="8" t="n">
        <v>76.40333333333329</v>
      </c>
      <c r="Q509" s="8" t="n">
        <v>-30.0399841284376</v>
      </c>
    </row>
    <row r="510" ht="19" customHeight="1">
      <c r="A510" s="6" t="inlineStr">
        <is>
          <t>Thailand</t>
        </is>
      </c>
      <c r="B510" s="10" t="n">
        <v>2015</v>
      </c>
      <c r="C510" s="10" t="n">
        <v>1</v>
      </c>
      <c r="D510" s="6" t="inlineStr">
        <is>
          <t>2015 Q1</t>
        </is>
      </c>
      <c r="E510" s="8" t="n">
        <v>97.2969633333333</v>
      </c>
      <c r="F510" s="10" t="n">
        <v>-0.50295468407271</v>
      </c>
      <c r="G510" s="10" t="n">
        <v>-0.828254317588073</v>
      </c>
      <c r="H510" s="8" t="n">
        <v>2.46672054749996</v>
      </c>
      <c r="I510" s="8" t="n">
        <v>4.40212409885864</v>
      </c>
      <c r="J510" s="8" t="n">
        <v>115.93625541826</v>
      </c>
      <c r="K510" s="8" t="n">
        <v>8.14762206486961</v>
      </c>
      <c r="L510" s="8" t="n">
        <v>100.657732001964</v>
      </c>
      <c r="M510" s="8" t="n">
        <v>-8.4807283765489</v>
      </c>
      <c r="N510" s="8" t="n">
        <v>0.11</v>
      </c>
      <c r="O510" s="8" t="n">
        <v>0.01</v>
      </c>
      <c r="P510" s="8" t="n">
        <v>53.9166666666667</v>
      </c>
      <c r="Q510" s="8" t="n">
        <v>-50.1540832049307</v>
      </c>
    </row>
    <row r="511" ht="19" customHeight="1">
      <c r="A511" s="6" t="inlineStr">
        <is>
          <t>Thailand</t>
        </is>
      </c>
      <c r="B511" s="10" t="n">
        <v>2015</v>
      </c>
      <c r="C511" s="10" t="n">
        <v>2</v>
      </c>
      <c r="D511" s="6" t="inlineStr">
        <is>
          <t>2015 Q2</t>
        </is>
      </c>
      <c r="E511" s="8" t="n">
        <v>97.60856333333329</v>
      </c>
      <c r="F511" s="10" t="n">
        <v>-1.12637500110582</v>
      </c>
      <c r="G511" s="10" t="n">
        <v>0.320256654806861</v>
      </c>
      <c r="H511" s="8" t="n">
        <v>3.08588210007009</v>
      </c>
      <c r="I511" s="8" t="n">
        <v>4.48492721321736</v>
      </c>
      <c r="J511" s="8" t="n">
        <v>113.849446902647</v>
      </c>
      <c r="K511" s="8" t="n">
        <v>6.58721275406782</v>
      </c>
      <c r="L511" s="8" t="n">
        <v>96.8474817130345</v>
      </c>
      <c r="M511" s="8" t="n">
        <v>-13.1402513029193</v>
      </c>
      <c r="N511" s="8" t="n">
        <v>0.123333333333333</v>
      </c>
      <c r="O511" s="8" t="n">
        <v>0.0133333333333333</v>
      </c>
      <c r="P511" s="8" t="n">
        <v>61.6933333333333</v>
      </c>
      <c r="Q511" s="8" t="n">
        <v>-43.761774536615</v>
      </c>
    </row>
    <row r="512" ht="19" customHeight="1">
      <c r="A512" s="6" t="inlineStr">
        <is>
          <t>Thailand</t>
        </is>
      </c>
      <c r="B512" s="10" t="n">
        <v>2015</v>
      </c>
      <c r="C512" s="10" t="n">
        <v>3</v>
      </c>
      <c r="D512" s="6" t="inlineStr">
        <is>
          <t>2015 Q3</t>
        </is>
      </c>
      <c r="E512" s="8" t="n">
        <v>97.50469333333329</v>
      </c>
      <c r="F512" s="10" t="n">
        <v>-1.10306194524868</v>
      </c>
      <c r="G512" s="10" t="n">
        <v>-0.106414843588354</v>
      </c>
      <c r="H512" s="8" t="n">
        <v>3.44362793596513</v>
      </c>
      <c r="I512" s="8" t="n">
        <v>4.47703804572955</v>
      </c>
      <c r="J512" s="8" t="n">
        <v>109.087680555417</v>
      </c>
      <c r="K512" s="8" t="n">
        <v>0.136846030321625</v>
      </c>
      <c r="L512" s="8" t="n">
        <v>92.7459060049042</v>
      </c>
      <c r="M512" s="8" t="n">
        <v>-11.002156277164</v>
      </c>
      <c r="N512" s="8" t="n">
        <v>0.136666666666667</v>
      </c>
      <c r="O512" s="8" t="n">
        <v>0.0133333333333333</v>
      </c>
      <c r="P512" s="8" t="n">
        <v>50.2333333333333</v>
      </c>
      <c r="Q512" s="8" t="n">
        <v>-50.666186532229</v>
      </c>
    </row>
    <row r="513" ht="19" customHeight="1">
      <c r="A513" s="6" t="inlineStr">
        <is>
          <t>Thailand</t>
        </is>
      </c>
      <c r="B513" s="10" t="n">
        <v>2015</v>
      </c>
      <c r="C513" s="10" t="n">
        <v>4</v>
      </c>
      <c r="D513" s="6" t="inlineStr">
        <is>
          <t>2015 Q4</t>
        </is>
      </c>
      <c r="E513" s="8" t="n">
        <v>97.26031</v>
      </c>
      <c r="F513" s="10" t="n">
        <v>-0.865613911631036</v>
      </c>
      <c r="G513" s="10" t="n">
        <v>-0.250637507773988</v>
      </c>
      <c r="H513" s="8" t="n">
        <v>3.53995841292426</v>
      </c>
      <c r="I513" s="8" t="n">
        <v>4.37845658851307</v>
      </c>
      <c r="J513" s="8" t="n">
        <v>107.990305624006</v>
      </c>
      <c r="K513" s="8" t="n">
        <v>-3.09238043165678</v>
      </c>
      <c r="L513" s="8" t="n">
        <v>90.3005619231251</v>
      </c>
      <c r="M513" s="8" t="n">
        <v>-9.15862581446042</v>
      </c>
      <c r="N513" s="8" t="n">
        <v>0.16</v>
      </c>
      <c r="O513" s="8" t="n">
        <v>0.0233333333333333</v>
      </c>
      <c r="P513" s="8" t="n">
        <v>43.57</v>
      </c>
      <c r="Q513" s="8" t="n">
        <v>-42.9736922472842</v>
      </c>
    </row>
    <row r="514" ht="19" customHeight="1">
      <c r="A514" s="6" t="inlineStr">
        <is>
          <t>Thailand</t>
        </is>
      </c>
      <c r="B514" s="10" t="n">
        <v>2016</v>
      </c>
      <c r="C514" s="10" t="n">
        <v>1</v>
      </c>
      <c r="D514" s="6" t="inlineStr">
        <is>
          <t>2016 Q1</t>
        </is>
      </c>
      <c r="E514" s="8" t="n">
        <v>96.8143</v>
      </c>
      <c r="F514" s="10" t="n">
        <v>-0.496072350870558</v>
      </c>
      <c r="G514" s="10" t="n">
        <v>-0.458573492105874</v>
      </c>
      <c r="H514" s="8" t="n">
        <v>3.37487362724199</v>
      </c>
      <c r="I514" s="8" t="n">
        <v>4.18918274298891</v>
      </c>
      <c r="J514" s="8" t="n">
        <v>107.767940991496</v>
      </c>
      <c r="K514" s="8" t="n">
        <v>-7.04552203906833</v>
      </c>
      <c r="L514" s="8" t="n">
        <v>91.66230580090431</v>
      </c>
      <c r="M514" s="8" t="n">
        <v>-8.936647013747329</v>
      </c>
      <c r="N514" s="8" t="n">
        <v>0.36</v>
      </c>
      <c r="O514" s="8" t="n">
        <v>0.2</v>
      </c>
      <c r="P514" s="8" t="n">
        <v>33.6966666666667</v>
      </c>
      <c r="Q514" s="8" t="n">
        <v>-37.5023183925811</v>
      </c>
    </row>
    <row r="515" ht="19" customHeight="1">
      <c r="A515" s="6" t="inlineStr">
        <is>
          <t>Thailand</t>
        </is>
      </c>
      <c r="B515" s="10" t="n">
        <v>2016</v>
      </c>
      <c r="C515" s="10" t="n">
        <v>2</v>
      </c>
      <c r="D515" s="6" t="inlineStr">
        <is>
          <t>2016 Q2</t>
        </is>
      </c>
      <c r="E515" s="8" t="n">
        <v>97.9048833333333</v>
      </c>
      <c r="F515" s="10" t="n">
        <v>0.30357992155674</v>
      </c>
      <c r="G515" s="10" t="n">
        <v>1.12646926469884</v>
      </c>
      <c r="H515" s="8" t="n">
        <v>3.33295335747748</v>
      </c>
      <c r="I515" s="8" t="n">
        <v>4.12651472747467</v>
      </c>
      <c r="J515" s="8" t="n">
        <v>106.262131158294</v>
      </c>
      <c r="K515" s="8" t="n">
        <v>-6.6643413303898</v>
      </c>
      <c r="L515" s="8" t="n">
        <v>96.9846126235507</v>
      </c>
      <c r="M515" s="8" t="n">
        <v>0.141594709630688</v>
      </c>
      <c r="N515" s="8" t="n">
        <v>0.373333333333333</v>
      </c>
      <c r="O515" s="8" t="n">
        <v>0.0133333333333334</v>
      </c>
      <c r="P515" s="8" t="n">
        <v>45.5233333333333</v>
      </c>
      <c r="Q515" s="8" t="n">
        <v>-26.2102874432678</v>
      </c>
    </row>
    <row r="516" ht="19" customHeight="1">
      <c r="A516" s="6" t="inlineStr">
        <is>
          <t>Thailand</t>
        </is>
      </c>
      <c r="B516" s="10" t="n">
        <v>2016</v>
      </c>
      <c r="C516" s="10" t="n">
        <v>3</v>
      </c>
      <c r="D516" s="6" t="inlineStr">
        <is>
          <t>2016 Q3</t>
        </is>
      </c>
      <c r="E516" s="8" t="n">
        <v>97.7551933333333</v>
      </c>
      <c r="F516" s="10" t="n">
        <v>0.256910710075897</v>
      </c>
      <c r="G516" s="10" t="n">
        <v>-0.152893292860934</v>
      </c>
      <c r="H516" s="8" t="n">
        <v>3.41419756173629</v>
      </c>
      <c r="I516" s="8" t="n">
        <v>4.19045247928746</v>
      </c>
      <c r="J516" s="8" t="n">
        <v>106.423813063627</v>
      </c>
      <c r="K516" s="8" t="n">
        <v>-2.44195080345189</v>
      </c>
      <c r="L516" s="8" t="n">
        <v>100.864699533998</v>
      </c>
      <c r="M516" s="8" t="n">
        <v>8.75380259767431</v>
      </c>
      <c r="N516" s="8" t="n">
        <v>0.396666666666667</v>
      </c>
      <c r="O516" s="8" t="n">
        <v>0.0233333333333333</v>
      </c>
      <c r="P516" s="8" t="n">
        <v>45.7866666666667</v>
      </c>
      <c r="Q516" s="8" t="n">
        <v>-8.852023888520231</v>
      </c>
    </row>
    <row r="517" ht="19" customHeight="1">
      <c r="A517" s="6" t="inlineStr">
        <is>
          <t>Thailand</t>
        </is>
      </c>
      <c r="B517" s="10" t="n">
        <v>2016</v>
      </c>
      <c r="C517" s="10" t="n">
        <v>4</v>
      </c>
      <c r="D517" s="6" t="inlineStr">
        <is>
          <t>2016 Q4</t>
        </is>
      </c>
      <c r="E517" s="8" t="n">
        <v>97.92932</v>
      </c>
      <c r="F517" s="10" t="n">
        <v>0.687855097315637</v>
      </c>
      <c r="G517" s="10" t="n">
        <v>0.178125233789794</v>
      </c>
      <c r="H517" s="8" t="n">
        <v>3.61860632123303</v>
      </c>
      <c r="I517" s="8" t="n">
        <v>4.38099606240225</v>
      </c>
      <c r="J517" s="8" t="n">
        <v>107.724608197206</v>
      </c>
      <c r="K517" s="8" t="n">
        <v>-0.246038220991751</v>
      </c>
      <c r="L517" s="8" t="n">
        <v>101.835604997953</v>
      </c>
      <c r="M517" s="8" t="n">
        <v>12.7740545896579</v>
      </c>
      <c r="N517" s="8" t="n">
        <v>0.45</v>
      </c>
      <c r="O517" s="8" t="n">
        <v>0.0533333333333333</v>
      </c>
      <c r="P517" s="8" t="n">
        <v>49.1866666666667</v>
      </c>
      <c r="Q517" s="8" t="n">
        <v>12.8911330426134</v>
      </c>
    </row>
    <row r="518" ht="19" customHeight="1">
      <c r="A518" s="6" t="inlineStr">
        <is>
          <t>Thailand</t>
        </is>
      </c>
      <c r="B518" s="10" t="n">
        <v>2017</v>
      </c>
      <c r="C518" s="10" t="n">
        <v>1</v>
      </c>
      <c r="D518" s="6" t="inlineStr">
        <is>
          <t>2017 Q1</t>
        </is>
      </c>
      <c r="E518" s="8" t="n">
        <v>98.0257133333333</v>
      </c>
      <c r="F518" s="10" t="n">
        <v>1.25127520762256</v>
      </c>
      <c r="G518" s="10" t="n">
        <v>0.0984315354516152</v>
      </c>
      <c r="H518" s="8" t="n">
        <v>3.94617984040939</v>
      </c>
      <c r="I518" s="8" t="n">
        <v>4.69814566732828</v>
      </c>
      <c r="J518" s="8" t="n">
        <v>109.672449862268</v>
      </c>
      <c r="K518" s="8" t="n">
        <v>1.76723137999037</v>
      </c>
      <c r="L518" s="8" t="n">
        <v>100.125779631695</v>
      </c>
      <c r="M518" s="8" t="n">
        <v>9.23331980015236</v>
      </c>
      <c r="N518" s="8" t="n">
        <v>0.7</v>
      </c>
      <c r="O518" s="8" t="n">
        <v>0.25</v>
      </c>
      <c r="P518" s="8" t="n">
        <v>53.68</v>
      </c>
      <c r="Q518" s="8" t="n">
        <v>59.30359085963</v>
      </c>
    </row>
    <row r="519" ht="19" customHeight="1">
      <c r="A519" s="6" t="inlineStr">
        <is>
          <t>Thailand</t>
        </is>
      </c>
      <c r="B519" s="10" t="n">
        <v>2017</v>
      </c>
      <c r="C519" s="10" t="n">
        <v>2</v>
      </c>
      <c r="D519" s="6" t="inlineStr">
        <is>
          <t>2017 Q2</t>
        </is>
      </c>
      <c r="E519" s="8" t="n">
        <v>97.9997333333333</v>
      </c>
      <c r="F519" s="10" t="n">
        <v>0.0968797436559754</v>
      </c>
      <c r="G519" s="10" t="n">
        <v>-0.0265032501336138</v>
      </c>
      <c r="H519" s="8" t="n">
        <v>4.16980962330552</v>
      </c>
      <c r="I519" s="8" t="n">
        <v>4.9508555222313</v>
      </c>
      <c r="J519" s="8" t="n">
        <v>109.708401573631</v>
      </c>
      <c r="K519" s="8" t="n">
        <v>3.24317833434338</v>
      </c>
      <c r="L519" s="8" t="n">
        <v>99.4605526807123</v>
      </c>
      <c r="M519" s="8" t="n">
        <v>2.55292049963849</v>
      </c>
      <c r="N519" s="8" t="n">
        <v>0.95</v>
      </c>
      <c r="O519" s="8" t="n">
        <v>0.25</v>
      </c>
      <c r="P519" s="8" t="n">
        <v>49.67</v>
      </c>
      <c r="Q519" s="8" t="n">
        <v>9.10888189207</v>
      </c>
    </row>
    <row r="520" ht="19" customHeight="1">
      <c r="A520" s="6" t="inlineStr">
        <is>
          <t>Thailand</t>
        </is>
      </c>
      <c r="B520" s="10" t="n">
        <v>2017</v>
      </c>
      <c r="C520" s="10" t="n">
        <v>3</v>
      </c>
      <c r="D520" s="6" t="inlineStr">
        <is>
          <t>2017 Q3</t>
        </is>
      </c>
      <c r="E520" s="8" t="n">
        <v>98.1945733333333</v>
      </c>
      <c r="F520" s="10" t="n">
        <v>0.44946972638249</v>
      </c>
      <c r="G520" s="10" t="n">
        <v>0.198816867528895</v>
      </c>
      <c r="H520" s="8" t="n">
        <v>4.28949589363712</v>
      </c>
      <c r="I520" s="8" t="n">
        <v>5.13912587979719</v>
      </c>
      <c r="J520" s="8" t="n">
        <v>110.444725725224</v>
      </c>
      <c r="K520" s="8" t="n">
        <v>3.77820766409949</v>
      </c>
      <c r="L520" s="8" t="n">
        <v>102.480667511988</v>
      </c>
      <c r="M520" s="8" t="n">
        <v>1.60211450136303</v>
      </c>
      <c r="N520" s="8" t="n">
        <v>1.15333333333333</v>
      </c>
      <c r="O520" s="8" t="n">
        <v>0.203333333333333</v>
      </c>
      <c r="P520" s="8" t="n">
        <v>52.11</v>
      </c>
      <c r="Q520" s="8" t="n">
        <v>13.8104251601631</v>
      </c>
    </row>
    <row r="521" ht="19" customHeight="1">
      <c r="A521" s="6" t="inlineStr">
        <is>
          <t>Thailand</t>
        </is>
      </c>
      <c r="B521" s="10" t="n">
        <v>2017</v>
      </c>
      <c r="C521" s="10" t="n">
        <v>4</v>
      </c>
      <c r="D521" s="6" t="inlineStr">
        <is>
          <t>2017 Q4</t>
        </is>
      </c>
      <c r="E521" s="8" t="n">
        <v>98.78233</v>
      </c>
      <c r="F521" s="10" t="n">
        <v>0.871046587477586</v>
      </c>
      <c r="G521" s="10" t="n">
        <v>0.598563287882969</v>
      </c>
      <c r="H521" s="8" t="n">
        <v>4.30523877103641</v>
      </c>
      <c r="I521" s="8" t="n">
        <v>5.26295692832535</v>
      </c>
      <c r="J521" s="8" t="n">
        <v>112.262442529514</v>
      </c>
      <c r="K521" s="8" t="n">
        <v>4.21243985775441</v>
      </c>
      <c r="L521" s="8" t="n">
        <v>100.792675769869</v>
      </c>
      <c r="M521" s="8" t="n">
        <v>-1.0241302421728</v>
      </c>
      <c r="N521" s="8" t="n">
        <v>1.20333333333333</v>
      </c>
      <c r="O521" s="8" t="n">
        <v>0.05</v>
      </c>
      <c r="P521" s="8" t="n">
        <v>61.53</v>
      </c>
      <c r="Q521" s="8" t="n">
        <v>25.0948766603416</v>
      </c>
    </row>
    <row r="522" ht="19" customHeight="1">
      <c r="A522" s="6" t="inlineStr">
        <is>
          <t>Thailand</t>
        </is>
      </c>
      <c r="B522" s="10" t="n">
        <v>2018</v>
      </c>
      <c r="C522" s="10" t="n">
        <v>1</v>
      </c>
      <c r="D522" s="6" t="inlineStr">
        <is>
          <t>2018 Q1</t>
        </is>
      </c>
      <c r="E522" s="8" t="n">
        <v>98.6427</v>
      </c>
      <c r="F522" s="10" t="n">
        <v>0.629413085287744</v>
      </c>
      <c r="G522" s="10" t="n">
        <v>-0.141351191048045</v>
      </c>
      <c r="H522" s="8" t="n">
        <v>4.21703827126297</v>
      </c>
      <c r="I522" s="8" t="n">
        <v>5.32234879164889</v>
      </c>
      <c r="J522" s="8" t="n">
        <v>113.575005760464</v>
      </c>
      <c r="K522" s="8" t="n">
        <v>3.55837396091505</v>
      </c>
      <c r="L522" s="8" t="n">
        <v>96.02404012089779</v>
      </c>
      <c r="M522" s="8" t="n">
        <v>-4.09658683895945</v>
      </c>
      <c r="N522" s="8" t="n">
        <v>1.44666666666667</v>
      </c>
      <c r="O522" s="8" t="n">
        <v>0.243333333333333</v>
      </c>
      <c r="P522" s="8" t="n">
        <v>66.8066666666667</v>
      </c>
      <c r="Q522" s="8" t="n">
        <v>24.4535519125683</v>
      </c>
    </row>
    <row r="523" ht="19" customHeight="1">
      <c r="A523" s="6" t="inlineStr">
        <is>
          <t>Thailand</t>
        </is>
      </c>
      <c r="B523" s="10" t="n">
        <v>2018</v>
      </c>
      <c r="C523" s="10" t="n">
        <v>2</v>
      </c>
      <c r="D523" s="6" t="inlineStr">
        <is>
          <t>2018 Q2</t>
        </is>
      </c>
      <c r="E523" s="8" t="n">
        <v>99.2889066666667</v>
      </c>
      <c r="F523" s="10" t="n">
        <v>1.31548657275258</v>
      </c>
      <c r="G523" s="10" t="n">
        <v>0.655098316111258</v>
      </c>
      <c r="H523" s="8" t="n">
        <v>4.18409088874726</v>
      </c>
      <c r="I523" s="8" t="n">
        <v>5.08418522454813</v>
      </c>
      <c r="J523" s="8" t="n">
        <v>114.069072087669</v>
      </c>
      <c r="K523" s="8" t="n">
        <v>3.97478265245783</v>
      </c>
      <c r="L523" s="8" t="n">
        <v>96.1737638878632</v>
      </c>
      <c r="M523" s="8" t="n">
        <v>-3.30461545231933</v>
      </c>
      <c r="N523" s="8" t="n">
        <v>1.73666666666667</v>
      </c>
      <c r="O523" s="8" t="n">
        <v>0.29</v>
      </c>
      <c r="P523" s="8" t="n">
        <v>74.5</v>
      </c>
      <c r="Q523" s="8" t="n">
        <v>49.9899335615059</v>
      </c>
    </row>
    <row r="524" ht="19" customHeight="1">
      <c r="A524" s="6" t="inlineStr">
        <is>
          <t>Thailand</t>
        </is>
      </c>
      <c r="B524" s="10" t="n">
        <v>2018</v>
      </c>
      <c r="C524" s="10" t="n">
        <v>3</v>
      </c>
      <c r="D524" s="6" t="inlineStr">
        <is>
          <t>2018 Q3</t>
        </is>
      </c>
      <c r="E524" s="8" t="n">
        <v>99.63825666666671</v>
      </c>
      <c r="F524" s="10" t="n">
        <v>1.47022720739625</v>
      </c>
      <c r="G524" s="10" t="n">
        <v>0.351851996087382</v>
      </c>
      <c r="H524" s="8" t="n">
        <v>4.20639659063961</v>
      </c>
      <c r="I524" s="8" t="n">
        <v>4.54846598887601</v>
      </c>
      <c r="J524" s="8" t="n">
        <v>112.874250624379</v>
      </c>
      <c r="K524" s="8" t="n">
        <v>2.19976543307265</v>
      </c>
      <c r="L524" s="8" t="n">
        <v>93.2694805076009</v>
      </c>
      <c r="M524" s="8" t="n">
        <v>-8.98821917149397</v>
      </c>
      <c r="N524" s="8" t="n">
        <v>1.92333333333333</v>
      </c>
      <c r="O524" s="8" t="n">
        <v>0.186666666666667</v>
      </c>
      <c r="P524" s="8" t="n">
        <v>75.2233333333333</v>
      </c>
      <c r="Q524" s="8" t="n">
        <v>44.3548902961683</v>
      </c>
    </row>
    <row r="525" ht="19" customHeight="1">
      <c r="A525" s="6" t="inlineStr">
        <is>
          <t>Thailand</t>
        </is>
      </c>
      <c r="B525" s="10" t="n">
        <v>2018</v>
      </c>
      <c r="C525" s="10" t="n">
        <v>4</v>
      </c>
      <c r="D525" s="6" t="inlineStr">
        <is>
          <t>2018 Q4</t>
        </is>
      </c>
      <c r="E525" s="8" t="n">
        <v>99.6136333333333</v>
      </c>
      <c r="F525" s="10" t="n">
        <v>0.841550643048539</v>
      </c>
      <c r="G525" s="10" t="n">
        <v>-0.0247127299865313</v>
      </c>
      <c r="H525" s="8" t="n">
        <v>4.28395539912249</v>
      </c>
      <c r="I525" s="8" t="n">
        <v>3.71519054892248</v>
      </c>
      <c r="J525" s="8" t="n">
        <v>114.289468505742</v>
      </c>
      <c r="K525" s="8" t="n">
        <v>1.80561364117369</v>
      </c>
      <c r="L525" s="8" t="n">
        <v>90.7369363173618</v>
      </c>
      <c r="M525" s="8" t="n">
        <v>-9.976656910534739</v>
      </c>
      <c r="N525" s="8" t="n">
        <v>2.22</v>
      </c>
      <c r="O525" s="8" t="n">
        <v>0.296666666666667</v>
      </c>
      <c r="P525" s="8" t="n">
        <v>67.7133333333333</v>
      </c>
      <c r="Q525" s="8" t="n">
        <v>10.0492984452029</v>
      </c>
    </row>
    <row r="526" ht="19" customHeight="1">
      <c r="A526" s="6" t="inlineStr">
        <is>
          <t>Thailand</t>
        </is>
      </c>
      <c r="B526" s="10" t="n">
        <v>2019</v>
      </c>
      <c r="C526" s="10" t="n">
        <v>1</v>
      </c>
      <c r="D526" s="6" t="inlineStr">
        <is>
          <t>2019 Q1</t>
        </is>
      </c>
      <c r="E526" s="8" t="n">
        <v>99.3765833333333</v>
      </c>
      <c r="F526" s="10" t="n">
        <v>0.743981392777515</v>
      </c>
      <c r="G526" s="10" t="n">
        <v>-0.23796943457205</v>
      </c>
      <c r="H526" s="8" t="n">
        <v>4.41676739186116</v>
      </c>
      <c r="I526" s="8" t="n">
        <v>2.58435807138634</v>
      </c>
      <c r="J526" s="8" t="n">
        <v>117.494565417249</v>
      </c>
      <c r="K526" s="8" t="n">
        <v>3.45107590401652</v>
      </c>
      <c r="L526" s="8" t="n">
        <v>93.8324987094736</v>
      </c>
      <c r="M526" s="8" t="n">
        <v>-2.2822841120463</v>
      </c>
      <c r="N526" s="8" t="n">
        <v>2.40333333333333</v>
      </c>
      <c r="O526" s="8" t="n">
        <v>0.183333333333333</v>
      </c>
      <c r="P526" s="8" t="n">
        <v>63.17</v>
      </c>
      <c r="Q526" s="8" t="n">
        <v>-5.4435685061371</v>
      </c>
    </row>
    <row r="527" ht="19" customHeight="1">
      <c r="A527" s="6" t="inlineStr">
        <is>
          <t>Thailand</t>
        </is>
      </c>
      <c r="B527" s="10" t="n">
        <v>2019</v>
      </c>
      <c r="C527" s="10" t="n">
        <v>2</v>
      </c>
      <c r="D527" s="6" t="inlineStr">
        <is>
          <t>2019 Q2</t>
        </is>
      </c>
      <c r="E527" s="8" t="n">
        <v>100.363753333333</v>
      </c>
      <c r="F527" s="10" t="n">
        <v>1.08254456892667</v>
      </c>
      <c r="G527" s="10" t="n">
        <v>0.993362789188268</v>
      </c>
      <c r="H527" s="8" t="n">
        <v>3.54900888465558</v>
      </c>
      <c r="I527" s="8" t="n">
        <v>2.55304055160154</v>
      </c>
      <c r="J527" s="8" t="n">
        <v>118.465769163992</v>
      </c>
      <c r="K527" s="8" t="n">
        <v>3.85441644773281</v>
      </c>
      <c r="L527" s="8" t="n">
        <v>94.8842784155444</v>
      </c>
      <c r="M527" s="8" t="n">
        <v>-1.34078715461562</v>
      </c>
      <c r="N527" s="8" t="n">
        <v>2.39666666666667</v>
      </c>
      <c r="O527" s="8" t="n">
        <v>-0.0066666666666668</v>
      </c>
      <c r="P527" s="8" t="n">
        <v>68.9233333333333</v>
      </c>
      <c r="Q527" s="8" t="n">
        <v>-7.48545861297539</v>
      </c>
    </row>
    <row r="528" ht="19" customHeight="1">
      <c r="A528" s="6" t="inlineStr">
        <is>
          <t>Thailand</t>
        </is>
      </c>
      <c r="B528" s="10" t="n">
        <v>2019</v>
      </c>
      <c r="C528" s="10" t="n">
        <v>3</v>
      </c>
      <c r="D528" s="6" t="inlineStr">
        <is>
          <t>2019 Q3</t>
        </is>
      </c>
      <c r="E528" s="8" t="n">
        <v>100.24361</v>
      </c>
      <c r="F528" s="10" t="n">
        <v>0.60755110896662</v>
      </c>
      <c r="G528" s="10" t="n">
        <v>-0.119707891886334</v>
      </c>
      <c r="H528" s="8" t="n">
        <v>1.68067900974297</v>
      </c>
      <c r="I528" s="8" t="n">
        <v>3.62123795824499</v>
      </c>
      <c r="J528" s="8" t="n">
        <v>121.436157892032</v>
      </c>
      <c r="K528" s="8" t="n">
        <v>7.5853502639371</v>
      </c>
      <c r="L528" s="8" t="n">
        <v>94.5983508132319</v>
      </c>
      <c r="M528" s="8" t="n">
        <v>1.42476434777905</v>
      </c>
      <c r="N528" s="8" t="n">
        <v>2.19</v>
      </c>
      <c r="O528" s="8" t="n">
        <v>-0.206666666666667</v>
      </c>
      <c r="P528" s="8" t="n">
        <v>61.93</v>
      </c>
      <c r="Q528" s="8" t="n">
        <v>-17.6718216865334</v>
      </c>
    </row>
    <row r="529" ht="19" customHeight="1">
      <c r="A529" s="6" t="inlineStr">
        <is>
          <t>Thailand</t>
        </is>
      </c>
      <c r="B529" s="10" t="n">
        <v>2019</v>
      </c>
      <c r="C529" s="10" t="n">
        <v>4</v>
      </c>
      <c r="D529" s="6" t="inlineStr">
        <is>
          <t>2019 Q4</t>
        </is>
      </c>
      <c r="E529" s="8" t="n">
        <v>100.006556666667</v>
      </c>
      <c r="F529" s="10" t="n">
        <v>0.394447346397353</v>
      </c>
      <c r="G529" s="10" t="n">
        <v>-0.23647725110193</v>
      </c>
      <c r="H529" s="8" t="n">
        <v>-1.18822410119282</v>
      </c>
      <c r="I529" s="8" t="n">
        <v>5.78895135953422</v>
      </c>
      <c r="J529" s="8" t="n">
        <v>122.427744475808</v>
      </c>
      <c r="K529" s="8" t="n">
        <v>7.12075756101458</v>
      </c>
      <c r="L529" s="8" t="n">
        <v>98.5900431134575</v>
      </c>
      <c r="M529" s="8" t="n">
        <v>8.654807088293911</v>
      </c>
      <c r="N529" s="8" t="n">
        <v>1.64333333333333</v>
      </c>
      <c r="O529" s="8" t="n">
        <v>-0.546666666666667</v>
      </c>
      <c r="P529" s="8" t="n">
        <v>63.41</v>
      </c>
      <c r="Q529" s="8" t="n">
        <v>-6.35522299891701</v>
      </c>
    </row>
    <row r="530" ht="19" customHeight="1">
      <c r="A530" s="6" t="inlineStr">
        <is>
          <t>Thailand</t>
        </is>
      </c>
      <c r="B530" s="10" t="n">
        <v>2020</v>
      </c>
      <c r="C530" s="10" t="n">
        <v>1</v>
      </c>
      <c r="D530" s="6" t="inlineStr">
        <is>
          <t>2020 Q1</t>
        </is>
      </c>
      <c r="E530" s="8" t="n">
        <v>99.789</v>
      </c>
      <c r="F530" s="10" t="n">
        <v>0.415003869959318</v>
      </c>
      <c r="G530" s="10" t="n">
        <v>-0.217542403136439</v>
      </c>
      <c r="H530" s="8" t="n">
        <v>-5.05770331701174</v>
      </c>
      <c r="I530" s="8" t="n">
        <v>9.056182923130891</v>
      </c>
      <c r="J530" s="8" t="n">
        <v>118.83411481362</v>
      </c>
      <c r="K530" s="8" t="n">
        <v>1.14009477086336</v>
      </c>
      <c r="L530" s="8" t="n">
        <v>101.264856657347</v>
      </c>
      <c r="M530" s="8" t="n">
        <v>7.92087821393919</v>
      </c>
      <c r="N530" s="8" t="n">
        <v>1.26</v>
      </c>
      <c r="O530" s="8" t="n">
        <v>-0.383333333333333</v>
      </c>
      <c r="P530" s="8" t="n">
        <v>50.44</v>
      </c>
      <c r="Q530" s="8" t="n">
        <v>-20.1519708722495</v>
      </c>
    </row>
    <row r="531" ht="19" customHeight="1">
      <c r="A531" s="6" t="inlineStr">
        <is>
          <t>Thailand</t>
        </is>
      </c>
      <c r="B531" s="10" t="n">
        <v>2020</v>
      </c>
      <c r="C531" s="10" t="n">
        <v>2</v>
      </c>
      <c r="D531" s="6" t="inlineStr">
        <is>
          <t>2020 Q2</t>
        </is>
      </c>
      <c r="E531" s="8" t="n">
        <v>97.688</v>
      </c>
      <c r="F531" s="10" t="n">
        <v>-2.66605546770106</v>
      </c>
      <c r="G531" s="10" t="n">
        <v>-2.10544248364049</v>
      </c>
      <c r="H531" s="8" t="n">
        <v>-7.01963813823928</v>
      </c>
      <c r="I531" s="8" t="n">
        <v>10.8045681124474</v>
      </c>
      <c r="J531" s="8" t="n">
        <v>115.347610604457</v>
      </c>
      <c r="K531" s="8" t="n">
        <v>-2.63211776831416</v>
      </c>
      <c r="L531" s="8" t="n">
        <v>94.2610802411244</v>
      </c>
      <c r="M531" s="8" t="n">
        <v>-0.656798138560644</v>
      </c>
      <c r="N531" s="8" t="n">
        <v>0.06</v>
      </c>
      <c r="O531" s="8" t="n">
        <v>-1.2</v>
      </c>
      <c r="P531" s="8" t="n">
        <v>29.3433333333333</v>
      </c>
      <c r="Q531" s="8" t="n">
        <v>-57.426125646854</v>
      </c>
    </row>
    <row r="532" ht="19" customHeight="1">
      <c r="A532" s="6" t="inlineStr">
        <is>
          <t>Thailand</t>
        </is>
      </c>
      <c r="B532" s="10" t="n">
        <v>2020</v>
      </c>
      <c r="C532" s="10" t="n">
        <v>3</v>
      </c>
      <c r="D532" s="6" t="inlineStr">
        <is>
          <t>2020 Q3</t>
        </is>
      </c>
      <c r="E532" s="8" t="n">
        <v>99.5162133333333</v>
      </c>
      <c r="F532" s="10" t="n">
        <v>-0.725628961952451</v>
      </c>
      <c r="G532" s="10" t="n">
        <v>1.87148199710643</v>
      </c>
      <c r="H532" s="8" t="n">
        <v>-7.07403052664047</v>
      </c>
      <c r="I532" s="8" t="n">
        <v>11.0341086757699</v>
      </c>
      <c r="J532" s="8" t="n">
        <v>116.02103261515</v>
      </c>
      <c r="K532" s="8" t="n">
        <v>-4.45923633527401</v>
      </c>
      <c r="L532" s="8" t="n">
        <v>97.88852553233011</v>
      </c>
      <c r="M532" s="8" t="n">
        <v>3.47804659469599</v>
      </c>
      <c r="N532" s="8" t="n">
        <v>0.0933333333333333</v>
      </c>
      <c r="O532" s="8" t="n">
        <v>0.0333333333333333</v>
      </c>
      <c r="P532" s="8" t="n">
        <v>42.9633333333333</v>
      </c>
      <c r="Q532" s="8" t="n">
        <v>-30.6259755638086</v>
      </c>
    </row>
    <row r="533" ht="19" customHeight="1">
      <c r="A533" s="6" t="inlineStr">
        <is>
          <t>Thailand</t>
        </is>
      </c>
      <c r="B533" s="10" t="n">
        <v>2020</v>
      </c>
      <c r="C533" s="10" t="n">
        <v>4</v>
      </c>
      <c r="D533" s="6" t="inlineStr">
        <is>
          <t>2020 Q4</t>
        </is>
      </c>
      <c r="E533" s="8" t="n">
        <v>99.6136333333333</v>
      </c>
      <c r="F533" s="10" t="n">
        <v>-0.392897572349171</v>
      </c>
      <c r="G533" s="10" t="n">
        <v>0.09789359616576571</v>
      </c>
      <c r="H533" s="8" t="n">
        <v>-5.22088053675657</v>
      </c>
      <c r="I533" s="8" t="n">
        <v>9.74480484273284</v>
      </c>
      <c r="J533" s="8" t="n">
        <v>116.651745918689</v>
      </c>
      <c r="K533" s="8" t="n">
        <v>-4.71788366423831</v>
      </c>
      <c r="L533" s="8" t="n">
        <v>107.405441783652</v>
      </c>
      <c r="M533" s="8" t="n">
        <v>8.9414695356711</v>
      </c>
      <c r="N533" s="8" t="n">
        <v>0.09</v>
      </c>
      <c r="O533" s="8" t="n">
        <v>-0.0033333333333333</v>
      </c>
      <c r="P533" s="8" t="n">
        <v>44.29</v>
      </c>
      <c r="Q533" s="8" t="n">
        <v>-30.152972717237</v>
      </c>
    </row>
    <row r="534" ht="19" customHeight="1">
      <c r="A534" s="6" t="inlineStr">
        <is>
          <t>Thailand</t>
        </is>
      </c>
      <c r="B534" s="10" t="n">
        <v>2021</v>
      </c>
      <c r="C534" s="10" t="n">
        <v>1</v>
      </c>
      <c r="D534" s="6" t="inlineStr">
        <is>
          <t>2021 Q1</t>
        </is>
      </c>
      <c r="E534" s="8" t="n">
        <v>99.26000000000001</v>
      </c>
      <c r="F534" s="10" t="n">
        <v>-0.53011855014079</v>
      </c>
      <c r="G534" s="10" t="n">
        <v>-0.355004954141147</v>
      </c>
      <c r="H534" s="8" t="n">
        <v>-1.46018631536726</v>
      </c>
      <c r="I534" s="8" t="n">
        <v>6.936655323994</v>
      </c>
      <c r="J534" s="8" t="n">
        <v>116.154919793441</v>
      </c>
      <c r="K534" s="8" t="n">
        <v>-2.25456723802001</v>
      </c>
      <c r="L534" s="8" t="n">
        <v>106.418456967928</v>
      </c>
      <c r="M534" s="8" t="n">
        <v>5.08922886053087</v>
      </c>
      <c r="N534" s="8" t="n">
        <v>0.08</v>
      </c>
      <c r="O534" s="8" t="n">
        <v>-0.01</v>
      </c>
      <c r="P534" s="8" t="n">
        <v>60.82</v>
      </c>
      <c r="Q534" s="8" t="n">
        <v>20.578905630452</v>
      </c>
    </row>
    <row r="535" ht="19" customHeight="1">
      <c r="A535" s="6" t="inlineStr">
        <is>
          <t>Thailand</t>
        </is>
      </c>
      <c r="B535" s="10" t="n">
        <v>2021</v>
      </c>
      <c r="C535" s="10" t="n">
        <v>2</v>
      </c>
      <c r="D535" s="6" t="inlineStr">
        <is>
          <t>2021 Q2</t>
        </is>
      </c>
      <c r="E535" s="8" t="n">
        <v>99.98666666666669</v>
      </c>
      <c r="F535" s="10" t="n">
        <v>2.35306963666639</v>
      </c>
      <c r="G535" s="10" t="n">
        <v>0.732084088924712</v>
      </c>
      <c r="H535" s="8" t="n">
        <v>1.25159757664754</v>
      </c>
      <c r="I535" s="8" t="n">
        <v>4.96077802200248</v>
      </c>
      <c r="J535" s="8" t="n">
        <v>112.4410074338</v>
      </c>
      <c r="K535" s="8" t="n">
        <v>-2.51986422208932</v>
      </c>
      <c r="L535" s="8" t="n">
        <v>114.551815876528</v>
      </c>
      <c r="M535" s="8" t="n">
        <v>21.5261013172124</v>
      </c>
      <c r="N535" s="8" t="n">
        <v>0.07000000000000001</v>
      </c>
      <c r="O535" s="8" t="n">
        <v>-0.01</v>
      </c>
      <c r="P535" s="8" t="n">
        <v>68.8333333333333</v>
      </c>
      <c r="Q535" s="8" t="n">
        <v>134.579120754288</v>
      </c>
    </row>
    <row r="536" ht="19" customHeight="1">
      <c r="A536" s="6" t="inlineStr">
        <is>
          <t>Thailand</t>
        </is>
      </c>
      <c r="B536" s="10" t="n">
        <v>2021</v>
      </c>
      <c r="C536" s="10" t="n">
        <v>3</v>
      </c>
      <c r="D536" s="6" t="inlineStr">
        <is>
          <t>2021 Q3</t>
        </is>
      </c>
      <c r="E536" s="8" t="n">
        <v>100.216666666667</v>
      </c>
      <c r="F536" s="10" t="n">
        <v>0.703858506942123</v>
      </c>
      <c r="G536" s="10" t="n">
        <v>0.23003067075611</v>
      </c>
      <c r="H536" s="8" t="n">
        <v>2.91447385107674</v>
      </c>
      <c r="I536" s="8" t="n">
        <v>3.81717096091404</v>
      </c>
      <c r="J536" s="8" t="n">
        <v>107.412069014282</v>
      </c>
      <c r="K536" s="8" t="n">
        <v>-7.42017495174714</v>
      </c>
      <c r="L536" s="8" t="n">
        <v>116.298331246585</v>
      </c>
      <c r="M536" s="8" t="n">
        <v>18.8069087915464</v>
      </c>
      <c r="N536" s="8" t="n">
        <v>0.09</v>
      </c>
      <c r="O536" s="8" t="n">
        <v>0.02</v>
      </c>
      <c r="P536" s="8" t="n">
        <v>73.47</v>
      </c>
      <c r="Q536" s="8" t="n">
        <v>71.0062844285825</v>
      </c>
    </row>
    <row r="537" ht="19" customHeight="1">
      <c r="A537" s="6" t="inlineStr">
        <is>
          <t>Thailand</t>
        </is>
      </c>
      <c r="B537" s="10" t="n">
        <v>2021</v>
      </c>
      <c r="C537" s="10" t="n">
        <v>4</v>
      </c>
      <c r="D537" s="6" t="inlineStr">
        <is>
          <t>2021 Q4</t>
        </is>
      </c>
      <c r="E537" s="8" t="n">
        <v>102.023333333333</v>
      </c>
      <c r="F537" s="10" t="n">
        <v>2.41904638889789</v>
      </c>
      <c r="G537" s="10" t="n">
        <v>1.8027606851821</v>
      </c>
      <c r="H537" s="8" t="n">
        <v>3.52844417079948</v>
      </c>
      <c r="I537" s="8" t="n">
        <v>3.5058329970793</v>
      </c>
      <c r="J537" s="8" t="n">
        <v>108.337953232208</v>
      </c>
      <c r="K537" s="8" t="n">
        <v>-7.12701950665685</v>
      </c>
      <c r="L537" s="8" t="n">
        <v>122.679602624024</v>
      </c>
      <c r="M537" s="8" t="n">
        <v>14.2210306914792</v>
      </c>
      <c r="N537" s="8" t="n">
        <v>0.08</v>
      </c>
      <c r="O537" s="8" t="n">
        <v>-0.01</v>
      </c>
      <c r="P537" s="8" t="n">
        <v>79.5866666666667</v>
      </c>
      <c r="Q537" s="8" t="n">
        <v>79.69443817265</v>
      </c>
    </row>
    <row r="538" ht="19" customHeight="1">
      <c r="A538" s="6" t="inlineStr">
        <is>
          <t>Thailand</t>
        </is>
      </c>
      <c r="B538" s="10" t="n">
        <v>2022</v>
      </c>
      <c r="C538" s="10" t="n">
        <v>1</v>
      </c>
      <c r="D538" s="6" t="inlineStr">
        <is>
          <t>2022 Q1</t>
        </is>
      </c>
      <c r="E538" s="8" t="n">
        <v>103.966666666667</v>
      </c>
      <c r="F538" s="10" t="n">
        <v>4.74175565853985</v>
      </c>
      <c r="G538" s="10" t="n">
        <v>1.9047930212043</v>
      </c>
      <c r="H538" s="8" t="n">
        <v>3.09350914979449</v>
      </c>
      <c r="I538" s="8" t="n">
        <v>4.02676381918634</v>
      </c>
      <c r="J538" s="8" t="n">
        <v>111.194013367968</v>
      </c>
      <c r="K538" s="8" t="n">
        <v>-4.27093956441522</v>
      </c>
      <c r="L538" s="8" t="n">
        <v>124.25343875034</v>
      </c>
      <c r="M538" s="8" t="n">
        <v>16.7592937264516</v>
      </c>
      <c r="N538" s="8" t="n">
        <v>0.12</v>
      </c>
      <c r="O538" s="8" t="n">
        <v>0.04</v>
      </c>
      <c r="P538" s="8" t="n">
        <v>100.296666666667</v>
      </c>
      <c r="Q538" s="8" t="n">
        <v>64.9073769593335</v>
      </c>
    </row>
    <row r="539" ht="19" customHeight="1">
      <c r="A539" s="6" t="inlineStr">
        <is>
          <t>Thailand</t>
        </is>
      </c>
      <c r="B539" s="10" t="n">
        <v>2022</v>
      </c>
      <c r="C539" s="10" t="n">
        <v>2</v>
      </c>
      <c r="D539" s="6" t="inlineStr">
        <is>
          <t>2022 Q2</t>
        </is>
      </c>
      <c r="E539" s="8" t="n">
        <v>106.45</v>
      </c>
      <c r="F539" s="10" t="n">
        <v>6.46419522603014</v>
      </c>
      <c r="G539" s="10" t="n">
        <v>2.38858608528374</v>
      </c>
      <c r="H539" s="8" t="n">
        <v>2.73726850601738</v>
      </c>
      <c r="I539" s="8" t="n">
        <v>4.17473934525047</v>
      </c>
      <c r="J539" s="8" t="n">
        <v>111.614643270384</v>
      </c>
      <c r="K539" s="8" t="n">
        <v>-0.734931305113262</v>
      </c>
      <c r="L539" s="8" t="n">
        <v>134.351432934678</v>
      </c>
      <c r="M539" s="8" t="n">
        <v>17.2844200736996</v>
      </c>
      <c r="N539" s="8" t="n">
        <v>0.77</v>
      </c>
      <c r="O539" s="8" t="n">
        <v>0.65</v>
      </c>
      <c r="P539" s="8" t="n">
        <v>113.543333333333</v>
      </c>
      <c r="Q539" s="8" t="n">
        <v>64.95399515738499</v>
      </c>
    </row>
    <row r="540" ht="19" customHeight="1">
      <c r="A540" s="6" t="inlineStr">
        <is>
          <t>Thailand</t>
        </is>
      </c>
      <c r="B540" s="10" t="n">
        <v>2022</v>
      </c>
      <c r="C540" s="10" t="n">
        <v>3</v>
      </c>
      <c r="D540" s="6" t="inlineStr">
        <is>
          <t>2022 Q3</t>
        </is>
      </c>
      <c r="E540" s="8" t="n">
        <v>107.523333333333</v>
      </c>
      <c r="F540" s="10" t="n">
        <v>7.29086978213869</v>
      </c>
      <c r="G540" s="10" t="n">
        <v>1.00829810552685</v>
      </c>
      <c r="H540" s="8" t="n">
        <v>2.45972188316087</v>
      </c>
      <c r="I540" s="8" t="n">
        <v>3.94975972327847</v>
      </c>
      <c r="J540" s="8" t="n">
        <v>109.018633547517</v>
      </c>
      <c r="K540" s="8" t="n">
        <v>1.4957020640028</v>
      </c>
      <c r="L540" s="8" t="n">
        <v>118.584751746656</v>
      </c>
      <c r="M540" s="8" t="n">
        <v>1.96599596534466</v>
      </c>
      <c r="N540" s="8" t="n">
        <v>2.19</v>
      </c>
      <c r="O540" s="8" t="n">
        <v>1.42</v>
      </c>
      <c r="P540" s="8" t="n">
        <v>100.713333333333</v>
      </c>
      <c r="Q540" s="8" t="n">
        <v>37.0808946962479</v>
      </c>
    </row>
    <row r="541" ht="19" customHeight="1">
      <c r="A541" s="6" t="inlineStr">
        <is>
          <t>Thailand</t>
        </is>
      </c>
      <c r="B541" s="10" t="n">
        <v>2022</v>
      </c>
      <c r="C541" s="10" t="n">
        <v>4</v>
      </c>
      <c r="D541" s="6" t="inlineStr">
        <is>
          <t>2022 Q4</t>
        </is>
      </c>
      <c r="E541" s="8" t="n">
        <v>107.946666666667</v>
      </c>
      <c r="F541" s="10" t="n">
        <v>5.80586140425394</v>
      </c>
      <c r="G541" s="10" t="n">
        <v>0.393712992528772</v>
      </c>
      <c r="H541" s="8" t="n">
        <v>2.26086900363738</v>
      </c>
      <c r="I541" s="8" t="n">
        <v>3.35182472832199</v>
      </c>
      <c r="J541" s="8" t="n">
        <v>109.810869444561</v>
      </c>
      <c r="K541" s="8" t="n">
        <v>1.35955698664172</v>
      </c>
      <c r="L541" s="8" t="n">
        <v>115.210051245214</v>
      </c>
      <c r="M541" s="8" t="n">
        <v>-6.08866610181539</v>
      </c>
      <c r="N541" s="8" t="n">
        <v>3.65333333333333</v>
      </c>
      <c r="O541" s="8" t="n">
        <v>1.46333333333333</v>
      </c>
      <c r="P541" s="8" t="n">
        <v>88.5566666666667</v>
      </c>
      <c r="Q541" s="8" t="n">
        <v>11.2707321159323</v>
      </c>
    </row>
    <row r="542" ht="19" customHeight="1">
      <c r="A542" s="6" t="inlineStr">
        <is>
          <t>Thailand</t>
        </is>
      </c>
      <c r="B542" s="10" t="n">
        <v>2023</v>
      </c>
      <c r="C542" s="10" t="n">
        <v>1</v>
      </c>
      <c r="D542" s="6" t="inlineStr">
        <is>
          <t>2023 Q1</t>
        </is>
      </c>
      <c r="E542" s="8" t="n">
        <v>107.996666666667</v>
      </c>
      <c r="F542" s="10" t="n">
        <v>3.87624238537994</v>
      </c>
      <c r="G542" s="10" t="n">
        <v>0.0463191699604737</v>
      </c>
      <c r="H542" s="8" t="n">
        <v>2.14070966865466</v>
      </c>
      <c r="I542" s="8" t="n">
        <v>2.38093376242368</v>
      </c>
      <c r="J542" s="8" t="n">
        <v>112.942835895064</v>
      </c>
      <c r="K542" s="8" t="n">
        <v>1.57276680113043</v>
      </c>
      <c r="L542" s="8" t="n">
        <v>114.034689515825</v>
      </c>
      <c r="M542" s="8" t="n">
        <v>-8.224117849203459</v>
      </c>
      <c r="N542" s="8" t="n">
        <v>4.51666666666667</v>
      </c>
      <c r="O542" s="8" t="n">
        <v>0.863333333333333</v>
      </c>
      <c r="P542" s="8" t="n">
        <v>81.1733333333333</v>
      </c>
      <c r="Q542" s="8" t="n">
        <v>-19.0667685865266</v>
      </c>
    </row>
    <row r="543" ht="19" customHeight="1">
      <c r="A543" s="6" t="inlineStr">
        <is>
          <t>Thailand</t>
        </is>
      </c>
      <c r="B543" s="10" t="n">
        <v>2023</v>
      </c>
      <c r="C543" s="10" t="n">
        <v>2</v>
      </c>
      <c r="D543" s="6" t="inlineStr">
        <is>
          <t>2023 Q2</t>
        </is>
      </c>
      <c r="E543" s="8" t="n">
        <v>107.66</v>
      </c>
      <c r="F543" s="10" t="n">
        <v>1.13668388914983</v>
      </c>
      <c r="G543" s="10" t="n">
        <v>-0.311738016605456</v>
      </c>
      <c r="H543" s="8" t="n">
        <v>2.13589580997897</v>
      </c>
      <c r="I543" s="8" t="n">
        <v>1.82039647558257</v>
      </c>
      <c r="J543" s="8" t="n">
        <v>110.085186918663</v>
      </c>
      <c r="K543" s="8" t="n">
        <v>-1.37030080185477</v>
      </c>
      <c r="L543" s="8" t="n">
        <v>109.857789884183</v>
      </c>
      <c r="M543" s="8" t="n">
        <v>-18.2310247948031</v>
      </c>
      <c r="N543" s="8" t="n">
        <v>4.99</v>
      </c>
      <c r="O543" s="8" t="n">
        <v>0.473333333333334</v>
      </c>
      <c r="P543" s="8" t="n">
        <v>78.31666666666671</v>
      </c>
      <c r="Q543" s="8" t="n">
        <v>-31.0248656900449</v>
      </c>
    </row>
    <row r="544" ht="19" customHeight="1">
      <c r="A544" s="6" t="inlineStr">
        <is>
          <t>Thailand</t>
        </is>
      </c>
      <c r="B544" s="10" t="n">
        <v>2023</v>
      </c>
      <c r="C544" s="10" t="n">
        <v>3</v>
      </c>
      <c r="D544" s="6" t="inlineStr">
        <is>
          <t>2023 Q3</t>
        </is>
      </c>
      <c r="E544" s="8" t="n">
        <v>108.083333333333</v>
      </c>
      <c r="F544" s="10" t="n">
        <v>0.5208171869671711</v>
      </c>
      <c r="G544" s="10" t="n">
        <v>0.393213202055853</v>
      </c>
      <c r="H544" s="8" t="n">
        <v>2.2464274227192</v>
      </c>
      <c r="I544" s="8" t="n">
        <v>1.67021230731114</v>
      </c>
      <c r="J544" s="8" t="n">
        <v>109.22402066015</v>
      </c>
      <c r="K544" s="8" t="n">
        <v>0.188396337349928</v>
      </c>
      <c r="L544" s="8" t="n">
        <v>107.510614988168</v>
      </c>
      <c r="M544" s="8" t="n">
        <v>-9.338584088911441</v>
      </c>
      <c r="N544" s="8" t="n">
        <v>5.26</v>
      </c>
      <c r="O544" s="8" t="n">
        <v>0.27</v>
      </c>
      <c r="P544" s="8" t="n">
        <v>86.66</v>
      </c>
      <c r="Q544" s="8" t="n">
        <v>-13.9537962533925</v>
      </c>
    </row>
    <row r="545" ht="19" customHeight="1">
      <c r="A545" s="6" t="inlineStr">
        <is>
          <t>Thailand</t>
        </is>
      </c>
      <c r="B545" s="10" t="n">
        <v>2023</v>
      </c>
      <c r="C545" s="10" t="n">
        <v>4</v>
      </c>
      <c r="D545" s="6" t="inlineStr">
        <is>
          <t>2023 Q4</t>
        </is>
      </c>
      <c r="E545" s="8" t="n">
        <v>107.376666666667</v>
      </c>
      <c r="F545" s="10" t="n">
        <v>-0.528038537549413</v>
      </c>
      <c r="G545" s="10" t="n">
        <v>-0.65381649961449</v>
      </c>
      <c r="H545" s="8" t="n">
        <v>2.4723046174395</v>
      </c>
      <c r="I545" s="8" t="n">
        <v>1.93038110741529</v>
      </c>
      <c r="J545" s="8" t="n">
        <v>107.893008097873</v>
      </c>
      <c r="K545" s="8" t="n">
        <v>-1.74651321530275</v>
      </c>
      <c r="L545" s="8" t="n">
        <v>105.339533846651</v>
      </c>
      <c r="M545" s="8" t="n">
        <v>-8.56740995414912</v>
      </c>
      <c r="N545" s="8" t="n">
        <v>5.33</v>
      </c>
      <c r="O545" s="8" t="n">
        <v>0.0700000000000003</v>
      </c>
      <c r="P545" s="8" t="n">
        <v>83.7233333333333</v>
      </c>
      <c r="Q545" s="8" t="n">
        <v>-5.45789889712802</v>
      </c>
    </row>
    <row r="546" ht="19" customHeight="1">
      <c r="A546" s="6" t="inlineStr">
        <is>
          <t>Thailand</t>
        </is>
      </c>
      <c r="B546" s="10" t="n">
        <v>2024</v>
      </c>
      <c r="C546" s="10" t="n">
        <v>1</v>
      </c>
      <c r="D546" s="6" t="inlineStr">
        <is>
          <t>2024 Q1</t>
        </is>
      </c>
      <c r="E546" s="8" t="n">
        <v>107.15</v>
      </c>
      <c r="F546" s="10" t="n">
        <v>-0.783974814037469</v>
      </c>
      <c r="G546" s="10" t="n">
        <v>-0.211094899574704</v>
      </c>
      <c r="H546" s="8" t="n">
        <v>2.81352762004183</v>
      </c>
      <c r="I546" s="8" t="n">
        <v>2.60090313604888</v>
      </c>
      <c r="J546" s="8" t="n">
        <v>106.969936653259</v>
      </c>
      <c r="K546" s="8" t="n">
        <v>-5.28842683510635</v>
      </c>
      <c r="L546" s="8" t="n">
        <v>102.582568583479</v>
      </c>
      <c r="M546" s="8" t="n">
        <v>-10.0426641936497</v>
      </c>
      <c r="N546" s="8" t="n">
        <v>5.33</v>
      </c>
      <c r="O546" s="8" t="n">
        <v>0</v>
      </c>
      <c r="P546" s="8" t="n">
        <v>83.0033333333333</v>
      </c>
      <c r="Q546" s="8" t="n">
        <v>2.25443495400788</v>
      </c>
    </row>
    <row r="547" ht="19" customHeight="1">
      <c r="A547" s="6" t="inlineStr">
        <is>
          <t>Thailand</t>
        </is>
      </c>
      <c r="B547" s="10" t="n">
        <v>2024</v>
      </c>
      <c r="C547" s="10" t="n">
        <v>2</v>
      </c>
      <c r="D547" s="6" t="inlineStr">
        <is>
          <t>2024 Q2</t>
        </is>
      </c>
      <c r="E547" s="8" t="n">
        <v>109.79</v>
      </c>
      <c r="F547" s="10" t="n">
        <v>1.97845067806055</v>
      </c>
      <c r="G547" s="10" t="n">
        <v>2.4638357442837</v>
      </c>
      <c r="H547" s="8" t="n">
        <v>3.00404563923615</v>
      </c>
      <c r="I547" s="8" t="n">
        <v>3.17729980768973</v>
      </c>
      <c r="J547" s="8" t="n">
        <v>106.69990645158</v>
      </c>
      <c r="K547" s="8" t="n">
        <v>-3.07514622251915</v>
      </c>
      <c r="L547" s="8" t="n">
        <v>104.519793640698</v>
      </c>
      <c r="M547" s="8" t="n">
        <v>-4.85900567371084</v>
      </c>
      <c r="N547" s="8" t="n">
        <v>5.33</v>
      </c>
      <c r="O547" s="8" t="n">
        <v>0</v>
      </c>
      <c r="P547" s="8" t="n">
        <v>84.6466666666667</v>
      </c>
      <c r="Q547" s="8" t="n">
        <v>8.082570759736109</v>
      </c>
    </row>
    <row r="548" ht="19" customHeight="1">
      <c r="A548" s="6" t="inlineStr">
        <is>
          <t>Thailand</t>
        </is>
      </c>
      <c r="B548" s="10" t="n">
        <v>2024</v>
      </c>
      <c r="C548" s="10" t="n">
        <v>3</v>
      </c>
      <c r="D548" s="6" t="inlineStr">
        <is>
          <t>2024 Q3</t>
        </is>
      </c>
      <c r="E548" s="8" t="n">
        <v>109.616666666667</v>
      </c>
      <c r="F548" s="10" t="n">
        <v>1.41865844255977</v>
      </c>
      <c r="G548" s="10" t="n">
        <v>-0.157877159425557</v>
      </c>
      <c r="H548" s="8" t="n">
        <v>3.04385886562327</v>
      </c>
      <c r="I548" s="8" t="n">
        <v>3.65957169871016</v>
      </c>
      <c r="J548" s="8" t="n">
        <v>109.775426617082</v>
      </c>
      <c r="K548" s="8" t="n">
        <v>0.504839460770201</v>
      </c>
      <c r="L548" s="8" t="n">
        <v>106.377099329068</v>
      </c>
      <c r="M548" s="8" t="n">
        <v>-1.05432906250624</v>
      </c>
      <c r="N548" s="8" t="n">
        <v>5.26333333333333</v>
      </c>
      <c r="O548" s="8" t="n">
        <v>-0.0666666666666664</v>
      </c>
      <c r="P548" s="8" t="n">
        <v>79.84333333333331</v>
      </c>
      <c r="Q548" s="8" t="n">
        <v>-7.86598969151473</v>
      </c>
    </row>
    <row r="549" ht="19" customHeight="1">
      <c r="A549" s="6" t="inlineStr">
        <is>
          <t>Thailand</t>
        </is>
      </c>
      <c r="B549" s="10" t="n">
        <v>2024</v>
      </c>
      <c r="C549" s="10" t="n">
        <v>4</v>
      </c>
      <c r="D549" s="6" t="inlineStr">
        <is>
          <t>2024 Q4</t>
        </is>
      </c>
      <c r="E549" s="9" t="inlineStr"/>
      <c r="F549" s="9" t="inlineStr"/>
      <c r="G549" s="9" t="inlineStr"/>
      <c r="H549" s="8" t="n">
        <v>2.93296733892549</v>
      </c>
      <c r="I549" s="8" t="n">
        <v>4.04771929142163</v>
      </c>
      <c r="J549" s="8" t="n">
        <v>112.625346617446</v>
      </c>
      <c r="K549" s="8" t="n">
        <v>4.38614012437233</v>
      </c>
      <c r="L549" s="8" t="n">
        <v>110.645361455409</v>
      </c>
      <c r="M549" s="8" t="n">
        <v>5.03688161035707</v>
      </c>
      <c r="N549" s="8" t="n">
        <v>4.65</v>
      </c>
      <c r="O549" s="8" t="n">
        <v>-0.613333333333333</v>
      </c>
      <c r="P549" s="8" t="n">
        <v>74.6133333333333</v>
      </c>
      <c r="Q549" s="8" t="n">
        <v>-10.8810765616913</v>
      </c>
    </row>
    <row r="550" ht="19" customHeight="1">
      <c r="A550" s="6" t="inlineStr">
        <is>
          <t>Thailand</t>
        </is>
      </c>
      <c r="B550" s="10" t="n">
        <v>2025</v>
      </c>
      <c r="C550" s="10" t="n">
        <v>1</v>
      </c>
      <c r="D550" s="6" t="inlineStr">
        <is>
          <t>2025 Q1</t>
        </is>
      </c>
      <c r="E550" s="9" t="inlineStr"/>
      <c r="F550" s="9" t="inlineStr"/>
      <c r="G550" s="9" t="inlineStr"/>
      <c r="H550" s="8" t="n">
        <v>2.67137094833979</v>
      </c>
      <c r="I550" s="8" t="n">
        <v>4.34174297393989</v>
      </c>
      <c r="J550" s="8" t="n">
        <v>113.18523580788</v>
      </c>
      <c r="K550" s="8" t="n">
        <v>5.81032330117912</v>
      </c>
      <c r="L550" s="8" t="n">
        <v>108.711496383905</v>
      </c>
      <c r="M550" s="8" t="n">
        <v>5.97462891118643</v>
      </c>
      <c r="N550" s="8" t="n">
        <v>4.33</v>
      </c>
      <c r="O550" s="8" t="n">
        <v>-0.32</v>
      </c>
      <c r="P550" s="8" t="n">
        <v>75.8133333333333</v>
      </c>
      <c r="Q550" s="8" t="n">
        <v>-8.662302718766311</v>
      </c>
    </row>
    <row r="551" ht="19" customHeight="1">
      <c r="A551" s="6" t="inlineStr">
        <is>
          <t>Vietnam</t>
        </is>
      </c>
      <c r="B551" s="10" t="n">
        <v>2010</v>
      </c>
      <c r="C551" s="10" t="n">
        <v>1</v>
      </c>
      <c r="D551" s="6" t="inlineStr">
        <is>
          <t>2010 Q1</t>
        </is>
      </c>
      <c r="E551" s="8" t="n">
        <v>59.456447594471</v>
      </c>
      <c r="F551" s="9" t="inlineStr"/>
      <c r="G551" s="9" t="inlineStr"/>
      <c r="H551" s="8" t="n">
        <v>6.37485477047883</v>
      </c>
      <c r="I551" s="8" t="n">
        <v>34.7582998228526</v>
      </c>
      <c r="J551" s="8" t="n">
        <v>111.17136989077</v>
      </c>
      <c r="K551" s="9" t="inlineStr"/>
      <c r="L551" s="8" t="n">
        <v>99.24199528149821</v>
      </c>
      <c r="M551" s="9" t="inlineStr"/>
      <c r="N551" s="8" t="n">
        <v>0.133333333333333</v>
      </c>
      <c r="O551" s="9" t="inlineStr"/>
      <c r="P551" s="8" t="n">
        <v>76.25</v>
      </c>
      <c r="Q551" s="9" t="inlineStr"/>
    </row>
    <row r="552" ht="19" customHeight="1">
      <c r="A552" s="6" t="inlineStr">
        <is>
          <t>Vietnam</t>
        </is>
      </c>
      <c r="B552" s="10" t="n">
        <v>2010</v>
      </c>
      <c r="C552" s="10" t="n">
        <v>2</v>
      </c>
      <c r="D552" s="6" t="inlineStr">
        <is>
          <t>2010 Q2</t>
        </is>
      </c>
      <c r="E552" s="8" t="n">
        <v>60.3742466666667</v>
      </c>
      <c r="F552" s="9" t="inlineStr"/>
      <c r="G552" s="10" t="n">
        <v>1.54364935903275</v>
      </c>
      <c r="H552" s="8" t="n">
        <v>6.39421077962517</v>
      </c>
      <c r="I552" s="8" t="n">
        <v>32.7408238407176</v>
      </c>
      <c r="J552" s="8" t="n">
        <v>113.591816653665</v>
      </c>
      <c r="K552" s="9" t="inlineStr"/>
      <c r="L552" s="8" t="n">
        <v>96.4984622523225</v>
      </c>
      <c r="M552" s="9" t="inlineStr"/>
      <c r="N552" s="8" t="n">
        <v>0.193333333333333</v>
      </c>
      <c r="O552" s="8" t="n">
        <v>0.06</v>
      </c>
      <c r="P552" s="8" t="n">
        <v>78.51000000000001</v>
      </c>
      <c r="Q552" s="9" t="inlineStr"/>
    </row>
    <row r="553" ht="19" customHeight="1">
      <c r="A553" s="6" t="inlineStr">
        <is>
          <t>Vietnam</t>
        </is>
      </c>
      <c r="B553" s="10" t="n">
        <v>2010</v>
      </c>
      <c r="C553" s="10" t="n">
        <v>3</v>
      </c>
      <c r="D553" s="6" t="inlineStr">
        <is>
          <t>2010 Q3</t>
        </is>
      </c>
      <c r="E553" s="8" t="n">
        <v>60.9111933333333</v>
      </c>
      <c r="F553" s="9" t="inlineStr"/>
      <c r="G553" s="10" t="n">
        <v>0.889363754104</v>
      </c>
      <c r="H553" s="8" t="n">
        <v>6.43292281728234</v>
      </c>
      <c r="I553" s="8" t="n">
        <v>28.7058698589108</v>
      </c>
      <c r="J553" s="8" t="n">
        <v>111.361859880741</v>
      </c>
      <c r="K553" s="9" t="inlineStr"/>
      <c r="L553" s="8" t="n">
        <v>107.356970480027</v>
      </c>
      <c r="M553" s="9" t="inlineStr"/>
      <c r="N553" s="8" t="n">
        <v>0.186666666666667</v>
      </c>
      <c r="O553" s="8" t="n">
        <v>-0.0066666666666666</v>
      </c>
      <c r="P553" s="8" t="n">
        <v>76.81999999999999</v>
      </c>
      <c r="Q553" s="9" t="inlineStr"/>
    </row>
    <row r="554" ht="19" customHeight="1">
      <c r="A554" s="6" t="inlineStr">
        <is>
          <t>Vietnam</t>
        </is>
      </c>
      <c r="B554" s="10" t="n">
        <v>2010</v>
      </c>
      <c r="C554" s="10" t="n">
        <v>4</v>
      </c>
      <c r="D554" s="6" t="inlineStr">
        <is>
          <t>2010 Q4</t>
        </is>
      </c>
      <c r="E554" s="8" t="n">
        <v>63.32145</v>
      </c>
      <c r="F554" s="9" t="inlineStr"/>
      <c r="G554" s="10" t="n">
        <v>3.95700122549998</v>
      </c>
      <c r="H554" s="8" t="n">
        <v>6.49099092216785</v>
      </c>
      <c r="I554" s="8" t="n">
        <v>22.6534338424805</v>
      </c>
      <c r="J554" s="8" t="n">
        <v>110.012543916975</v>
      </c>
      <c r="K554" s="9" t="inlineStr"/>
      <c r="L554" s="8" t="n">
        <v>124.608736829891</v>
      </c>
      <c r="M554" s="9" t="inlineStr"/>
      <c r="N554" s="8" t="n">
        <v>0.186666666666667</v>
      </c>
      <c r="O554" s="8" t="n">
        <v>0</v>
      </c>
      <c r="P554" s="8" t="n">
        <v>86.4666666666667</v>
      </c>
      <c r="Q554" s="9" t="inlineStr"/>
    </row>
    <row r="555" ht="19" customHeight="1">
      <c r="A555" s="6" t="inlineStr">
        <is>
          <t>Vietnam</t>
        </is>
      </c>
      <c r="B555" s="10" t="n">
        <v>2011</v>
      </c>
      <c r="C555" s="10" t="n">
        <v>1</v>
      </c>
      <c r="D555" s="6" t="inlineStr">
        <is>
          <t>2011 Q1</t>
        </is>
      </c>
      <c r="E555" s="8" t="n">
        <v>67.0649566666667</v>
      </c>
      <c r="F555" s="10" t="n">
        <v>12.7967771032847</v>
      </c>
      <c r="G555" s="10" t="n">
        <v>5.91190926086922</v>
      </c>
      <c r="H555" s="8" t="n">
        <v>6.56841515235233</v>
      </c>
      <c r="I555" s="8" t="n">
        <v>14.5835097390397</v>
      </c>
      <c r="J555" s="8" t="n">
        <v>107.45534567144</v>
      </c>
      <c r="K555" s="8" t="n">
        <v>-3.34260900354161</v>
      </c>
      <c r="L555" s="8" t="n">
        <v>121.875946057639</v>
      </c>
      <c r="M555" s="8" t="n">
        <v>22.8068276055313</v>
      </c>
      <c r="N555" s="8" t="n">
        <v>0.156666666666667</v>
      </c>
      <c r="O555" s="8" t="n">
        <v>-0.03</v>
      </c>
      <c r="P555" s="8" t="n">
        <v>104.96</v>
      </c>
      <c r="Q555" s="8" t="n">
        <v>37.6524590163934</v>
      </c>
    </row>
    <row r="556" ht="19" customHeight="1">
      <c r="A556" s="6" t="inlineStr">
        <is>
          <t>Vietnam</t>
        </is>
      </c>
      <c r="B556" s="10" t="n">
        <v>2011</v>
      </c>
      <c r="C556" s="10" t="n">
        <v>2</v>
      </c>
      <c r="D556" s="6" t="inlineStr">
        <is>
          <t>2011 Q2</t>
        </is>
      </c>
      <c r="E556" s="8" t="n">
        <v>72.0716</v>
      </c>
      <c r="F556" s="10" t="n">
        <v>19.3747400243614</v>
      </c>
      <c r="G556" s="10" t="n">
        <v>7.46536430078957</v>
      </c>
      <c r="H556" s="8" t="n">
        <v>6.53728636861755</v>
      </c>
      <c r="I556" s="8" t="n">
        <v>10.2991163817263</v>
      </c>
      <c r="J556" s="8" t="n">
        <v>107.61526189128</v>
      </c>
      <c r="K556" s="8" t="n">
        <v>-5.2614307425043</v>
      </c>
      <c r="L556" s="8" t="n">
        <v>122.00081812372</v>
      </c>
      <c r="M556" s="8" t="n">
        <v>26.4277329152819</v>
      </c>
      <c r="N556" s="8" t="n">
        <v>0.0933333333333333</v>
      </c>
      <c r="O556" s="8" t="n">
        <v>-0.0633333333333333</v>
      </c>
      <c r="P556" s="8" t="n">
        <v>117.36</v>
      </c>
      <c r="Q556" s="8" t="n">
        <v>49.4841421474971</v>
      </c>
    </row>
    <row r="557" ht="19" customHeight="1">
      <c r="A557" s="6" t="inlineStr">
        <is>
          <t>Vietnam</t>
        </is>
      </c>
      <c r="B557" s="10" t="n">
        <v>2011</v>
      </c>
      <c r="C557" s="10" t="n">
        <v>3</v>
      </c>
      <c r="D557" s="6" t="inlineStr">
        <is>
          <t>2011 Q3</t>
        </is>
      </c>
      <c r="E557" s="8" t="n">
        <v>74.6367066666667</v>
      </c>
      <c r="F557" s="10" t="n">
        <v>22.533647072421</v>
      </c>
      <c r="G557" s="10" t="n">
        <v>3.55910881216273</v>
      </c>
      <c r="H557" s="8" t="n">
        <v>6.39760453989216</v>
      </c>
      <c r="I557" s="8" t="n">
        <v>9.800249486240951</v>
      </c>
      <c r="J557" s="8" t="n">
        <v>111.636625230999</v>
      </c>
      <c r="K557" s="8" t="n">
        <v>0.246732005511086</v>
      </c>
      <c r="L557" s="8" t="n">
        <v>118.888757234176</v>
      </c>
      <c r="M557" s="8" t="n">
        <v>10.7415351817278</v>
      </c>
      <c r="N557" s="8" t="n">
        <v>0.0833333333333333</v>
      </c>
      <c r="O557" s="8" t="n">
        <v>-0.01</v>
      </c>
      <c r="P557" s="8" t="n">
        <v>113.34</v>
      </c>
      <c r="Q557" s="8" t="n">
        <v>47.5397032022911</v>
      </c>
    </row>
    <row r="558" ht="19" customHeight="1">
      <c r="A558" s="6" t="inlineStr">
        <is>
          <t>Vietnam</t>
        </is>
      </c>
      <c r="B558" s="10" t="n">
        <v>2011</v>
      </c>
      <c r="C558" s="10" t="n">
        <v>4</v>
      </c>
      <c r="D558" s="6" t="inlineStr">
        <is>
          <t>2011 Q4</t>
        </is>
      </c>
      <c r="E558" s="8" t="n">
        <v>75.8755666666667</v>
      </c>
      <c r="F558" s="10" t="n">
        <v>19.8260094591432</v>
      </c>
      <c r="G558" s="10" t="n">
        <v>1.65985351622338</v>
      </c>
      <c r="H558" s="8" t="n">
        <v>6.14936952643489</v>
      </c>
      <c r="I558" s="8" t="n">
        <v>13.0869085536845</v>
      </c>
      <c r="J558" s="8" t="n">
        <v>115.782649188918</v>
      </c>
      <c r="K558" s="8" t="n">
        <v>5.24495213591052</v>
      </c>
      <c r="L558" s="8" t="n">
        <v>112.174119298219</v>
      </c>
      <c r="M558" s="8" t="n">
        <v>-9.978929124887189</v>
      </c>
      <c r="N558" s="8" t="n">
        <v>0.07333333333333331</v>
      </c>
      <c r="O558" s="8" t="n">
        <v>-0.01</v>
      </c>
      <c r="P558" s="8" t="n">
        <v>109.396666666667</v>
      </c>
      <c r="Q558" s="8" t="n">
        <v>26.5188897455667</v>
      </c>
    </row>
    <row r="559" ht="19" customHeight="1">
      <c r="A559" s="6" t="inlineStr">
        <is>
          <t>Vietnam</t>
        </is>
      </c>
      <c r="B559" s="10" t="n">
        <v>2012</v>
      </c>
      <c r="C559" s="10" t="n">
        <v>1</v>
      </c>
      <c r="D559" s="6" t="inlineStr">
        <is>
          <t>2012 Q1</t>
        </is>
      </c>
      <c r="E559" s="8" t="n">
        <v>77.7490966666667</v>
      </c>
      <c r="F559" s="10" t="n">
        <v>15.9310324363638</v>
      </c>
      <c r="G559" s="10" t="n">
        <v>2.46921384881476</v>
      </c>
      <c r="H559" s="8" t="n">
        <v>5.79258108004786</v>
      </c>
      <c r="I559" s="8" t="n">
        <v>20.1590968706612</v>
      </c>
      <c r="J559" s="8" t="n">
        <v>117.238939862637</v>
      </c>
      <c r="K559" s="8" t="n">
        <v>9.1047998869326</v>
      </c>
      <c r="L559" s="8" t="n">
        <v>112.921025549072</v>
      </c>
      <c r="M559" s="8" t="n">
        <v>-7.3475700482622</v>
      </c>
      <c r="N559" s="8" t="n">
        <v>0.103333333333333</v>
      </c>
      <c r="O559" s="8" t="n">
        <v>0.03</v>
      </c>
      <c r="P559" s="8" t="n">
        <v>118.49</v>
      </c>
      <c r="Q559" s="8" t="n">
        <v>12.890625</v>
      </c>
    </row>
    <row r="560" ht="19" customHeight="1">
      <c r="A560" s="6" t="inlineStr">
        <is>
          <t>Vietnam</t>
        </is>
      </c>
      <c r="B560" s="10" t="n">
        <v>2012</v>
      </c>
      <c r="C560" s="10" t="n">
        <v>2</v>
      </c>
      <c r="D560" s="6" t="inlineStr">
        <is>
          <t>2012 Q2</t>
        </is>
      </c>
      <c r="E560" s="8" t="n">
        <v>78.2490566666667</v>
      </c>
      <c r="F560" s="10" t="n">
        <v>8.57127726686611</v>
      </c>
      <c r="G560" s="10" t="n">
        <v>0.643042840926489</v>
      </c>
      <c r="H560" s="8" t="n">
        <v>5.53465127020235</v>
      </c>
      <c r="I560" s="8" t="n">
        <v>24.7422304862955</v>
      </c>
      <c r="J560" s="8" t="n">
        <v>119.173775346504</v>
      </c>
      <c r="K560" s="8" t="n">
        <v>10.7405894406509</v>
      </c>
      <c r="L560" s="8" t="n">
        <v>108.674540730789</v>
      </c>
      <c r="M560" s="8" t="n">
        <v>-10.9231049413272</v>
      </c>
      <c r="N560" s="8" t="n">
        <v>0.153333333333333</v>
      </c>
      <c r="O560" s="8" t="n">
        <v>0.05</v>
      </c>
      <c r="P560" s="8" t="n">
        <v>108.416666666667</v>
      </c>
      <c r="Q560" s="8" t="n">
        <v>-7.6204271756419</v>
      </c>
    </row>
    <row r="561" ht="19" customHeight="1">
      <c r="A561" s="6" t="inlineStr">
        <is>
          <t>Vietnam</t>
        </is>
      </c>
      <c r="B561" s="10" t="n">
        <v>2012</v>
      </c>
      <c r="C561" s="10" t="n">
        <v>3</v>
      </c>
      <c r="D561" s="6" t="inlineStr">
        <is>
          <t>2012 Q3</t>
        </is>
      </c>
      <c r="E561" s="8" t="n">
        <v>78.8359333333333</v>
      </c>
      <c r="F561" s="10" t="n">
        <v>5.62622180721442</v>
      </c>
      <c r="G561" s="10" t="n">
        <v>0.750011171593656</v>
      </c>
      <c r="H561" s="8" t="n">
        <v>5.37557983897599</v>
      </c>
      <c r="I561" s="8" t="n">
        <v>26.836313983763</v>
      </c>
      <c r="J561" s="8" t="n">
        <v>120.473739237794</v>
      </c>
      <c r="K561" s="8" t="n">
        <v>7.91596305290474</v>
      </c>
      <c r="L561" s="8" t="n">
        <v>112.021404013206</v>
      </c>
      <c r="M561" s="8" t="n">
        <v>-5.77628480668088</v>
      </c>
      <c r="N561" s="8" t="n">
        <v>0.143333333333333</v>
      </c>
      <c r="O561" s="8" t="n">
        <v>-0.01</v>
      </c>
      <c r="P561" s="8" t="n">
        <v>109.613333333333</v>
      </c>
      <c r="Q561" s="8" t="n">
        <v>-3.28804187988943</v>
      </c>
    </row>
    <row r="562" ht="19" customHeight="1">
      <c r="A562" s="6" t="inlineStr">
        <is>
          <t>Vietnam</t>
        </is>
      </c>
      <c r="B562" s="10" t="n">
        <v>2012</v>
      </c>
      <c r="C562" s="10" t="n">
        <v>4</v>
      </c>
      <c r="D562" s="6" t="inlineStr">
        <is>
          <t>2012 Q4</t>
        </is>
      </c>
      <c r="E562" s="8" t="n">
        <v>81.1574466666667</v>
      </c>
      <c r="F562" s="10" t="n">
        <v>6.96123960853452</v>
      </c>
      <c r="G562" s="10" t="n">
        <v>2.94474008891039</v>
      </c>
      <c r="H562" s="8" t="n">
        <v>5.31536662728997</v>
      </c>
      <c r="I562" s="8" t="n">
        <v>26.4413494571709</v>
      </c>
      <c r="J562" s="8" t="n">
        <v>121.85880195904</v>
      </c>
      <c r="K562" s="8" t="n">
        <v>5.24789578808809</v>
      </c>
      <c r="L562" s="8" t="n">
        <v>112.043606667623</v>
      </c>
      <c r="M562" s="8" t="n">
        <v>-0.116348255206267</v>
      </c>
      <c r="N562" s="8" t="n">
        <v>0.16</v>
      </c>
      <c r="O562" s="8" t="n">
        <v>0.0166666666666667</v>
      </c>
      <c r="P562" s="8" t="n">
        <v>110.086666666667</v>
      </c>
      <c r="Q562" s="8" t="n">
        <v>0.630732197812245</v>
      </c>
    </row>
    <row r="563" ht="19" customHeight="1">
      <c r="A563" s="6" t="inlineStr">
        <is>
          <t>Vietnam</t>
        </is>
      </c>
      <c r="B563" s="10" t="n">
        <v>2013</v>
      </c>
      <c r="C563" s="10" t="n">
        <v>1</v>
      </c>
      <c r="D563" s="6" t="inlineStr">
        <is>
          <t>2013 Q1</t>
        </is>
      </c>
      <c r="E563" s="8" t="n">
        <v>83.12078</v>
      </c>
      <c r="F563" s="10" t="n">
        <v>6.90899774226745</v>
      </c>
      <c r="G563" s="10" t="n">
        <v>2.41916597178964</v>
      </c>
      <c r="H563" s="8" t="n">
        <v>5.35401157493402</v>
      </c>
      <c r="I563" s="8" t="n">
        <v>23.557336511545</v>
      </c>
      <c r="J563" s="8" t="n">
        <v>125.502337585123</v>
      </c>
      <c r="K563" s="8" t="n">
        <v>7.0483388302284</v>
      </c>
      <c r="L563" s="8" t="n">
        <v>112.344264317549</v>
      </c>
      <c r="M563" s="8" t="n">
        <v>-0.510765137598079</v>
      </c>
      <c r="N563" s="8" t="n">
        <v>0.143333333333333</v>
      </c>
      <c r="O563" s="8" t="n">
        <v>-0.0166666666666667</v>
      </c>
      <c r="P563" s="8" t="n">
        <v>112.493333333333</v>
      </c>
      <c r="Q563" s="8" t="n">
        <v>-5.06090528033308</v>
      </c>
    </row>
    <row r="564" ht="19" customHeight="1">
      <c r="A564" s="6" t="inlineStr">
        <is>
          <t>Vietnam</t>
        </is>
      </c>
      <c r="B564" s="10" t="n">
        <v>2013</v>
      </c>
      <c r="C564" s="10" t="n">
        <v>2</v>
      </c>
      <c r="D564" s="6" t="inlineStr">
        <is>
          <t>2013 Q2</t>
        </is>
      </c>
      <c r="E564" s="8" t="n">
        <v>83.3749466666667</v>
      </c>
      <c r="F564" s="10" t="n">
        <v>6.55073711857739</v>
      </c>
      <c r="G564" s="10" t="n">
        <v>0.305779934532202</v>
      </c>
      <c r="H564" s="8" t="n">
        <v>5.44926919483928</v>
      </c>
      <c r="I564" s="8" t="n">
        <v>21.5405857120606</v>
      </c>
      <c r="J564" s="8" t="n">
        <v>128.392725163938</v>
      </c>
      <c r="K564" s="8" t="n">
        <v>7.73572020407085</v>
      </c>
      <c r="L564" s="8" t="n">
        <v>111.205746192615</v>
      </c>
      <c r="M564" s="8" t="n">
        <v>2.32916140689856</v>
      </c>
      <c r="N564" s="8" t="n">
        <v>0.116666666666667</v>
      </c>
      <c r="O564" s="8" t="n">
        <v>-0.0266666666666667</v>
      </c>
      <c r="P564" s="8" t="n">
        <v>102.576666666667</v>
      </c>
      <c r="Q564" s="8" t="n">
        <v>-5.38662567255957</v>
      </c>
    </row>
    <row r="565" ht="19" customHeight="1">
      <c r="A565" s="6" t="inlineStr">
        <is>
          <t>Vietnam</t>
        </is>
      </c>
      <c r="B565" s="10" t="n">
        <v>2013</v>
      </c>
      <c r="C565" s="10" t="n">
        <v>3</v>
      </c>
      <c r="D565" s="6" t="inlineStr">
        <is>
          <t>2013 Q3</t>
        </is>
      </c>
      <c r="E565" s="8" t="n">
        <v>84.37172</v>
      </c>
      <c r="F565" s="10" t="n">
        <v>7.02190794553077</v>
      </c>
      <c r="G565" s="10" t="n">
        <v>1.19553099964003</v>
      </c>
      <c r="H565" s="8" t="n">
        <v>5.60113958223748</v>
      </c>
      <c r="I565" s="8" t="n">
        <v>20.3910950421512</v>
      </c>
      <c r="J565" s="8" t="n">
        <v>128.758774001653</v>
      </c>
      <c r="K565" s="8" t="n">
        <v>6.87704624781786</v>
      </c>
      <c r="L565" s="8" t="n">
        <v>106.517639660823</v>
      </c>
      <c r="M565" s="8" t="n">
        <v>-4.91313637859304</v>
      </c>
      <c r="N565" s="8" t="n">
        <v>0.0833333333333333</v>
      </c>
      <c r="O565" s="8" t="n">
        <v>-0.0333333333333333</v>
      </c>
      <c r="P565" s="8" t="n">
        <v>110.27</v>
      </c>
      <c r="Q565" s="8" t="n">
        <v>0.599075538255689</v>
      </c>
    </row>
    <row r="566" ht="19" customHeight="1">
      <c r="A566" s="6" t="inlineStr">
        <is>
          <t>Vietnam</t>
        </is>
      </c>
      <c r="B566" s="10" t="n">
        <v>2013</v>
      </c>
      <c r="C566" s="10" t="n">
        <v>4</v>
      </c>
      <c r="D566" s="6" t="inlineStr">
        <is>
          <t>2013 Q4</t>
        </is>
      </c>
      <c r="E566" s="8" t="n">
        <v>85.95638</v>
      </c>
      <c r="F566" s="10" t="n">
        <v>5.91311522286266</v>
      </c>
      <c r="G566" s="10" t="n">
        <v>1.8781885683971</v>
      </c>
      <c r="H566" s="8" t="n">
        <v>5.80962288901283</v>
      </c>
      <c r="I566" s="8" t="n">
        <v>20.1088633522599</v>
      </c>
      <c r="J566" s="8" t="n">
        <v>129.251119005968</v>
      </c>
      <c r="K566" s="8" t="n">
        <v>6.06629716367395</v>
      </c>
      <c r="L566" s="8" t="n">
        <v>108.042368791302</v>
      </c>
      <c r="M566" s="8" t="n">
        <v>-3.57114341043118</v>
      </c>
      <c r="N566" s="8" t="n">
        <v>0.0866666666666667</v>
      </c>
      <c r="O566" s="8" t="n">
        <v>0.0033333333333333</v>
      </c>
      <c r="P566" s="8" t="n">
        <v>109.21</v>
      </c>
      <c r="Q566" s="8" t="n">
        <v>-0.796342275782702</v>
      </c>
    </row>
    <row r="567" ht="19" customHeight="1">
      <c r="A567" s="6" t="inlineStr">
        <is>
          <t>Vietnam</t>
        </is>
      </c>
      <c r="B567" s="10" t="n">
        <v>2014</v>
      </c>
      <c r="C567" s="10" t="n">
        <v>1</v>
      </c>
      <c r="D567" s="6" t="inlineStr">
        <is>
          <t>2014 Q1</t>
        </is>
      </c>
      <c r="E567" s="8" t="n">
        <v>87.13185</v>
      </c>
      <c r="F567" s="10" t="n">
        <v>4.82559234886872</v>
      </c>
      <c r="G567" s="10" t="n">
        <v>1.36751919985463</v>
      </c>
      <c r="H567" s="8" t="n">
        <v>6.07471932364453</v>
      </c>
      <c r="I567" s="8" t="n">
        <v>20.6938903600443</v>
      </c>
      <c r="J567" s="8" t="n">
        <v>131.261937368617</v>
      </c>
      <c r="K567" s="8" t="n">
        <v>4.58923705670986</v>
      </c>
      <c r="L567" s="8" t="n">
        <v>109.985285302654</v>
      </c>
      <c r="M567" s="8" t="n">
        <v>-2.09977699282194</v>
      </c>
      <c r="N567" s="8" t="n">
        <v>0.07333333333333331</v>
      </c>
      <c r="O567" s="8" t="n">
        <v>-0.0133333333333333</v>
      </c>
      <c r="P567" s="8" t="n">
        <v>108.166666666667</v>
      </c>
      <c r="Q567" s="8" t="n">
        <v>-3.84615384615383</v>
      </c>
    </row>
    <row r="568" ht="19" customHeight="1">
      <c r="A568" s="6" t="inlineStr">
        <is>
          <t>Vietnam</t>
        </is>
      </c>
      <c r="B568" s="10" t="n">
        <v>2014</v>
      </c>
      <c r="C568" s="10" t="n">
        <v>2</v>
      </c>
      <c r="D568" s="6" t="inlineStr">
        <is>
          <t>2014 Q2</t>
        </is>
      </c>
      <c r="E568" s="8" t="n">
        <v>87.30786000000001</v>
      </c>
      <c r="F568" s="10" t="n">
        <v>4.71714044874554</v>
      </c>
      <c r="G568" s="10" t="n">
        <v>0.202004203973649</v>
      </c>
      <c r="H568" s="8" t="n">
        <v>6.3197672959994</v>
      </c>
      <c r="I568" s="8" t="n">
        <v>20.5463525603942</v>
      </c>
      <c r="J568" s="8" t="n">
        <v>129.812579723777</v>
      </c>
      <c r="K568" s="8" t="n">
        <v>1.10586838781273</v>
      </c>
      <c r="L568" s="8" t="n">
        <v>111.498689744988</v>
      </c>
      <c r="M568" s="8" t="n">
        <v>0.26342483406061</v>
      </c>
      <c r="N568" s="8" t="n">
        <v>0.0933333333333333</v>
      </c>
      <c r="O568" s="8" t="n">
        <v>0.02</v>
      </c>
      <c r="P568" s="8" t="n">
        <v>109.7</v>
      </c>
      <c r="Q568" s="8" t="n">
        <v>6.94439931108439</v>
      </c>
    </row>
    <row r="569" ht="19" customHeight="1">
      <c r="A569" s="6" t="inlineStr">
        <is>
          <t>Vietnam</t>
        </is>
      </c>
      <c r="B569" s="10" t="n">
        <v>2014</v>
      </c>
      <c r="C569" s="10" t="n">
        <v>3</v>
      </c>
      <c r="D569" s="6" t="inlineStr">
        <is>
          <t>2014 Q3</t>
        </is>
      </c>
      <c r="E569" s="8" t="n">
        <v>87.98776333333331</v>
      </c>
      <c r="F569" s="10" t="n">
        <v>4.28584759601125</v>
      </c>
      <c r="G569" s="10" t="n">
        <v>0.778742410286237</v>
      </c>
      <c r="H569" s="8" t="n">
        <v>6.54476705110965</v>
      </c>
      <c r="I569" s="8" t="n">
        <v>19.66624980556</v>
      </c>
      <c r="J569" s="8" t="n">
        <v>132.085811275897</v>
      </c>
      <c r="K569" s="8" t="n">
        <v>2.58393053214465</v>
      </c>
      <c r="L569" s="8" t="n">
        <v>104.211407968198</v>
      </c>
      <c r="M569" s="8" t="n">
        <v>-2.16511715802957</v>
      </c>
      <c r="N569" s="8" t="n">
        <v>0.09</v>
      </c>
      <c r="O569" s="8" t="n">
        <v>-0.0033333333333333</v>
      </c>
      <c r="P569" s="8" t="n">
        <v>101.823333333333</v>
      </c>
      <c r="Q569" s="8" t="n">
        <v>-7.65998609473715</v>
      </c>
    </row>
    <row r="570" ht="19" customHeight="1">
      <c r="A570" s="6" t="inlineStr">
        <is>
          <t>Vietnam</t>
        </is>
      </c>
      <c r="B570" s="10" t="n">
        <v>2014</v>
      </c>
      <c r="C570" s="10" t="n">
        <v>4</v>
      </c>
      <c r="D570" s="6" t="inlineStr">
        <is>
          <t>2014 Q4</t>
        </is>
      </c>
      <c r="E570" s="8" t="n">
        <v>88.15411</v>
      </c>
      <c r="F570" s="10" t="n">
        <v>2.55679683113692</v>
      </c>
      <c r="G570" s="10" t="n">
        <v>0.189056591922321</v>
      </c>
      <c r="H570" s="8" t="n">
        <v>6.74971881398264</v>
      </c>
      <c r="I570" s="8" t="n">
        <v>18.0535812155297</v>
      </c>
      <c r="J570" s="8" t="n">
        <v>138.26551479132</v>
      </c>
      <c r="K570" s="8" t="n">
        <v>6.9743270732809</v>
      </c>
      <c r="L570" s="8" t="n">
        <v>99.4046630544031</v>
      </c>
      <c r="M570" s="8" t="n">
        <v>-7.9947393171137</v>
      </c>
      <c r="N570" s="8" t="n">
        <v>0.1</v>
      </c>
      <c r="O570" s="8" t="n">
        <v>0.01</v>
      </c>
      <c r="P570" s="8" t="n">
        <v>76.40333333333329</v>
      </c>
      <c r="Q570" s="8" t="n">
        <v>-30.0399841284376</v>
      </c>
    </row>
    <row r="571" ht="19" customHeight="1">
      <c r="A571" s="6" t="inlineStr">
        <is>
          <t>Vietnam</t>
        </is>
      </c>
      <c r="B571" s="10" t="n">
        <v>2015</v>
      </c>
      <c r="C571" s="10" t="n">
        <v>1</v>
      </c>
      <c r="D571" s="6" t="inlineStr">
        <is>
          <t>2015 Q1</t>
        </is>
      </c>
      <c r="E571" s="8" t="n">
        <v>87.77227000000001</v>
      </c>
      <c r="F571" s="10" t="n">
        <v>0.735001035786587</v>
      </c>
      <c r="G571" s="10" t="n">
        <v>-0.433150536032856</v>
      </c>
      <c r="H571" s="8" t="n">
        <v>6.93462278959375</v>
      </c>
      <c r="I571" s="8" t="n">
        <v>15.708345177629</v>
      </c>
      <c r="J571" s="8" t="n">
        <v>144.5815859563</v>
      </c>
      <c r="K571" s="8" t="n">
        <v>10.1473807675703</v>
      </c>
      <c r="L571" s="8" t="n">
        <v>100.657732001964</v>
      </c>
      <c r="M571" s="8" t="n">
        <v>-8.4807283765489</v>
      </c>
      <c r="N571" s="8" t="n">
        <v>0.11</v>
      </c>
      <c r="O571" s="8" t="n">
        <v>0.01</v>
      </c>
      <c r="P571" s="8" t="n">
        <v>53.9166666666667</v>
      </c>
      <c r="Q571" s="8" t="n">
        <v>-50.1540832049307</v>
      </c>
    </row>
    <row r="572" ht="19" customHeight="1">
      <c r="A572" s="6" t="inlineStr">
        <is>
          <t>Vietnam</t>
        </is>
      </c>
      <c r="B572" s="10" t="n">
        <v>2015</v>
      </c>
      <c r="C572" s="10" t="n">
        <v>2</v>
      </c>
      <c r="D572" s="6" t="inlineStr">
        <is>
          <t>2015 Q2</t>
        </is>
      </c>
      <c r="E572" s="8" t="n">
        <v>88.1649666666667</v>
      </c>
      <c r="F572" s="10" t="n">
        <v>0.981706190790432</v>
      </c>
      <c r="G572" s="10" t="n">
        <v>0.447404022553655</v>
      </c>
      <c r="H572" s="8" t="n">
        <v>7.02959694789713</v>
      </c>
      <c r="I572" s="8" t="n">
        <v>14.4502891792296</v>
      </c>
      <c r="J572" s="8" t="n">
        <v>143.785589425353</v>
      </c>
      <c r="K572" s="8" t="n">
        <v>10.7639873818923</v>
      </c>
      <c r="L572" s="8" t="n">
        <v>96.8474817130345</v>
      </c>
      <c r="M572" s="8" t="n">
        <v>-13.1402513029193</v>
      </c>
      <c r="N572" s="8" t="n">
        <v>0.123333333333333</v>
      </c>
      <c r="O572" s="8" t="n">
        <v>0.0133333333333333</v>
      </c>
      <c r="P572" s="8" t="n">
        <v>61.6933333333333</v>
      </c>
      <c r="Q572" s="8" t="n">
        <v>-43.761774536615</v>
      </c>
    </row>
    <row r="573" ht="19" customHeight="1">
      <c r="A573" s="6" t="inlineStr">
        <is>
          <t>Vietnam</t>
        </is>
      </c>
      <c r="B573" s="10" t="n">
        <v>2015</v>
      </c>
      <c r="C573" s="10" t="n">
        <v>3</v>
      </c>
      <c r="D573" s="6" t="inlineStr">
        <is>
          <t>2015 Q3</t>
        </is>
      </c>
      <c r="E573" s="8" t="n">
        <v>88.4291666666667</v>
      </c>
      <c r="F573" s="10" t="n">
        <v>0.501664454932338</v>
      </c>
      <c r="G573" s="10" t="n">
        <v>0.299665513399305</v>
      </c>
      <c r="H573" s="8" t="n">
        <v>7.03464138387847</v>
      </c>
      <c r="I573" s="8" t="n">
        <v>14.2794119623116</v>
      </c>
      <c r="J573" s="8" t="n">
        <v>144.003280740013</v>
      </c>
      <c r="K573" s="8" t="n">
        <v>9.022520548571819</v>
      </c>
      <c r="L573" s="8" t="n">
        <v>92.7459060049042</v>
      </c>
      <c r="M573" s="8" t="n">
        <v>-11.002156277164</v>
      </c>
      <c r="N573" s="8" t="n">
        <v>0.136666666666667</v>
      </c>
      <c r="O573" s="8" t="n">
        <v>0.0133333333333333</v>
      </c>
      <c r="P573" s="8" t="n">
        <v>50.2333333333333</v>
      </c>
      <c r="Q573" s="8" t="n">
        <v>-50.666186532229</v>
      </c>
    </row>
    <row r="574" ht="19" customHeight="1">
      <c r="A574" s="6" t="inlineStr">
        <is>
          <t>Vietnam</t>
        </is>
      </c>
      <c r="B574" s="10" t="n">
        <v>2015</v>
      </c>
      <c r="C574" s="10" t="n">
        <v>4</v>
      </c>
      <c r="D574" s="6" t="inlineStr">
        <is>
          <t>2015 Q4</t>
        </is>
      </c>
      <c r="E574" s="8" t="n">
        <v>88.4280533333333</v>
      </c>
      <c r="F574" s="10" t="n">
        <v>0.310755032673282</v>
      </c>
      <c r="G574" s="10" t="n">
        <v>-0.0012590114498278</v>
      </c>
      <c r="H574" s="8" t="n">
        <v>6.94975610258223</v>
      </c>
      <c r="I574" s="8" t="n">
        <v>15.1957133559261</v>
      </c>
      <c r="J574" s="8" t="n">
        <v>143.423659835799</v>
      </c>
      <c r="K574" s="8" t="n">
        <v>3.73060849790607</v>
      </c>
      <c r="L574" s="8" t="n">
        <v>90.3005619231251</v>
      </c>
      <c r="M574" s="8" t="n">
        <v>-9.15862581446042</v>
      </c>
      <c r="N574" s="8" t="n">
        <v>0.16</v>
      </c>
      <c r="O574" s="8" t="n">
        <v>0.0233333333333333</v>
      </c>
      <c r="P574" s="8" t="n">
        <v>43.57</v>
      </c>
      <c r="Q574" s="8" t="n">
        <v>-42.9736922472842</v>
      </c>
    </row>
    <row r="575" ht="19" customHeight="1">
      <c r="A575" s="6" t="inlineStr">
        <is>
          <t>Vietnam</t>
        </is>
      </c>
      <c r="B575" s="10" t="n">
        <v>2016</v>
      </c>
      <c r="C575" s="10" t="n">
        <v>1</v>
      </c>
      <c r="D575" s="6" t="inlineStr">
        <is>
          <t>2016 Q1</t>
        </is>
      </c>
      <c r="E575" s="8" t="n">
        <v>88.87282</v>
      </c>
      <c r="F575" s="10" t="n">
        <v>1.25386981560349</v>
      </c>
      <c r="G575" s="10" t="n">
        <v>0.502970098176991</v>
      </c>
      <c r="H575" s="8" t="n">
        <v>6.77494101912028</v>
      </c>
      <c r="I575" s="8" t="n">
        <v>17.1991942764666</v>
      </c>
      <c r="J575" s="8" t="n">
        <v>144.386524854051</v>
      </c>
      <c r="K575" s="8" t="n">
        <v>-0.134914208443881</v>
      </c>
      <c r="L575" s="8" t="n">
        <v>91.66230580090431</v>
      </c>
      <c r="M575" s="8" t="n">
        <v>-8.936647013747329</v>
      </c>
      <c r="N575" s="8" t="n">
        <v>0.36</v>
      </c>
      <c r="O575" s="8" t="n">
        <v>0.2</v>
      </c>
      <c r="P575" s="8" t="n">
        <v>33.6966666666667</v>
      </c>
      <c r="Q575" s="8" t="n">
        <v>-37.5023183925811</v>
      </c>
    </row>
    <row r="576" ht="19" customHeight="1">
      <c r="A576" s="6" t="inlineStr">
        <is>
          <t>Vietnam</t>
        </is>
      </c>
      <c r="B576" s="10" t="n">
        <v>2016</v>
      </c>
      <c r="C576" s="10" t="n">
        <v>2</v>
      </c>
      <c r="D576" s="6" t="inlineStr">
        <is>
          <t>2016 Q2</t>
        </is>
      </c>
      <c r="E576" s="8" t="n">
        <v>90.09545</v>
      </c>
      <c r="F576" s="10" t="n">
        <v>2.18962634062132</v>
      </c>
      <c r="G576" s="10" t="n">
        <v>1.3757074435131</v>
      </c>
      <c r="H576" s="8" t="n">
        <v>6.67104219359155</v>
      </c>
      <c r="I576" s="8" t="n">
        <v>18.2730512323375</v>
      </c>
      <c r="J576" s="8" t="n">
        <v>142.128099820463</v>
      </c>
      <c r="K576" s="8" t="n">
        <v>-1.15275085042535</v>
      </c>
      <c r="L576" s="8" t="n">
        <v>96.9846126235507</v>
      </c>
      <c r="M576" s="8" t="n">
        <v>0.141594709630688</v>
      </c>
      <c r="N576" s="8" t="n">
        <v>0.373333333333333</v>
      </c>
      <c r="O576" s="8" t="n">
        <v>0.0133333333333334</v>
      </c>
      <c r="P576" s="8" t="n">
        <v>45.5233333333333</v>
      </c>
      <c r="Q576" s="8" t="n">
        <v>-26.2102874432678</v>
      </c>
    </row>
    <row r="577" ht="19" customHeight="1">
      <c r="A577" s="6" t="inlineStr">
        <is>
          <t>Vietnam</t>
        </is>
      </c>
      <c r="B577" s="10" t="n">
        <v>2016</v>
      </c>
      <c r="C577" s="10" t="n">
        <v>3</v>
      </c>
      <c r="D577" s="6" t="inlineStr">
        <is>
          <t>2016 Q3</t>
        </is>
      </c>
      <c r="E577" s="8" t="n">
        <v>90.8781433333333</v>
      </c>
      <c r="F577" s="10" t="n">
        <v>2.76942185364935</v>
      </c>
      <c r="G577" s="10" t="n">
        <v>0.868737914437778</v>
      </c>
      <c r="H577" s="8" t="n">
        <v>6.63805952209229</v>
      </c>
      <c r="I577" s="8" t="n">
        <v>18.4172852972656</v>
      </c>
      <c r="J577" s="8" t="n">
        <v>142.247913252962</v>
      </c>
      <c r="K577" s="8" t="n">
        <v>-1.2189774274794</v>
      </c>
      <c r="L577" s="8" t="n">
        <v>100.864699533998</v>
      </c>
      <c r="M577" s="8" t="n">
        <v>8.75380259767431</v>
      </c>
      <c r="N577" s="8" t="n">
        <v>0.396666666666667</v>
      </c>
      <c r="O577" s="8" t="n">
        <v>0.0233333333333333</v>
      </c>
      <c r="P577" s="8" t="n">
        <v>45.7866666666667</v>
      </c>
      <c r="Q577" s="8" t="n">
        <v>-8.852023888520231</v>
      </c>
    </row>
    <row r="578" ht="19" customHeight="1">
      <c r="A578" s="6" t="inlineStr">
        <is>
          <t>Vietnam</t>
        </is>
      </c>
      <c r="B578" s="10" t="n">
        <v>2016</v>
      </c>
      <c r="C578" s="10" t="n">
        <v>4</v>
      </c>
      <c r="D578" s="6" t="inlineStr">
        <is>
          <t>2016 Q4</t>
        </is>
      </c>
      <c r="E578" s="8" t="n">
        <v>92.36147333333329</v>
      </c>
      <c r="F578" s="10" t="n">
        <v>4.44815853309899</v>
      </c>
      <c r="G578" s="10" t="n">
        <v>1.63221864531198</v>
      </c>
      <c r="H578" s="8" t="n">
        <v>6.67599297163697</v>
      </c>
      <c r="I578" s="8" t="n">
        <v>17.631896615859</v>
      </c>
      <c r="J578" s="8" t="n">
        <v>146.899667224242</v>
      </c>
      <c r="K578" s="8" t="n">
        <v>2.42359412137656</v>
      </c>
      <c r="L578" s="8" t="n">
        <v>101.835604997953</v>
      </c>
      <c r="M578" s="8" t="n">
        <v>12.7740545896579</v>
      </c>
      <c r="N578" s="8" t="n">
        <v>0.45</v>
      </c>
      <c r="O578" s="8" t="n">
        <v>0.0533333333333333</v>
      </c>
      <c r="P578" s="8" t="n">
        <v>49.1866666666667</v>
      </c>
      <c r="Q578" s="8" t="n">
        <v>12.8911330426134</v>
      </c>
    </row>
    <row r="579" ht="19" customHeight="1">
      <c r="A579" s="6" t="inlineStr">
        <is>
          <t>Vietnam</t>
        </is>
      </c>
      <c r="B579" s="10" t="n">
        <v>2017</v>
      </c>
      <c r="C579" s="10" t="n">
        <v>1</v>
      </c>
      <c r="D579" s="6" t="inlineStr">
        <is>
          <t>2017 Q1</t>
        </is>
      </c>
      <c r="E579" s="8" t="n">
        <v>93.28167999999999</v>
      </c>
      <c r="F579" s="10" t="n">
        <v>4.96086430024387</v>
      </c>
      <c r="G579" s="10" t="n">
        <v>0.996310077629037</v>
      </c>
      <c r="H579" s="8" t="n">
        <v>6.78484258018122</v>
      </c>
      <c r="I579" s="8" t="n">
        <v>15.9168844023337</v>
      </c>
      <c r="J579" s="8" t="n">
        <v>147.576180525438</v>
      </c>
      <c r="K579" s="8" t="n">
        <v>2.20910896955997</v>
      </c>
      <c r="L579" s="8" t="n">
        <v>100.125779631695</v>
      </c>
      <c r="M579" s="8" t="n">
        <v>9.23331980015236</v>
      </c>
      <c r="N579" s="8" t="n">
        <v>0.7</v>
      </c>
      <c r="O579" s="8" t="n">
        <v>0.25</v>
      </c>
      <c r="P579" s="8" t="n">
        <v>53.68</v>
      </c>
      <c r="Q579" s="8" t="n">
        <v>59.30359085963</v>
      </c>
    </row>
    <row r="580" ht="19" customHeight="1">
      <c r="A580" s="6" t="inlineStr">
        <is>
          <t>Vietnam</t>
        </is>
      </c>
      <c r="B580" s="10" t="n">
        <v>2017</v>
      </c>
      <c r="C580" s="10" t="n">
        <v>2</v>
      </c>
      <c r="D580" s="6" t="inlineStr">
        <is>
          <t>2017 Q2</t>
        </is>
      </c>
      <c r="E580" s="8" t="n">
        <v>93.1048066666667</v>
      </c>
      <c r="F580" s="10" t="n">
        <v>3.34018717556399</v>
      </c>
      <c r="G580" s="10" t="n">
        <v>-0.189612079599466</v>
      </c>
      <c r="H580" s="8" t="n">
        <v>6.89052148843344</v>
      </c>
      <c r="I580" s="8" t="n">
        <v>14.5666737192353</v>
      </c>
      <c r="J580" s="8" t="n">
        <v>144.245726028058</v>
      </c>
      <c r="K580" s="8" t="n">
        <v>1.4899419680344</v>
      </c>
      <c r="L580" s="8" t="n">
        <v>99.4605526807123</v>
      </c>
      <c r="M580" s="8" t="n">
        <v>2.55292049963849</v>
      </c>
      <c r="N580" s="8" t="n">
        <v>0.95</v>
      </c>
      <c r="O580" s="8" t="n">
        <v>0.25</v>
      </c>
      <c r="P580" s="8" t="n">
        <v>49.67</v>
      </c>
      <c r="Q580" s="8" t="n">
        <v>9.10888189207</v>
      </c>
    </row>
    <row r="581" ht="19" customHeight="1">
      <c r="A581" s="6" t="inlineStr">
        <is>
          <t>Vietnam</t>
        </is>
      </c>
      <c r="B581" s="10" t="n">
        <v>2017</v>
      </c>
      <c r="C581" s="10" t="n">
        <v>3</v>
      </c>
      <c r="D581" s="6" t="inlineStr">
        <is>
          <t>2017 Q3</t>
        </is>
      </c>
      <c r="E581" s="8" t="n">
        <v>93.68959</v>
      </c>
      <c r="F581" s="10" t="n">
        <v>3.09364448210008</v>
      </c>
      <c r="G581" s="10" t="n">
        <v>0.628091453352098</v>
      </c>
      <c r="H581" s="8" t="n">
        <v>6.99302980208348</v>
      </c>
      <c r="I581" s="8" t="n">
        <v>13.5812632162491</v>
      </c>
      <c r="J581" s="8" t="n">
        <v>140.947283812123</v>
      </c>
      <c r="K581" s="8" t="n">
        <v>-0.9143399091743331</v>
      </c>
      <c r="L581" s="8" t="n">
        <v>102.480667511988</v>
      </c>
      <c r="M581" s="8" t="n">
        <v>1.60211450136303</v>
      </c>
      <c r="N581" s="8" t="n">
        <v>1.15333333333333</v>
      </c>
      <c r="O581" s="8" t="n">
        <v>0.203333333333333</v>
      </c>
      <c r="P581" s="8" t="n">
        <v>52.11</v>
      </c>
      <c r="Q581" s="8" t="n">
        <v>13.8104251601631</v>
      </c>
    </row>
    <row r="582" ht="19" customHeight="1">
      <c r="A582" s="6" t="inlineStr">
        <is>
          <t>Vietnam</t>
        </is>
      </c>
      <c r="B582" s="10" t="n">
        <v>2017</v>
      </c>
      <c r="C582" s="10" t="n">
        <v>4</v>
      </c>
      <c r="D582" s="6" t="inlineStr">
        <is>
          <t>2017 Q4</t>
        </is>
      </c>
      <c r="E582" s="8" t="n">
        <v>94.88245999999999</v>
      </c>
      <c r="F582" s="10" t="n">
        <v>2.72947861882671</v>
      </c>
      <c r="G582" s="10" t="n">
        <v>1.27321509251987</v>
      </c>
      <c r="H582" s="8" t="n">
        <v>7.09236762364725</v>
      </c>
      <c r="I582" s="8" t="n">
        <v>12.9606519081272</v>
      </c>
      <c r="J582" s="8" t="n">
        <v>141.730141023039</v>
      </c>
      <c r="K582" s="8" t="n">
        <v>-3.51908639337611</v>
      </c>
      <c r="L582" s="8" t="n">
        <v>100.792675769869</v>
      </c>
      <c r="M582" s="8" t="n">
        <v>-1.0241302421728</v>
      </c>
      <c r="N582" s="8" t="n">
        <v>1.20333333333333</v>
      </c>
      <c r="O582" s="8" t="n">
        <v>0.05</v>
      </c>
      <c r="P582" s="8" t="n">
        <v>61.53</v>
      </c>
      <c r="Q582" s="8" t="n">
        <v>25.0948766603416</v>
      </c>
    </row>
    <row r="583" ht="19" customHeight="1">
      <c r="A583" s="6" t="inlineStr">
        <is>
          <t>Vietnam</t>
        </is>
      </c>
      <c r="B583" s="10" t="n">
        <v>2018</v>
      </c>
      <c r="C583" s="10" t="n">
        <v>1</v>
      </c>
      <c r="D583" s="6" t="inlineStr">
        <is>
          <t>2018 Q1</t>
        </is>
      </c>
      <c r="E583" s="8" t="n">
        <v>95.9143266666667</v>
      </c>
      <c r="F583" s="10" t="n">
        <v>2.82225477357041</v>
      </c>
      <c r="G583" s="10" t="n">
        <v>1.08752098824869</v>
      </c>
      <c r="H583" s="8" t="n">
        <v>7.18853505246549</v>
      </c>
      <c r="I583" s="8" t="n">
        <v>12.7048391740088</v>
      </c>
      <c r="J583" s="8" t="n">
        <v>137.352727482422</v>
      </c>
      <c r="K583" s="8" t="n">
        <v>-6.92757666353492</v>
      </c>
      <c r="L583" s="8" t="n">
        <v>96.02404012089779</v>
      </c>
      <c r="M583" s="8" t="n">
        <v>-4.09658683895945</v>
      </c>
      <c r="N583" s="8" t="n">
        <v>1.44666666666667</v>
      </c>
      <c r="O583" s="8" t="n">
        <v>0.243333333333333</v>
      </c>
      <c r="P583" s="8" t="n">
        <v>66.8066666666667</v>
      </c>
      <c r="Q583" s="8" t="n">
        <v>24.4535519125683</v>
      </c>
    </row>
    <row r="584" ht="19" customHeight="1">
      <c r="A584" s="6" t="inlineStr">
        <is>
          <t>Vietnam</t>
        </is>
      </c>
      <c r="B584" s="10" t="n">
        <v>2018</v>
      </c>
      <c r="C584" s="10" t="n">
        <v>2</v>
      </c>
      <c r="D584" s="6" t="inlineStr">
        <is>
          <t>2018 Q2</t>
        </is>
      </c>
      <c r="E584" s="8" t="n">
        <v>96.60044000000001</v>
      </c>
      <c r="F584" s="10" t="n">
        <v>3.75451435697447</v>
      </c>
      <c r="G584" s="10" t="n">
        <v>0.71533977996614</v>
      </c>
      <c r="H584" s="8" t="n">
        <v>7.33759066546021</v>
      </c>
      <c r="I584" s="8" t="n">
        <v>12.5999320112181</v>
      </c>
      <c r="J584" s="8" t="n">
        <v>140.843630355472</v>
      </c>
      <c r="K584" s="8" t="n">
        <v>-2.35854175112534</v>
      </c>
      <c r="L584" s="8" t="n">
        <v>96.1737638878632</v>
      </c>
      <c r="M584" s="8" t="n">
        <v>-3.30461545231933</v>
      </c>
      <c r="N584" s="8" t="n">
        <v>1.73666666666667</v>
      </c>
      <c r="O584" s="8" t="n">
        <v>0.29</v>
      </c>
      <c r="P584" s="8" t="n">
        <v>74.5</v>
      </c>
      <c r="Q584" s="8" t="n">
        <v>49.9899335615059</v>
      </c>
    </row>
    <row r="585" ht="19" customHeight="1">
      <c r="A585" s="6" t="inlineStr">
        <is>
          <t>Vietnam</t>
        </is>
      </c>
      <c r="B585" s="10" t="n">
        <v>2018</v>
      </c>
      <c r="C585" s="10" t="n">
        <v>3</v>
      </c>
      <c r="D585" s="6" t="inlineStr">
        <is>
          <t>2018 Q3</t>
        </is>
      </c>
      <c r="E585" s="8" t="n">
        <v>97.5653433333333</v>
      </c>
      <c r="F585" s="10" t="n">
        <v>4.13680253412716</v>
      </c>
      <c r="G585" s="10" t="n">
        <v>0.998860184625783</v>
      </c>
      <c r="H585" s="8" t="n">
        <v>7.53953461175283</v>
      </c>
      <c r="I585" s="8" t="n">
        <v>12.6459303147423</v>
      </c>
      <c r="J585" s="8" t="n">
        <v>143.059281592612</v>
      </c>
      <c r="K585" s="8" t="n">
        <v>1.49843099020222</v>
      </c>
      <c r="L585" s="8" t="n">
        <v>93.2694805076009</v>
      </c>
      <c r="M585" s="8" t="n">
        <v>-8.98821917149397</v>
      </c>
      <c r="N585" s="8" t="n">
        <v>1.92333333333333</v>
      </c>
      <c r="O585" s="8" t="n">
        <v>0.186666666666667</v>
      </c>
      <c r="P585" s="8" t="n">
        <v>75.2233333333333</v>
      </c>
      <c r="Q585" s="8" t="n">
        <v>44.3548902961683</v>
      </c>
    </row>
    <row r="586" ht="19" customHeight="1">
      <c r="A586" s="6" t="inlineStr">
        <is>
          <t>Vietnam</t>
        </is>
      </c>
      <c r="B586" s="10" t="n">
        <v>2018</v>
      </c>
      <c r="C586" s="10" t="n">
        <v>4</v>
      </c>
      <c r="D586" s="6" t="inlineStr">
        <is>
          <t>2018 Q4</t>
        </is>
      </c>
      <c r="E586" s="8" t="n">
        <v>98.15055333333331</v>
      </c>
      <c r="F586" s="10" t="n">
        <v>3.44435982512821</v>
      </c>
      <c r="G586" s="10" t="n">
        <v>0.599813396854065</v>
      </c>
      <c r="H586" s="8" t="n">
        <v>7.79436709322134</v>
      </c>
      <c r="I586" s="8" t="n">
        <v>12.842834130579</v>
      </c>
      <c r="J586" s="8" t="n">
        <v>144.478249454089</v>
      </c>
      <c r="K586" s="8" t="n">
        <v>1.93897248052743</v>
      </c>
      <c r="L586" s="8" t="n">
        <v>90.7369363173618</v>
      </c>
      <c r="M586" s="8" t="n">
        <v>-9.976656910534739</v>
      </c>
      <c r="N586" s="8" t="n">
        <v>2.22</v>
      </c>
      <c r="O586" s="8" t="n">
        <v>0.296666666666667</v>
      </c>
      <c r="P586" s="8" t="n">
        <v>67.7133333333333</v>
      </c>
      <c r="Q586" s="8" t="n">
        <v>10.0492984452029</v>
      </c>
    </row>
    <row r="587" ht="19" customHeight="1">
      <c r="A587" s="6" t="inlineStr">
        <is>
          <t>Vietnam</t>
        </is>
      </c>
      <c r="B587" s="10" t="n">
        <v>2019</v>
      </c>
      <c r="C587" s="10" t="n">
        <v>1</v>
      </c>
      <c r="D587" s="6" t="inlineStr">
        <is>
          <t>2019 Q1</t>
        </is>
      </c>
      <c r="E587" s="8" t="n">
        <v>98.44071</v>
      </c>
      <c r="F587" s="10" t="n">
        <v>2.63399996760998</v>
      </c>
      <c r="G587" s="10" t="n">
        <v>0.29562407629149</v>
      </c>
      <c r="H587" s="8" t="n">
        <v>8.102088364728781</v>
      </c>
      <c r="I587" s="8" t="n">
        <v>13.190643655648</v>
      </c>
      <c r="J587" s="8" t="n">
        <v>143.789306496711</v>
      </c>
      <c r="K587" s="8" t="n">
        <v>4.68616760094052</v>
      </c>
      <c r="L587" s="8" t="n">
        <v>93.8324987094736</v>
      </c>
      <c r="M587" s="8" t="n">
        <v>-2.2822841120463</v>
      </c>
      <c r="N587" s="8" t="n">
        <v>2.40333333333333</v>
      </c>
      <c r="O587" s="8" t="n">
        <v>0.183333333333333</v>
      </c>
      <c r="P587" s="8" t="n">
        <v>63.17</v>
      </c>
      <c r="Q587" s="8" t="n">
        <v>-5.4435685061371</v>
      </c>
    </row>
    <row r="588" ht="19" customHeight="1">
      <c r="A588" s="6" t="inlineStr">
        <is>
          <t>Vietnam</t>
        </is>
      </c>
      <c r="B588" s="10" t="n">
        <v>2019</v>
      </c>
      <c r="C588" s="10" t="n">
        <v>2</v>
      </c>
      <c r="D588" s="6" t="inlineStr">
        <is>
          <t>2019 Q2</t>
        </is>
      </c>
      <c r="E588" s="8" t="n">
        <v>99.1641833333333</v>
      </c>
      <c r="F588" s="10" t="n">
        <v>2.6539665174748</v>
      </c>
      <c r="G588" s="10" t="n">
        <v>0.734933071219568</v>
      </c>
      <c r="H588" s="8" t="n">
        <v>7.92804674305674</v>
      </c>
      <c r="I588" s="8" t="n">
        <v>13.5020307704849</v>
      </c>
      <c r="J588" s="8" t="n">
        <v>145.294450979194</v>
      </c>
      <c r="K588" s="8" t="n">
        <v>3.16011495336257</v>
      </c>
      <c r="L588" s="8" t="n">
        <v>94.8842784155444</v>
      </c>
      <c r="M588" s="8" t="n">
        <v>-1.34078715461562</v>
      </c>
      <c r="N588" s="8" t="n">
        <v>2.39666666666667</v>
      </c>
      <c r="O588" s="8" t="n">
        <v>-0.0066666666666668</v>
      </c>
      <c r="P588" s="8" t="n">
        <v>68.9233333333333</v>
      </c>
      <c r="Q588" s="8" t="n">
        <v>-7.48545861297539</v>
      </c>
    </row>
    <row r="589" ht="19" customHeight="1">
      <c r="A589" s="6" t="inlineStr">
        <is>
          <t>Vietnam</t>
        </is>
      </c>
      <c r="B589" s="10" t="n">
        <v>2019</v>
      </c>
      <c r="C589" s="10" t="n">
        <v>3</v>
      </c>
      <c r="D589" s="6" t="inlineStr">
        <is>
          <t>2019 Q3</t>
        </is>
      </c>
      <c r="E589" s="8" t="n">
        <v>99.73635</v>
      </c>
      <c r="F589" s="10" t="n">
        <v>2.22518221377994</v>
      </c>
      <c r="G589" s="10" t="n">
        <v>0.5769892388901799</v>
      </c>
      <c r="H589" s="8" t="n">
        <v>7.27224205415414</v>
      </c>
      <c r="I589" s="8" t="n">
        <v>13.776995786344</v>
      </c>
      <c r="J589" s="8" t="n">
        <v>146.927093993544</v>
      </c>
      <c r="K589" s="8" t="n">
        <v>2.70364310366602</v>
      </c>
      <c r="L589" s="8" t="n">
        <v>94.5983508132319</v>
      </c>
      <c r="M589" s="8" t="n">
        <v>1.42476434777905</v>
      </c>
      <c r="N589" s="8" t="n">
        <v>2.19</v>
      </c>
      <c r="O589" s="8" t="n">
        <v>-0.206666666666667</v>
      </c>
      <c r="P589" s="8" t="n">
        <v>61.93</v>
      </c>
      <c r="Q589" s="8" t="n">
        <v>-17.6718216865334</v>
      </c>
    </row>
    <row r="590" ht="19" customHeight="1">
      <c r="A590" s="6" t="inlineStr">
        <is>
          <t>Vietnam</t>
        </is>
      </c>
      <c r="B590" s="10" t="n">
        <v>2019</v>
      </c>
      <c r="C590" s="10" t="n">
        <v>4</v>
      </c>
      <c r="D590" s="6" t="inlineStr">
        <is>
          <t>2019 Q4</t>
        </is>
      </c>
      <c r="E590" s="8" t="n">
        <v>101.74366</v>
      </c>
      <c r="F590" s="10" t="n">
        <v>3.66081142147408</v>
      </c>
      <c r="G590" s="10" t="n">
        <v>2.01261626277682</v>
      </c>
      <c r="H590" s="8" t="n">
        <v>6.13467364222677</v>
      </c>
      <c r="I590" s="8" t="n">
        <v>14.015538978154</v>
      </c>
      <c r="J590" s="8" t="n">
        <v>148.986292578172</v>
      </c>
      <c r="K590" s="8" t="n">
        <v>3.12022269173204</v>
      </c>
      <c r="L590" s="8" t="n">
        <v>98.5900431134575</v>
      </c>
      <c r="M590" s="8" t="n">
        <v>8.654807088293911</v>
      </c>
      <c r="N590" s="8" t="n">
        <v>1.64333333333333</v>
      </c>
      <c r="O590" s="8" t="n">
        <v>-0.546666666666667</v>
      </c>
      <c r="P590" s="8" t="n">
        <v>63.41</v>
      </c>
      <c r="Q590" s="8" t="n">
        <v>-6.35522299891701</v>
      </c>
    </row>
    <row r="591" ht="19" customHeight="1">
      <c r="A591" s="6" t="inlineStr">
        <is>
          <t>Vietnam</t>
        </is>
      </c>
      <c r="B591" s="10" t="n">
        <v>2020</v>
      </c>
      <c r="C591" s="10" t="n">
        <v>1</v>
      </c>
      <c r="D591" s="6" t="inlineStr">
        <is>
          <t>2020 Q1</t>
        </is>
      </c>
      <c r="E591" s="8" t="n">
        <v>103.91903</v>
      </c>
      <c r="F591" s="10" t="n">
        <v>5.56509598518742</v>
      </c>
      <c r="G591" s="10" t="n">
        <v>2.13808899738812</v>
      </c>
      <c r="H591" s="8" t="n">
        <v>4.51534036968043</v>
      </c>
      <c r="I591" s="8" t="n">
        <v>14.2176605847407</v>
      </c>
      <c r="J591" s="8" t="n">
        <v>151.671351147827</v>
      </c>
      <c r="K591" s="8" t="n">
        <v>5.48166260979648</v>
      </c>
      <c r="L591" s="8" t="n">
        <v>101.264856657347</v>
      </c>
      <c r="M591" s="8" t="n">
        <v>7.92087821393919</v>
      </c>
      <c r="N591" s="8" t="n">
        <v>1.26</v>
      </c>
      <c r="O591" s="8" t="n">
        <v>-0.383333333333333</v>
      </c>
      <c r="P591" s="8" t="n">
        <v>50.44</v>
      </c>
      <c r="Q591" s="8" t="n">
        <v>-20.1519708722495</v>
      </c>
    </row>
    <row r="592" ht="19" customHeight="1">
      <c r="A592" s="6" t="inlineStr">
        <is>
          <t>Vietnam</t>
        </is>
      </c>
      <c r="B592" s="10" t="n">
        <v>2020</v>
      </c>
      <c r="C592" s="10" t="n">
        <v>2</v>
      </c>
      <c r="D592" s="6" t="inlineStr">
        <is>
          <t>2020 Q2</t>
        </is>
      </c>
      <c r="E592" s="8" t="n">
        <v>101.97118</v>
      </c>
      <c r="F592" s="10" t="n">
        <v>2.83065575927868</v>
      </c>
      <c r="G592" s="10" t="n">
        <v>-1.87439201462907</v>
      </c>
      <c r="H592" s="8" t="n">
        <v>3.2076368191325</v>
      </c>
      <c r="I592" s="8" t="n">
        <v>14.0648411067746</v>
      </c>
      <c r="J592" s="8" t="n">
        <v>151.553001046061</v>
      </c>
      <c r="K592" s="8" t="n">
        <v>4.30749421239962</v>
      </c>
      <c r="L592" s="8" t="n">
        <v>94.2610802411244</v>
      </c>
      <c r="M592" s="8" t="n">
        <v>-0.656798138560644</v>
      </c>
      <c r="N592" s="8" t="n">
        <v>0.06</v>
      </c>
      <c r="O592" s="8" t="n">
        <v>-1.2</v>
      </c>
      <c r="P592" s="8" t="n">
        <v>29.3433333333333</v>
      </c>
      <c r="Q592" s="8" t="n">
        <v>-57.426125646854</v>
      </c>
    </row>
    <row r="593" ht="19" customHeight="1">
      <c r="A593" s="6" t="inlineStr">
        <is>
          <t>Vietnam</t>
        </is>
      </c>
      <c r="B593" s="10" t="n">
        <v>2020</v>
      </c>
      <c r="C593" s="10" t="n">
        <v>3</v>
      </c>
      <c r="D593" s="6" t="inlineStr">
        <is>
          <t>2020 Q3</t>
        </is>
      </c>
      <c r="E593" s="8" t="n">
        <v>102.910033333333</v>
      </c>
      <c r="F593" s="10" t="n">
        <v>3.182072868451</v>
      </c>
      <c r="G593" s="10" t="n">
        <v>0.9207045886233</v>
      </c>
      <c r="H593" s="8" t="n">
        <v>2.21156168287942</v>
      </c>
      <c r="I593" s="8" t="n">
        <v>13.5570803916512</v>
      </c>
      <c r="J593" s="8" t="n">
        <v>148.307482479567</v>
      </c>
      <c r="K593" s="8" t="n">
        <v>0.939505742952784</v>
      </c>
      <c r="L593" s="8" t="n">
        <v>97.88852553233011</v>
      </c>
      <c r="M593" s="8" t="n">
        <v>3.47804659469599</v>
      </c>
      <c r="N593" s="8" t="n">
        <v>0.0933333333333333</v>
      </c>
      <c r="O593" s="8" t="n">
        <v>0.0333333333333333</v>
      </c>
      <c r="P593" s="8" t="n">
        <v>42.9633333333333</v>
      </c>
      <c r="Q593" s="8" t="n">
        <v>-30.6259755638086</v>
      </c>
    </row>
    <row r="594" ht="19" customHeight="1">
      <c r="A594" s="6" t="inlineStr">
        <is>
          <t>Vietnam</t>
        </is>
      </c>
      <c r="B594" s="10" t="n">
        <v>2020</v>
      </c>
      <c r="C594" s="10" t="n">
        <v>4</v>
      </c>
      <c r="D594" s="6" t="inlineStr">
        <is>
          <t>2020 Q4</t>
        </is>
      </c>
      <c r="E594" s="8" t="n">
        <v>103.138953333333</v>
      </c>
      <c r="F594" s="10" t="n">
        <v>1.37138110947976</v>
      </c>
      <c r="G594" s="10" t="n">
        <v>0.222446726120973</v>
      </c>
      <c r="H594" s="8" t="n">
        <v>1.52711396482937</v>
      </c>
      <c r="I594" s="8" t="n">
        <v>12.6943779315532</v>
      </c>
      <c r="J594" s="8" t="n">
        <v>145.266236802146</v>
      </c>
      <c r="K594" s="8" t="n">
        <v>-2.49691143503994</v>
      </c>
      <c r="L594" s="8" t="n">
        <v>107.405441783652</v>
      </c>
      <c r="M594" s="8" t="n">
        <v>8.9414695356711</v>
      </c>
      <c r="N594" s="8" t="n">
        <v>0.09</v>
      </c>
      <c r="O594" s="8" t="n">
        <v>-0.0033333333333333</v>
      </c>
      <c r="P594" s="8" t="n">
        <v>44.29</v>
      </c>
      <c r="Q594" s="8" t="n">
        <v>-30.152972717237</v>
      </c>
    </row>
    <row r="595" ht="19" customHeight="1">
      <c r="A595" s="6" t="inlineStr">
        <is>
          <t>Vietnam</t>
        </is>
      </c>
      <c r="B595" s="10" t="n">
        <v>2021</v>
      </c>
      <c r="C595" s="10" t="n">
        <v>1</v>
      </c>
      <c r="D595" s="6" t="inlineStr">
        <is>
          <t>2021 Q1</t>
        </is>
      </c>
      <c r="E595" s="8" t="n">
        <v>104.222733333333</v>
      </c>
      <c r="F595" s="10" t="n">
        <v>0.292249969359171</v>
      </c>
      <c r="G595" s="10" t="n">
        <v>1.05079600381182</v>
      </c>
      <c r="H595" s="8" t="n">
        <v>1.15429298054386</v>
      </c>
      <c r="I595" s="8" t="n">
        <v>11.4767328637378</v>
      </c>
      <c r="J595" s="8" t="n">
        <v>144.339430110621</v>
      </c>
      <c r="K595" s="8" t="n">
        <v>-4.83408434204505</v>
      </c>
      <c r="L595" s="8" t="n">
        <v>106.418456967928</v>
      </c>
      <c r="M595" s="8" t="n">
        <v>5.08922886053087</v>
      </c>
      <c r="N595" s="8" t="n">
        <v>0.08</v>
      </c>
      <c r="O595" s="8" t="n">
        <v>-0.01</v>
      </c>
      <c r="P595" s="8" t="n">
        <v>60.82</v>
      </c>
      <c r="Q595" s="8" t="n">
        <v>20.578905630452</v>
      </c>
    </row>
    <row r="596" ht="19" customHeight="1">
      <c r="A596" s="6" t="inlineStr">
        <is>
          <t>Vietnam</t>
        </is>
      </c>
      <c r="B596" s="10" t="n">
        <v>2021</v>
      </c>
      <c r="C596" s="10" t="n">
        <v>2</v>
      </c>
      <c r="D596" s="6" t="inlineStr">
        <is>
          <t>2021 Q2</t>
        </is>
      </c>
      <c r="E596" s="8" t="n">
        <v>104.693933333333</v>
      </c>
      <c r="F596" s="10" t="n">
        <v>2.67012045298811</v>
      </c>
      <c r="G596" s="10" t="n">
        <v>0.452108657036443</v>
      </c>
      <c r="H596" s="8" t="n">
        <v>1.56493852154016</v>
      </c>
      <c r="I596" s="8" t="n">
        <v>10.2693628596679</v>
      </c>
      <c r="J596" s="8" t="n">
        <v>145.868153672252</v>
      </c>
      <c r="K596" s="8" t="n">
        <v>-3.75106222547246</v>
      </c>
      <c r="L596" s="8" t="n">
        <v>114.551815876528</v>
      </c>
      <c r="M596" s="8" t="n">
        <v>21.5261013172124</v>
      </c>
      <c r="N596" s="8" t="n">
        <v>0.07000000000000001</v>
      </c>
      <c r="O596" s="8" t="n">
        <v>-0.01</v>
      </c>
      <c r="P596" s="8" t="n">
        <v>68.8333333333333</v>
      </c>
      <c r="Q596" s="8" t="n">
        <v>134.579120754288</v>
      </c>
    </row>
    <row r="597" ht="19" customHeight="1">
      <c r="A597" s="6" t="inlineStr">
        <is>
          <t>Vietnam</t>
        </is>
      </c>
      <c r="B597" s="10" t="n">
        <v>2021</v>
      </c>
      <c r="C597" s="10" t="n">
        <v>3</v>
      </c>
      <c r="D597" s="6" t="inlineStr">
        <is>
          <t>2021 Q3</t>
        </is>
      </c>
      <c r="E597" s="8" t="n">
        <v>105.490033333333</v>
      </c>
      <c r="F597" s="10" t="n">
        <v>2.50704417871792</v>
      </c>
      <c r="G597" s="10" t="n">
        <v>0.760407002252284</v>
      </c>
      <c r="H597" s="8" t="n">
        <v>2.75905099844341</v>
      </c>
      <c r="I597" s="8" t="n">
        <v>9.072266711906179</v>
      </c>
      <c r="J597" s="8" t="n">
        <v>148.854572613601</v>
      </c>
      <c r="K597" s="8" t="n">
        <v>0.368889097763092</v>
      </c>
      <c r="L597" s="8" t="n">
        <v>116.298331246585</v>
      </c>
      <c r="M597" s="8" t="n">
        <v>18.8069087915464</v>
      </c>
      <c r="N597" s="8" t="n">
        <v>0.09</v>
      </c>
      <c r="O597" s="8" t="n">
        <v>0.02</v>
      </c>
      <c r="P597" s="8" t="n">
        <v>73.47</v>
      </c>
      <c r="Q597" s="8" t="n">
        <v>71.0062844285825</v>
      </c>
    </row>
    <row r="598" ht="19" customHeight="1">
      <c r="A598" s="6" t="inlineStr">
        <is>
          <t>Vietnam</t>
        </is>
      </c>
      <c r="B598" s="10" t="n">
        <v>2021</v>
      </c>
      <c r="C598" s="10" t="n">
        <v>4</v>
      </c>
      <c r="D598" s="6" t="inlineStr">
        <is>
          <t>2021 Q4</t>
        </is>
      </c>
      <c r="E598" s="8" t="n">
        <v>105.090366666667</v>
      </c>
      <c r="F598" s="10" t="n">
        <v>1.89202359561145</v>
      </c>
      <c r="G598" s="10" t="n">
        <v>-0.378866755500762</v>
      </c>
      <c r="H598" s="8" t="n">
        <v>4.73663160536492</v>
      </c>
      <c r="I598" s="8" t="n">
        <v>7.88544322334365</v>
      </c>
      <c r="J598" s="8" t="n">
        <v>149.810086268531</v>
      </c>
      <c r="K598" s="8" t="n">
        <v>3.12794601582052</v>
      </c>
      <c r="L598" s="8" t="n">
        <v>122.679602624024</v>
      </c>
      <c r="M598" s="8" t="n">
        <v>14.2210306914792</v>
      </c>
      <c r="N598" s="8" t="n">
        <v>0.08</v>
      </c>
      <c r="O598" s="8" t="n">
        <v>-0.01</v>
      </c>
      <c r="P598" s="8" t="n">
        <v>79.5866666666667</v>
      </c>
      <c r="Q598" s="8" t="n">
        <v>79.69443817265</v>
      </c>
    </row>
    <row r="599" ht="19" customHeight="1">
      <c r="A599" s="6" t="inlineStr">
        <is>
          <t>Vietnam</t>
        </is>
      </c>
      <c r="B599" s="10" t="n">
        <v>2022</v>
      </c>
      <c r="C599" s="10" t="n">
        <v>1</v>
      </c>
      <c r="D599" s="6" t="inlineStr">
        <is>
          <t>2022 Q1</t>
        </is>
      </c>
      <c r="E599" s="8" t="n">
        <v>106.228733333333</v>
      </c>
      <c r="F599" s="10" t="n">
        <v>1.92472403653459</v>
      </c>
      <c r="G599" s="10" t="n">
        <v>1.08322646763372</v>
      </c>
      <c r="H599" s="8" t="n">
        <v>7.49768231988464</v>
      </c>
      <c r="I599" s="8" t="n">
        <v>6.70889120722992</v>
      </c>
      <c r="J599" s="8" t="n">
        <v>150.441824624785</v>
      </c>
      <c r="K599" s="8" t="n">
        <v>4.22780837466714</v>
      </c>
      <c r="L599" s="8" t="n">
        <v>124.25343875034</v>
      </c>
      <c r="M599" s="8" t="n">
        <v>16.7592937264516</v>
      </c>
      <c r="N599" s="8" t="n">
        <v>0.12</v>
      </c>
      <c r="O599" s="8" t="n">
        <v>0.04</v>
      </c>
      <c r="P599" s="8" t="n">
        <v>100.296666666667</v>
      </c>
      <c r="Q599" s="8" t="n">
        <v>64.9073769593335</v>
      </c>
    </row>
    <row r="600" ht="19" customHeight="1">
      <c r="A600" s="6" t="inlineStr">
        <is>
          <t>Vietnam</t>
        </is>
      </c>
      <c r="B600" s="10" t="n">
        <v>2022</v>
      </c>
      <c r="C600" s="10" t="n">
        <v>2</v>
      </c>
      <c r="D600" s="6" t="inlineStr">
        <is>
          <t>2022 Q2</t>
        </is>
      </c>
      <c r="E600" s="8" t="n">
        <v>107.7916</v>
      </c>
      <c r="F600" s="10" t="n">
        <v>2.9587833487964</v>
      </c>
      <c r="G600" s="10" t="n">
        <v>1.4712278096761</v>
      </c>
      <c r="H600" s="8" t="n">
        <v>9.01802920649553</v>
      </c>
      <c r="I600" s="8" t="n">
        <v>5.82647822453807</v>
      </c>
      <c r="J600" s="8" t="n">
        <v>155.897727924636</v>
      </c>
      <c r="K600" s="8" t="n">
        <v>6.87578062783907</v>
      </c>
      <c r="L600" s="8" t="n">
        <v>134.351432934678</v>
      </c>
      <c r="M600" s="8" t="n">
        <v>17.2844200736996</v>
      </c>
      <c r="N600" s="8" t="n">
        <v>0.77</v>
      </c>
      <c r="O600" s="8" t="n">
        <v>0.65</v>
      </c>
      <c r="P600" s="8" t="n">
        <v>113.543333333333</v>
      </c>
      <c r="Q600" s="8" t="n">
        <v>64.95399515738499</v>
      </c>
    </row>
    <row r="601" ht="19" customHeight="1">
      <c r="A601" s="6" t="inlineStr">
        <is>
          <t>Vietnam</t>
        </is>
      </c>
      <c r="B601" s="10" t="n">
        <v>2022</v>
      </c>
      <c r="C601" s="10" t="n">
        <v>3</v>
      </c>
      <c r="D601" s="6" t="inlineStr">
        <is>
          <t>2022 Q3</t>
        </is>
      </c>
      <c r="E601" s="8" t="n">
        <v>108.995466666667</v>
      </c>
      <c r="F601" s="10" t="n">
        <v>3.32299955035245</v>
      </c>
      <c r="G601" s="10" t="n">
        <v>1.11684645804186</v>
      </c>
      <c r="H601" s="8" t="n">
        <v>9.2976737855536</v>
      </c>
      <c r="I601" s="8" t="n">
        <v>5.23820339301013</v>
      </c>
      <c r="J601" s="8" t="n">
        <v>159.768675835398</v>
      </c>
      <c r="K601" s="8" t="n">
        <v>7.33205774613848</v>
      </c>
      <c r="L601" s="8" t="n">
        <v>118.584751746656</v>
      </c>
      <c r="M601" s="8" t="n">
        <v>1.96599596534466</v>
      </c>
      <c r="N601" s="8" t="n">
        <v>2.19</v>
      </c>
      <c r="O601" s="8" t="n">
        <v>1.42</v>
      </c>
      <c r="P601" s="8" t="n">
        <v>100.713333333333</v>
      </c>
      <c r="Q601" s="8" t="n">
        <v>37.0808946962479</v>
      </c>
    </row>
    <row r="602" ht="19" customHeight="1">
      <c r="A602" s="6" t="inlineStr">
        <is>
          <t>Vietnam</t>
        </is>
      </c>
      <c r="B602" s="10" t="n">
        <v>2022</v>
      </c>
      <c r="C602" s="10" t="n">
        <v>4</v>
      </c>
      <c r="D602" s="6" t="inlineStr">
        <is>
          <t>2022 Q4</t>
        </is>
      </c>
      <c r="E602" s="8" t="n">
        <v>109.722766666667</v>
      </c>
      <c r="F602" s="10" t="n">
        <v>4.40801583145427</v>
      </c>
      <c r="G602" s="10" t="n">
        <v>0.667275458551186</v>
      </c>
      <c r="H602" s="8" t="n">
        <v>8.33661633670841</v>
      </c>
      <c r="I602" s="8" t="n">
        <v>4.94406612429404</v>
      </c>
      <c r="J602" s="8" t="n">
        <v>154.97464857241</v>
      </c>
      <c r="K602" s="8" t="n">
        <v>3.44740626784048</v>
      </c>
      <c r="L602" s="8" t="n">
        <v>115.210051245214</v>
      </c>
      <c r="M602" s="8" t="n">
        <v>-6.08866610181539</v>
      </c>
      <c r="N602" s="8" t="n">
        <v>3.65333333333333</v>
      </c>
      <c r="O602" s="8" t="n">
        <v>1.46333333333333</v>
      </c>
      <c r="P602" s="8" t="n">
        <v>88.5566666666667</v>
      </c>
      <c r="Q602" s="8" t="n">
        <v>11.2707321159323</v>
      </c>
    </row>
    <row r="603" ht="19" customHeight="1">
      <c r="A603" s="6" t="inlineStr">
        <is>
          <t>Vietnam</t>
        </is>
      </c>
      <c r="B603" s="10" t="n">
        <v>2023</v>
      </c>
      <c r="C603" s="10" t="n">
        <v>1</v>
      </c>
      <c r="D603" s="6" t="inlineStr">
        <is>
          <t>2023 Q1</t>
        </is>
      </c>
      <c r="E603" s="8" t="n">
        <v>110.6679</v>
      </c>
      <c r="F603" s="10" t="n">
        <v>4.17887564632544</v>
      </c>
      <c r="G603" s="10" t="n">
        <v>0.861383067567556</v>
      </c>
      <c r="H603" s="8" t="n">
        <v>6.13485589887367</v>
      </c>
      <c r="I603" s="9" t="inlineStr"/>
      <c r="J603" s="8" t="n">
        <v>152.411404771272</v>
      </c>
      <c r="K603" s="8" t="n">
        <v>1.30919719393132</v>
      </c>
      <c r="L603" s="8" t="n">
        <v>114.034689515825</v>
      </c>
      <c r="M603" s="8" t="n">
        <v>-8.224117849203459</v>
      </c>
      <c r="N603" s="8" t="n">
        <v>4.51666666666667</v>
      </c>
      <c r="O603" s="8" t="n">
        <v>0.863333333333333</v>
      </c>
      <c r="P603" s="8" t="n">
        <v>81.1733333333333</v>
      </c>
      <c r="Q603" s="8" t="n">
        <v>-19.0667685865266</v>
      </c>
    </row>
    <row r="604" ht="19" customHeight="1">
      <c r="A604" s="6" t="inlineStr">
        <is>
          <t>Vietnam</t>
        </is>
      </c>
      <c r="B604" s="10" t="n">
        <v>2023</v>
      </c>
      <c r="C604" s="10" t="n">
        <v>2</v>
      </c>
      <c r="D604" s="6" t="inlineStr">
        <is>
          <t>2023 Q2</t>
        </is>
      </c>
      <c r="E604" s="8" t="n">
        <v>110.390833333333</v>
      </c>
      <c r="F604" s="10" t="n">
        <v>2.41135054432193</v>
      </c>
      <c r="G604" s="10" t="n">
        <v>-0.250358655641492</v>
      </c>
      <c r="H604" s="8" t="n">
        <v>4.79167378785478</v>
      </c>
      <c r="I604" s="9" t="inlineStr"/>
      <c r="J604" s="8" t="n">
        <v>153.226850468859</v>
      </c>
      <c r="K604" s="8" t="n">
        <v>-1.71322410617</v>
      </c>
      <c r="L604" s="8" t="n">
        <v>109.857789884183</v>
      </c>
      <c r="M604" s="8" t="n">
        <v>-18.2310247948031</v>
      </c>
      <c r="N604" s="8" t="n">
        <v>4.99</v>
      </c>
      <c r="O604" s="8" t="n">
        <v>0.473333333333334</v>
      </c>
      <c r="P604" s="8" t="n">
        <v>78.31666666666671</v>
      </c>
      <c r="Q604" s="8" t="n">
        <v>-31.0248656900449</v>
      </c>
    </row>
    <row r="605" ht="19" customHeight="1">
      <c r="A605" s="6" t="inlineStr">
        <is>
          <t>Vietnam</t>
        </is>
      </c>
      <c r="B605" s="10" t="n">
        <v>2023</v>
      </c>
      <c r="C605" s="10" t="n">
        <v>3</v>
      </c>
      <c r="D605" s="6" t="inlineStr">
        <is>
          <t>2023 Q3</t>
        </is>
      </c>
      <c r="E605" s="8" t="n">
        <v>112.149166666667</v>
      </c>
      <c r="F605" s="10" t="n">
        <v>2.8934230903793</v>
      </c>
      <c r="G605" s="10" t="n">
        <v>1.59282549124702</v>
      </c>
      <c r="H605" s="8" t="n">
        <v>4.30706866048041</v>
      </c>
      <c r="I605" s="9" t="inlineStr"/>
      <c r="J605" s="8" t="n">
        <v>153.975299801503</v>
      </c>
      <c r="K605" s="8" t="n">
        <v>-3.62610255333391</v>
      </c>
      <c r="L605" s="8" t="n">
        <v>107.510614988168</v>
      </c>
      <c r="M605" s="8" t="n">
        <v>-9.338584088911441</v>
      </c>
      <c r="N605" s="8" t="n">
        <v>5.26</v>
      </c>
      <c r="O605" s="8" t="n">
        <v>0.27</v>
      </c>
      <c r="P605" s="8" t="n">
        <v>86.66</v>
      </c>
      <c r="Q605" s="8" t="n">
        <v>-13.9537962533925</v>
      </c>
    </row>
    <row r="606" ht="19" customHeight="1">
      <c r="A606" s="6" t="inlineStr">
        <is>
          <t>Vietnam</t>
        </is>
      </c>
      <c r="B606" s="10" t="n">
        <v>2023</v>
      </c>
      <c r="C606" s="10" t="n">
        <v>4</v>
      </c>
      <c r="D606" s="6" t="inlineStr">
        <is>
          <t>2023 Q4</t>
        </is>
      </c>
      <c r="E606" s="8" t="n">
        <v>113.607133333333</v>
      </c>
      <c r="F606" s="10" t="n">
        <v>3.54016471209408</v>
      </c>
      <c r="G606" s="10" t="n">
        <v>1.30002452091336</v>
      </c>
      <c r="H606" s="8" t="n">
        <v>4.68104003211929</v>
      </c>
      <c r="I606" s="9" t="inlineStr"/>
      <c r="J606" s="8" t="n">
        <v>153.941433802159</v>
      </c>
      <c r="K606" s="8" t="n">
        <v>-0.666699218077782</v>
      </c>
      <c r="L606" s="8" t="n">
        <v>105.339533846651</v>
      </c>
      <c r="M606" s="8" t="n">
        <v>-8.56740995414912</v>
      </c>
      <c r="N606" s="8" t="n">
        <v>5.33</v>
      </c>
      <c r="O606" s="8" t="n">
        <v>0.0700000000000003</v>
      </c>
      <c r="P606" s="8" t="n">
        <v>83.7233333333333</v>
      </c>
      <c r="Q606" s="8" t="n">
        <v>-5.45789889712802</v>
      </c>
    </row>
    <row r="607" ht="19" customHeight="1">
      <c r="A607" s="6" t="inlineStr">
        <is>
          <t>Vietnam</t>
        </is>
      </c>
      <c r="B607" s="10" t="n">
        <v>2024</v>
      </c>
      <c r="C607" s="10" t="n">
        <v>1</v>
      </c>
      <c r="D607" s="6" t="inlineStr">
        <is>
          <t>2024 Q1</t>
        </is>
      </c>
      <c r="E607" s="8" t="n">
        <v>114.843033333333</v>
      </c>
      <c r="F607" s="10" t="n">
        <v>3.77266879857061</v>
      </c>
      <c r="G607" s="10" t="n">
        <v>1.08787182964449</v>
      </c>
      <c r="H607" s="8" t="n">
        <v>5.91358827675437</v>
      </c>
      <c r="I607" s="9" t="inlineStr"/>
      <c r="J607" s="8" t="n">
        <v>152.426795833648</v>
      </c>
      <c r="K607" s="8" t="n">
        <v>0.0100983665883625</v>
      </c>
      <c r="L607" s="8" t="n">
        <v>102.582568583479</v>
      </c>
      <c r="M607" s="8" t="n">
        <v>-10.0426641936497</v>
      </c>
      <c r="N607" s="8" t="n">
        <v>5.33</v>
      </c>
      <c r="O607" s="8" t="n">
        <v>0</v>
      </c>
      <c r="P607" s="8" t="n">
        <v>83.0033333333333</v>
      </c>
      <c r="Q607" s="8" t="n">
        <v>2.25443495400788</v>
      </c>
    </row>
    <row r="608" ht="19" customHeight="1">
      <c r="A608" s="6" t="inlineStr">
        <is>
          <t>Vietnam</t>
        </is>
      </c>
      <c r="B608" s="10" t="n">
        <v>2024</v>
      </c>
      <c r="C608" s="10" t="n">
        <v>2</v>
      </c>
      <c r="D608" s="6" t="inlineStr">
        <is>
          <t>2024 Q2</t>
        </is>
      </c>
      <c r="E608" s="8" t="n">
        <v>115.242466666667</v>
      </c>
      <c r="F608" s="10" t="n">
        <v>4.39496033034144</v>
      </c>
      <c r="G608" s="10" t="n">
        <v>0.347808066140143</v>
      </c>
      <c r="H608" s="8" t="n">
        <v>6.85699260962352</v>
      </c>
      <c r="I608" s="9" t="inlineStr"/>
      <c r="J608" s="8" t="n">
        <v>150.537819680466</v>
      </c>
      <c r="K608" s="8" t="n">
        <v>-1.75493445187006</v>
      </c>
      <c r="L608" s="8" t="n">
        <v>104.519793640698</v>
      </c>
      <c r="M608" s="8" t="n">
        <v>-4.85900567371084</v>
      </c>
      <c r="N608" s="8" t="n">
        <v>5.33</v>
      </c>
      <c r="O608" s="8" t="n">
        <v>0</v>
      </c>
      <c r="P608" s="8" t="n">
        <v>84.6466666666667</v>
      </c>
      <c r="Q608" s="8" t="n">
        <v>8.082570759736109</v>
      </c>
    </row>
    <row r="609" ht="19" customHeight="1">
      <c r="A609" s="6" t="inlineStr">
        <is>
          <t>Vietnam</t>
        </is>
      </c>
      <c r="B609" s="10" t="n">
        <v>2024</v>
      </c>
      <c r="C609" s="10" t="n">
        <v>3</v>
      </c>
      <c r="D609" s="6" t="inlineStr">
        <is>
          <t>2024 Q3</t>
        </is>
      </c>
      <c r="E609" s="8" t="n">
        <v>116.045433333333</v>
      </c>
      <c r="F609" s="10" t="n">
        <v>3.47418245045661</v>
      </c>
      <c r="G609" s="10" t="n">
        <v>0.696762825277952</v>
      </c>
      <c r="H609" s="8" t="n">
        <v>7.51125397410058</v>
      </c>
      <c r="I609" s="9" t="inlineStr"/>
      <c r="J609" s="8" t="n">
        <v>149.463125537497</v>
      </c>
      <c r="K609" s="8" t="n">
        <v>-2.9304533063572</v>
      </c>
      <c r="L609" s="8" t="n">
        <v>106.377099329068</v>
      </c>
      <c r="M609" s="8" t="n">
        <v>-1.05432906250624</v>
      </c>
      <c r="N609" s="8" t="n">
        <v>5.26333333333333</v>
      </c>
      <c r="O609" s="8" t="n">
        <v>-0.0666666666666664</v>
      </c>
      <c r="P609" s="8" t="n">
        <v>79.84333333333331</v>
      </c>
      <c r="Q609" s="8" t="n">
        <v>-7.86598969151473</v>
      </c>
    </row>
    <row r="610" ht="19" customHeight="1">
      <c r="A610" s="6" t="inlineStr">
        <is>
          <t>Vietnam</t>
        </is>
      </c>
      <c r="B610" s="10" t="n">
        <v>2024</v>
      </c>
      <c r="C610" s="10" t="n">
        <v>4</v>
      </c>
      <c r="D610" s="6" t="inlineStr">
        <is>
          <t>2024 Q4</t>
        </is>
      </c>
      <c r="E610" s="8" t="n">
        <v>116.8637</v>
      </c>
      <c r="F610" s="10" t="n">
        <v>2.86651601102512</v>
      </c>
      <c r="G610" s="10" t="n">
        <v>0.705126124451816</v>
      </c>
      <c r="H610" s="8" t="n">
        <v>7.87637302444645</v>
      </c>
      <c r="I610" s="9" t="inlineStr"/>
      <c r="J610" s="8" t="n">
        <v>150.753487483309</v>
      </c>
      <c r="K610" s="8" t="n">
        <v>-2.07088256885201</v>
      </c>
      <c r="L610" s="8" t="n">
        <v>110.645361455409</v>
      </c>
      <c r="M610" s="8" t="n">
        <v>5.03688161035707</v>
      </c>
      <c r="N610" s="8" t="n">
        <v>4.65</v>
      </c>
      <c r="O610" s="8" t="n">
        <v>-0.613333333333333</v>
      </c>
      <c r="P610" s="8" t="n">
        <v>74.6133333333333</v>
      </c>
      <c r="Q610" s="8" t="n">
        <v>-10.8810765616913</v>
      </c>
    </row>
    <row r="611" ht="19" customHeight="1">
      <c r="A611" s="6" t="inlineStr">
        <is>
          <t>Vietnam</t>
        </is>
      </c>
      <c r="B611" s="10" t="n">
        <v>2025</v>
      </c>
      <c r="C611" s="10" t="n">
        <v>1</v>
      </c>
      <c r="D611" s="6" t="inlineStr">
        <is>
          <t>2025 Q1</t>
        </is>
      </c>
      <c r="E611" s="8" t="n">
        <v>118.542866666667</v>
      </c>
      <c r="F611" s="10" t="n">
        <v>3.22164368699189</v>
      </c>
      <c r="G611" s="10" t="n">
        <v>1.43685906459121</v>
      </c>
      <c r="H611" s="8" t="n">
        <v>7.95235012581628</v>
      </c>
      <c r="I611" s="9" t="inlineStr"/>
      <c r="J611" s="8" t="n">
        <v>152.425439996551</v>
      </c>
      <c r="K611" s="8" t="n">
        <v>-0.0008895004908082</v>
      </c>
      <c r="L611" s="8" t="n">
        <v>108.711496383905</v>
      </c>
      <c r="M611" s="8" t="n">
        <v>5.97462891118643</v>
      </c>
      <c r="N611" s="8" t="n">
        <v>4.33</v>
      </c>
      <c r="O611" s="8" t="n">
        <v>-0.32</v>
      </c>
      <c r="P611" s="8" t="n">
        <v>75.8133333333333</v>
      </c>
      <c r="Q611" s="8" t="n">
        <v>-8.662302718766311</v>
      </c>
    </row>
  </sheetData>
  <autoFilter ref="A1:Q61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611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9" customWidth="1" min="5" max="5"/>
    <col width="21" customWidth="1" min="6" max="6"/>
    <col width="22" customWidth="1" min="7" max="7"/>
    <col width="21" customWidth="1" min="8" max="8"/>
    <col width="21" customWidth="1" min="9" max="9"/>
    <col width="19" customWidth="1" min="10" max="10"/>
    <col width="20" customWidth="1" min="11" max="11"/>
    <col width="19" customWidth="1" min="12" max="12"/>
    <col width="21" customWidth="1" min="13" max="13"/>
    <col width="21" customWidth="1" min="14" max="14"/>
    <col width="22" customWidth="1" min="15" max="15"/>
    <col width="19" customWidth="1" min="16" max="16"/>
    <col width="21" customWidth="1" min="17" max="17"/>
    <col width="19" customWidth="1" min="18" max="18"/>
    <col width="24" customWidth="1" min="19" max="19"/>
  </cols>
  <sheetData>
    <row r="1" ht="26" customHeight="1">
      <c r="A1" s="5" t="inlineStr">
        <is>
          <t>country</t>
        </is>
      </c>
      <c r="B1" s="5" t="inlineStr">
        <is>
          <t>year</t>
        </is>
      </c>
      <c r="C1" s="5" t="inlineStr">
        <is>
          <t>quarter</t>
        </is>
      </c>
      <c r="D1" s="5" t="inlineStr">
        <is>
          <t>period</t>
        </is>
      </c>
      <c r="E1" s="5" t="inlineStr">
        <is>
          <t>hcpi_q</t>
        </is>
      </c>
      <c r="F1" s="5" t="inlineStr">
        <is>
          <t>inflation_yoy</t>
        </is>
      </c>
      <c r="G1" s="5" t="inlineStr">
        <is>
          <t>inflation_qoq</t>
        </is>
      </c>
      <c r="H1" s="5" t="inlineStr">
        <is>
          <t>gdp_growth</t>
        </is>
      </c>
      <c r="I1" s="5" t="inlineStr">
        <is>
          <t>money_growth</t>
        </is>
      </c>
      <c r="J1" s="5" t="inlineStr">
        <is>
          <t>reer_q</t>
        </is>
      </c>
      <c r="K1" s="5" t="inlineStr">
        <is>
          <t>reer_yoy</t>
        </is>
      </c>
      <c r="L1" s="5" t="inlineStr">
        <is>
          <t>fao_q</t>
        </is>
      </c>
      <c r="M1" s="5" t="inlineStr">
        <is>
          <t>fao_yoy</t>
        </is>
      </c>
      <c r="N1" s="5" t="inlineStr">
        <is>
          <t>ffr_q</t>
        </is>
      </c>
      <c r="O1" s="5" t="inlineStr">
        <is>
          <t>ffr_change</t>
        </is>
      </c>
      <c r="P1" s="5" t="inlineStr">
        <is>
          <t>oil_q</t>
        </is>
      </c>
      <c r="Q1" s="5" t="inlineStr">
        <is>
          <t>oil_yoy</t>
        </is>
      </c>
      <c r="R1" s="5" t="inlineStr">
        <is>
          <t>imputation_count</t>
        </is>
      </c>
      <c r="S1" s="5" t="inlineStr">
        <is>
          <t>data_quality_flag</t>
        </is>
      </c>
    </row>
    <row r="2" ht="19" customHeight="1">
      <c r="A2" s="6" t="inlineStr">
        <is>
          <t>Brunei</t>
        </is>
      </c>
      <c r="B2" s="10" t="n">
        <v>2010</v>
      </c>
      <c r="C2" s="10" t="n">
        <v>1</v>
      </c>
      <c r="D2" s="6" t="inlineStr">
        <is>
          <t>2010 Q1</t>
        </is>
      </c>
      <c r="E2" s="8" t="n">
        <v>99.966474294278</v>
      </c>
      <c r="F2" s="9" t="inlineStr"/>
      <c r="G2" s="9" t="inlineStr"/>
      <c r="H2" s="8" t="n">
        <v>2.37521603660103</v>
      </c>
      <c r="I2" s="8" t="n">
        <v>3.01898390622982</v>
      </c>
      <c r="J2" s="8" t="n">
        <v>104.243333333333</v>
      </c>
      <c r="K2" s="9" t="inlineStr"/>
      <c r="L2" s="8" t="n">
        <v>99.24199528149821</v>
      </c>
      <c r="M2" s="9" t="inlineStr"/>
      <c r="N2" s="8" t="n">
        <v>0.133333333333333</v>
      </c>
      <c r="O2" s="9" t="inlineStr"/>
      <c r="P2" s="8" t="n">
        <v>76.25</v>
      </c>
      <c r="Q2" s="9" t="inlineStr"/>
      <c r="R2" s="10" t="n">
        <v>0</v>
      </c>
      <c r="S2" s="7" t="inlineStr">
        <is>
          <t>Baseline_Lag_Origin</t>
        </is>
      </c>
    </row>
    <row r="3" ht="19" customHeight="1">
      <c r="A3" s="6" t="inlineStr">
        <is>
          <t>Brunei</t>
        </is>
      </c>
      <c r="B3" s="10" t="n">
        <v>2010</v>
      </c>
      <c r="C3" s="10" t="n">
        <v>2</v>
      </c>
      <c r="D3" s="6" t="inlineStr">
        <is>
          <t>2010 Q2</t>
        </is>
      </c>
      <c r="E3" s="8" t="n">
        <v>99.94719000000001</v>
      </c>
      <c r="F3" s="9" t="inlineStr"/>
      <c r="G3" s="10" t="n">
        <v>-0.0192907616419991</v>
      </c>
      <c r="H3" s="8" t="n">
        <v>2.52167529189561</v>
      </c>
      <c r="I3" s="8" t="n">
        <v>3.73420818947302</v>
      </c>
      <c r="J3" s="8" t="n">
        <v>106</v>
      </c>
      <c r="K3" s="9" t="inlineStr"/>
      <c r="L3" s="8" t="n">
        <v>96.4984622523225</v>
      </c>
      <c r="M3" s="9" t="inlineStr"/>
      <c r="N3" s="8" t="n">
        <v>0.193333333333333</v>
      </c>
      <c r="O3" s="8" t="n">
        <v>0.06</v>
      </c>
      <c r="P3" s="8" t="n">
        <v>78.51000000000001</v>
      </c>
      <c r="Q3" s="9" t="inlineStr"/>
      <c r="R3" s="10" t="n">
        <v>0</v>
      </c>
      <c r="S3" s="7" t="inlineStr">
        <is>
          <t>Baseline_Lag_Origin</t>
        </is>
      </c>
    </row>
    <row r="4" ht="19" customHeight="1">
      <c r="A4" s="6" t="inlineStr">
        <is>
          <t>Brunei</t>
        </is>
      </c>
      <c r="B4" s="10" t="n">
        <v>2010</v>
      </c>
      <c r="C4" s="10" t="n">
        <v>3</v>
      </c>
      <c r="D4" s="6" t="inlineStr">
        <is>
          <t>2010 Q3</t>
        </is>
      </c>
      <c r="E4" s="8" t="n">
        <v>99.88317000000001</v>
      </c>
      <c r="F4" s="9" t="inlineStr"/>
      <c r="G4" s="10" t="n">
        <v>-0.0640538268259605</v>
      </c>
      <c r="H4" s="8" t="n">
        <v>2.81459394896587</v>
      </c>
      <c r="I4" s="8" t="n">
        <v>5.16465747117585</v>
      </c>
      <c r="J4" s="8" t="n">
        <v>106.016666666667</v>
      </c>
      <c r="K4" s="9" t="inlineStr"/>
      <c r="L4" s="8" t="n">
        <v>107.356970480027</v>
      </c>
      <c r="M4" s="9" t="inlineStr"/>
      <c r="N4" s="8" t="n">
        <v>0.186666666666667</v>
      </c>
      <c r="O4" s="8" t="n">
        <v>-0.0066666666666666</v>
      </c>
      <c r="P4" s="8" t="n">
        <v>76.81999999999999</v>
      </c>
      <c r="Q4" s="9" t="inlineStr"/>
      <c r="R4" s="10" t="n">
        <v>0</v>
      </c>
      <c r="S4" s="7" t="inlineStr">
        <is>
          <t>Baseline_Lag_Origin</t>
        </is>
      </c>
    </row>
    <row r="5" ht="19" customHeight="1">
      <c r="A5" s="6" t="inlineStr">
        <is>
          <t>Brunei</t>
        </is>
      </c>
      <c r="B5" s="10" t="n">
        <v>2010</v>
      </c>
      <c r="C5" s="10" t="n">
        <v>4</v>
      </c>
      <c r="D5" s="6" t="inlineStr">
        <is>
          <t>2010 Q4</t>
        </is>
      </c>
      <c r="E5" s="8" t="n">
        <v>100.020056666667</v>
      </c>
      <c r="F5" s="9" t="inlineStr"/>
      <c r="G5" s="10" t="n">
        <v>0.137046778417904</v>
      </c>
      <c r="H5" s="8" t="n">
        <v>3.25397230075231</v>
      </c>
      <c r="I5" s="8" t="n">
        <v>7.31033318181011</v>
      </c>
      <c r="J5" s="8" t="n">
        <v>106.623333333333</v>
      </c>
      <c r="K5" s="9" t="inlineStr"/>
      <c r="L5" s="8" t="n">
        <v>124.608736829891</v>
      </c>
      <c r="M5" s="9" t="inlineStr"/>
      <c r="N5" s="8" t="n">
        <v>0.186666666666667</v>
      </c>
      <c r="O5" s="8" t="n">
        <v>0</v>
      </c>
      <c r="P5" s="8" t="n">
        <v>86.4666666666667</v>
      </c>
      <c r="Q5" s="9" t="inlineStr"/>
      <c r="R5" s="10" t="n">
        <v>0</v>
      </c>
      <c r="S5" s="7" t="inlineStr">
        <is>
          <t>Baseline_Lag_Origin</t>
        </is>
      </c>
    </row>
    <row r="6" ht="19" customHeight="1">
      <c r="A6" s="6" t="inlineStr">
        <is>
          <t>Brunei</t>
        </is>
      </c>
      <c r="B6" s="10" t="n">
        <v>2011</v>
      </c>
      <c r="C6" s="10" t="n">
        <v>1</v>
      </c>
      <c r="D6" s="6" t="inlineStr">
        <is>
          <t>2011 Q1</t>
        </is>
      </c>
      <c r="E6" s="8" t="n">
        <v>100.10139</v>
      </c>
      <c r="F6" s="10" t="n">
        <v>0.134960952333696</v>
      </c>
      <c r="G6" s="10" t="n">
        <v>0.08131702384892581</v>
      </c>
      <c r="H6" s="8" t="n">
        <v>3.83981078657831</v>
      </c>
      <c r="I6" s="8" t="n">
        <v>10.1712374670677</v>
      </c>
      <c r="J6" s="8" t="n">
        <v>106.406666666667</v>
      </c>
      <c r="K6" s="8" t="n">
        <v>2.07527259936686</v>
      </c>
      <c r="L6" s="8" t="n">
        <v>121.875946057639</v>
      </c>
      <c r="M6" s="8" t="n">
        <v>22.8068276055313</v>
      </c>
      <c r="N6" s="8" t="n">
        <v>0.156666666666667</v>
      </c>
      <c r="O6" s="8" t="n">
        <v>-0.03</v>
      </c>
      <c r="P6" s="8" t="n">
        <v>104.96</v>
      </c>
      <c r="Q6" s="8" t="n">
        <v>37.6524590163934</v>
      </c>
      <c r="R6" s="10" t="n">
        <v>0</v>
      </c>
      <c r="S6" s="7" t="inlineStr">
        <is>
          <t>High_Quality_Observed</t>
        </is>
      </c>
    </row>
    <row r="7" ht="19" customHeight="1">
      <c r="A7" s="6" t="inlineStr">
        <is>
          <t>Brunei</t>
        </is>
      </c>
      <c r="B7" s="10" t="n">
        <v>2011</v>
      </c>
      <c r="C7" s="10" t="n">
        <v>2</v>
      </c>
      <c r="D7" s="6" t="inlineStr">
        <is>
          <t>2011 Q2</t>
        </is>
      </c>
      <c r="E7" s="8" t="n">
        <v>100.106943333333</v>
      </c>
      <c r="F7" s="10" t="n">
        <v>0.159837743645741</v>
      </c>
      <c r="G7" s="10" t="n">
        <v>0.0055477085116661</v>
      </c>
      <c r="H7" s="8" t="n">
        <v>4.03598430924564</v>
      </c>
      <c r="I7" s="8" t="n">
        <v>11.2690605442687</v>
      </c>
      <c r="J7" s="8" t="n">
        <v>106.593333333333</v>
      </c>
      <c r="K7" s="8" t="n">
        <v>0.559748427672946</v>
      </c>
      <c r="L7" s="8" t="n">
        <v>122.00081812372</v>
      </c>
      <c r="M7" s="8" t="n">
        <v>26.4277329152819</v>
      </c>
      <c r="N7" s="8" t="n">
        <v>0.0933333333333333</v>
      </c>
      <c r="O7" s="8" t="n">
        <v>-0.0633333333333333</v>
      </c>
      <c r="P7" s="8" t="n">
        <v>117.36</v>
      </c>
      <c r="Q7" s="8" t="n">
        <v>49.4841421474971</v>
      </c>
      <c r="R7" s="10" t="n">
        <v>0</v>
      </c>
      <c r="S7" s="7" t="inlineStr">
        <is>
          <t>High_Quality_Observed</t>
        </is>
      </c>
    </row>
    <row r="8" ht="19" customHeight="1">
      <c r="A8" s="6" t="inlineStr">
        <is>
          <t>Brunei</t>
        </is>
      </c>
      <c r="B8" s="10" t="n">
        <v>2011</v>
      </c>
      <c r="C8" s="10" t="n">
        <v>3</v>
      </c>
      <c r="D8" s="6" t="inlineStr">
        <is>
          <t>2011 Q3</t>
        </is>
      </c>
      <c r="E8" s="8" t="n">
        <v>99.98531333333329</v>
      </c>
      <c r="F8" s="10" t="n">
        <v>0.102262806970721</v>
      </c>
      <c r="G8" s="10" t="n">
        <v>-0.121500063781788</v>
      </c>
      <c r="H8" s="8" t="n">
        <v>3.84249306497655</v>
      </c>
      <c r="I8" s="8" t="n">
        <v>10.6038035112293</v>
      </c>
      <c r="J8" s="8" t="n">
        <v>106.82</v>
      </c>
      <c r="K8" s="8" t="n">
        <v>0.757742493318658</v>
      </c>
      <c r="L8" s="8" t="n">
        <v>118.888757234176</v>
      </c>
      <c r="M8" s="8" t="n">
        <v>10.7415351817278</v>
      </c>
      <c r="N8" s="8" t="n">
        <v>0.0833333333333333</v>
      </c>
      <c r="O8" s="8" t="n">
        <v>-0.01</v>
      </c>
      <c r="P8" s="8" t="n">
        <v>113.34</v>
      </c>
      <c r="Q8" s="8" t="n">
        <v>47.5397032022911</v>
      </c>
      <c r="R8" s="10" t="n">
        <v>0</v>
      </c>
      <c r="S8" s="7" t="inlineStr">
        <is>
          <t>High_Quality_Observed</t>
        </is>
      </c>
    </row>
    <row r="9" ht="19" customHeight="1">
      <c r="A9" s="6" t="inlineStr">
        <is>
          <t>Brunei</t>
        </is>
      </c>
      <c r="B9" s="10" t="n">
        <v>2011</v>
      </c>
      <c r="C9" s="10" t="n">
        <v>4</v>
      </c>
      <c r="D9" s="6" t="inlineStr">
        <is>
          <t>2011 Q4</t>
        </is>
      </c>
      <c r="E9" s="8" t="n">
        <v>100.174636666667</v>
      </c>
      <c r="F9" s="10" t="n">
        <v>0.154549002621707</v>
      </c>
      <c r="G9" s="10" t="n">
        <v>0.189351142704486</v>
      </c>
      <c r="H9" s="8" t="n">
        <v>3.25933686020544</v>
      </c>
      <c r="I9" s="8" t="n">
        <v>8.1754657027421</v>
      </c>
      <c r="J9" s="8" t="n">
        <v>103.953333333333</v>
      </c>
      <c r="K9" s="8" t="n">
        <v>-2.50414230781255</v>
      </c>
      <c r="L9" s="8" t="n">
        <v>112.174119298219</v>
      </c>
      <c r="M9" s="8" t="n">
        <v>-9.978929124887189</v>
      </c>
      <c r="N9" s="8" t="n">
        <v>0.07333333333333331</v>
      </c>
      <c r="O9" s="8" t="n">
        <v>-0.01</v>
      </c>
      <c r="P9" s="8" t="n">
        <v>109.396666666667</v>
      </c>
      <c r="Q9" s="8" t="n">
        <v>26.5188897455667</v>
      </c>
      <c r="R9" s="10" t="n">
        <v>0</v>
      </c>
      <c r="S9" s="7" t="inlineStr">
        <is>
          <t>High_Quality_Observed</t>
        </is>
      </c>
    </row>
    <row r="10" ht="19" customHeight="1">
      <c r="A10" s="6" t="inlineStr">
        <is>
          <t>Brunei</t>
        </is>
      </c>
      <c r="B10" s="10" t="n">
        <v>2012</v>
      </c>
      <c r="C10" s="10" t="n">
        <v>1</v>
      </c>
      <c r="D10" s="6" t="inlineStr">
        <is>
          <t>2012 Q1</t>
        </is>
      </c>
      <c r="E10" s="8" t="n">
        <v>100.273496666667</v>
      </c>
      <c r="F10" s="10" t="n">
        <v>0.171932344462622</v>
      </c>
      <c r="G10" s="10" t="n">
        <v>0.0986876551686056</v>
      </c>
      <c r="H10" s="8" t="n">
        <v>2.28651511181898</v>
      </c>
      <c r="I10" s="8" t="n">
        <v>3.98404469042164</v>
      </c>
      <c r="J10" s="8" t="n">
        <v>104.903333333333</v>
      </c>
      <c r="K10" s="8" t="n">
        <v>-1.41281874569262</v>
      </c>
      <c r="L10" s="8" t="n">
        <v>112.921025549072</v>
      </c>
      <c r="M10" s="8" t="n">
        <v>-7.3475700482622</v>
      </c>
      <c r="N10" s="8" t="n">
        <v>0.103333333333333</v>
      </c>
      <c r="O10" s="8" t="n">
        <v>0.03</v>
      </c>
      <c r="P10" s="8" t="n">
        <v>118.49</v>
      </c>
      <c r="Q10" s="8" t="n">
        <v>12.890625</v>
      </c>
      <c r="R10" s="10" t="n">
        <v>0</v>
      </c>
      <c r="S10" s="7" t="inlineStr">
        <is>
          <t>High_Quality_Observed</t>
        </is>
      </c>
    </row>
    <row r="11" ht="19" customHeight="1">
      <c r="A11" s="6" t="inlineStr">
        <is>
          <t>Brunei</t>
        </is>
      </c>
      <c r="B11" s="10" t="n">
        <v>2012</v>
      </c>
      <c r="C11" s="10" t="n">
        <v>2</v>
      </c>
      <c r="D11" s="6" t="inlineStr">
        <is>
          <t>2012 Q2</t>
        </is>
      </c>
      <c r="E11" s="8" t="n">
        <v>100.185816666667</v>
      </c>
      <c r="F11" s="10" t="n">
        <v>0.07878907367164791</v>
      </c>
      <c r="G11" s="10" t="n">
        <v>-0.0874408521839731</v>
      </c>
      <c r="H11" s="8" t="n">
        <v>1.3480349094265</v>
      </c>
      <c r="I11" s="8" t="n">
        <v>1.0734913195324</v>
      </c>
      <c r="J11" s="8" t="n">
        <v>104.896666666667</v>
      </c>
      <c r="K11" s="8" t="n">
        <v>-1.59171930702358</v>
      </c>
      <c r="L11" s="8" t="n">
        <v>108.674540730789</v>
      </c>
      <c r="M11" s="8" t="n">
        <v>-10.9231049413272</v>
      </c>
      <c r="N11" s="8" t="n">
        <v>0.153333333333333</v>
      </c>
      <c r="O11" s="8" t="n">
        <v>0.05</v>
      </c>
      <c r="P11" s="8" t="n">
        <v>108.416666666667</v>
      </c>
      <c r="Q11" s="8" t="n">
        <v>-7.6204271756419</v>
      </c>
      <c r="R11" s="10" t="n">
        <v>0</v>
      </c>
      <c r="S11" s="7" t="inlineStr">
        <is>
          <t>High_Quality_Observed</t>
        </is>
      </c>
    </row>
    <row r="12" ht="19" customHeight="1">
      <c r="A12" s="6" t="inlineStr">
        <is>
          <t>Brunei</t>
        </is>
      </c>
      <c r="B12" s="10" t="n">
        <v>2012</v>
      </c>
      <c r="C12" s="10" t="n">
        <v>3</v>
      </c>
      <c r="D12" s="6" t="inlineStr">
        <is>
          <t>2012 Q3</t>
        </is>
      </c>
      <c r="E12" s="8" t="n">
        <v>100.0935</v>
      </c>
      <c r="F12" s="10" t="n">
        <v>0.108202558015691</v>
      </c>
      <c r="G12" s="10" t="n">
        <v>-0.0921454450721448</v>
      </c>
      <c r="H12" s="8" t="n">
        <v>0.443895314487284</v>
      </c>
      <c r="I12" s="8" t="n">
        <v>-0.556197320477498</v>
      </c>
      <c r="J12" s="8" t="n">
        <v>105.606666666667</v>
      </c>
      <c r="K12" s="8" t="n">
        <v>-1.13586719091306</v>
      </c>
      <c r="L12" s="8" t="n">
        <v>112.021404013206</v>
      </c>
      <c r="M12" s="8" t="n">
        <v>-5.77628480668088</v>
      </c>
      <c r="N12" s="8" t="n">
        <v>0.143333333333333</v>
      </c>
      <c r="O12" s="8" t="n">
        <v>-0.01</v>
      </c>
      <c r="P12" s="8" t="n">
        <v>109.613333333333</v>
      </c>
      <c r="Q12" s="8" t="n">
        <v>-3.28804187988943</v>
      </c>
      <c r="R12" s="10" t="n">
        <v>0</v>
      </c>
      <c r="S12" s="7" t="inlineStr">
        <is>
          <t>High_Quality_Observed</t>
        </is>
      </c>
    </row>
    <row r="13" ht="19" customHeight="1">
      <c r="A13" s="6" t="inlineStr">
        <is>
          <t>Brunei</t>
        </is>
      </c>
      <c r="B13" s="10" t="n">
        <v>2012</v>
      </c>
      <c r="C13" s="10" t="n">
        <v>4</v>
      </c>
      <c r="D13" s="6" t="inlineStr">
        <is>
          <t>2012 Q4</t>
        </is>
      </c>
      <c r="E13" s="8" t="n">
        <v>100.262946666667</v>
      </c>
      <c r="F13" s="10" t="n">
        <v>0.08815604721765791</v>
      </c>
      <c r="G13" s="10" t="n">
        <v>0.169288382029453</v>
      </c>
      <c r="H13" s="8" t="n">
        <v>-0.425904577061583</v>
      </c>
      <c r="I13" s="8" t="n">
        <v>-0.905022859356739</v>
      </c>
      <c r="J13" s="8" t="n">
        <v>105.93</v>
      </c>
      <c r="K13" s="8" t="n">
        <v>1.90149426024497</v>
      </c>
      <c r="L13" s="8" t="n">
        <v>112.043606667623</v>
      </c>
      <c r="M13" s="8" t="n">
        <v>-0.116348255206267</v>
      </c>
      <c r="N13" s="8" t="n">
        <v>0.16</v>
      </c>
      <c r="O13" s="8" t="n">
        <v>0.0166666666666667</v>
      </c>
      <c r="P13" s="8" t="n">
        <v>110.086666666667</v>
      </c>
      <c r="Q13" s="8" t="n">
        <v>0.630732197812245</v>
      </c>
      <c r="R13" s="10" t="n">
        <v>0</v>
      </c>
      <c r="S13" s="7" t="inlineStr">
        <is>
          <t>High_Quality_Observed</t>
        </is>
      </c>
    </row>
    <row r="14" ht="19" customHeight="1">
      <c r="A14" s="6" t="inlineStr">
        <is>
          <t>Brunei</t>
        </is>
      </c>
      <c r="B14" s="10" t="n">
        <v>2013</v>
      </c>
      <c r="C14" s="10" t="n">
        <v>1</v>
      </c>
      <c r="D14" s="6" t="inlineStr">
        <is>
          <t>2013 Q1</t>
        </is>
      </c>
      <c r="E14" s="8" t="n">
        <v>100.340556666667</v>
      </c>
      <c r="F14" s="10" t="n">
        <v>0.0668770933788476</v>
      </c>
      <c r="G14" s="10" t="n">
        <v>0.0774064622876436</v>
      </c>
      <c r="H14" s="8" t="n">
        <v>-1.261365635079</v>
      </c>
      <c r="I14" s="8" t="n">
        <v>0.0270143541576325</v>
      </c>
      <c r="J14" s="8" t="n">
        <v>105.37</v>
      </c>
      <c r="K14" s="8" t="n">
        <v>0.444853992564576</v>
      </c>
      <c r="L14" s="8" t="n">
        <v>112.344264317549</v>
      </c>
      <c r="M14" s="8" t="n">
        <v>-0.510765137598079</v>
      </c>
      <c r="N14" s="8" t="n">
        <v>0.143333333333333</v>
      </c>
      <c r="O14" s="8" t="n">
        <v>-0.0166666666666667</v>
      </c>
      <c r="P14" s="8" t="n">
        <v>112.493333333333</v>
      </c>
      <c r="Q14" s="8" t="n">
        <v>-5.06090528033308</v>
      </c>
      <c r="R14" s="10" t="n">
        <v>0</v>
      </c>
      <c r="S14" s="7" t="inlineStr">
        <is>
          <t>High_Quality_Observed</t>
        </is>
      </c>
    </row>
    <row r="15" ht="19" customHeight="1">
      <c r="A15" s="6" t="inlineStr">
        <is>
          <t>Brunei</t>
        </is>
      </c>
      <c r="B15" s="10" t="n">
        <v>2013</v>
      </c>
      <c r="C15" s="10" t="n">
        <v>2</v>
      </c>
      <c r="D15" s="6" t="inlineStr">
        <is>
          <t>2013 Q2</t>
        </is>
      </c>
      <c r="E15" s="8" t="n">
        <v>100.333106666667</v>
      </c>
      <c r="F15" s="10" t="n">
        <v>0.147016818248891</v>
      </c>
      <c r="G15" s="10" t="n">
        <v>-0.0074247146393258</v>
      </c>
      <c r="H15" s="8" t="n">
        <v>-1.94091665070825</v>
      </c>
      <c r="I15" s="8" t="n">
        <v>0.975530608293105</v>
      </c>
      <c r="J15" s="8" t="n">
        <v>105.556666666667</v>
      </c>
      <c r="K15" s="8" t="n">
        <v>0.62919063205058</v>
      </c>
      <c r="L15" s="8" t="n">
        <v>111.205746192615</v>
      </c>
      <c r="M15" s="8" t="n">
        <v>2.32916140689856</v>
      </c>
      <c r="N15" s="8" t="n">
        <v>0.116666666666667</v>
      </c>
      <c r="O15" s="8" t="n">
        <v>-0.0266666666666667</v>
      </c>
      <c r="P15" s="8" t="n">
        <v>102.576666666667</v>
      </c>
      <c r="Q15" s="8" t="n">
        <v>-5.38662567255957</v>
      </c>
      <c r="R15" s="10" t="n">
        <v>0</v>
      </c>
      <c r="S15" s="7" t="inlineStr">
        <is>
          <t>High_Quality_Observed</t>
        </is>
      </c>
    </row>
    <row r="16" ht="19" customHeight="1">
      <c r="A16" s="6" t="inlineStr">
        <is>
          <t>Brunei</t>
        </is>
      </c>
      <c r="B16" s="10" t="n">
        <v>2013</v>
      </c>
      <c r="C16" s="10" t="n">
        <v>3</v>
      </c>
      <c r="D16" s="6" t="inlineStr">
        <is>
          <t>2013 Q3</t>
        </is>
      </c>
      <c r="E16" s="8" t="n">
        <v>100.776963333333</v>
      </c>
      <c r="F16" s="10" t="n">
        <v>0.682824892059264</v>
      </c>
      <c r="G16" s="10" t="n">
        <v>0.442383059204254</v>
      </c>
      <c r="H16" s="8" t="n">
        <v>-2.46455830357063</v>
      </c>
      <c r="I16" s="8" t="n">
        <v>1.94052685154965</v>
      </c>
      <c r="J16" s="8" t="n">
        <v>104.533333333333</v>
      </c>
      <c r="K16" s="8" t="n">
        <v>-1.01634997790544</v>
      </c>
      <c r="L16" s="8" t="n">
        <v>106.517639660823</v>
      </c>
      <c r="M16" s="8" t="n">
        <v>-4.91313637859304</v>
      </c>
      <c r="N16" s="8" t="n">
        <v>0.0833333333333333</v>
      </c>
      <c r="O16" s="8" t="n">
        <v>-0.0333333333333333</v>
      </c>
      <c r="P16" s="8" t="n">
        <v>110.27</v>
      </c>
      <c r="Q16" s="8" t="n">
        <v>0.599075538255689</v>
      </c>
      <c r="R16" s="10" t="n">
        <v>0</v>
      </c>
      <c r="S16" s="7" t="inlineStr">
        <is>
          <t>High_Quality_Observed</t>
        </is>
      </c>
    </row>
    <row r="17" ht="19" customHeight="1">
      <c r="A17" s="6" t="inlineStr">
        <is>
          <t>Brunei</t>
        </is>
      </c>
      <c r="B17" s="10" t="n">
        <v>2013</v>
      </c>
      <c r="C17" s="10" t="n">
        <v>4</v>
      </c>
      <c r="D17" s="6" t="inlineStr">
        <is>
          <t>2013 Q4</t>
        </is>
      </c>
      <c r="E17" s="8" t="n">
        <v>100.925126666667</v>
      </c>
      <c r="F17" s="10" t="n">
        <v>0.66044338613096</v>
      </c>
      <c r="G17" s="10" t="n">
        <v>0.147021033808348</v>
      </c>
      <c r="H17" s="8" t="n">
        <v>-2.83229111726115</v>
      </c>
      <c r="I17" s="8" t="n">
        <v>2.92200404895638</v>
      </c>
      <c r="J17" s="8" t="n">
        <v>104.27</v>
      </c>
      <c r="K17" s="8" t="n">
        <v>-1.56707259510998</v>
      </c>
      <c r="L17" s="8" t="n">
        <v>108.042368791302</v>
      </c>
      <c r="M17" s="8" t="n">
        <v>-3.57114341043118</v>
      </c>
      <c r="N17" s="8" t="n">
        <v>0.0866666666666667</v>
      </c>
      <c r="O17" s="8" t="n">
        <v>0.0033333333333333</v>
      </c>
      <c r="P17" s="8" t="n">
        <v>109.21</v>
      </c>
      <c r="Q17" s="8" t="n">
        <v>-0.796342275782702</v>
      </c>
      <c r="R17" s="10" t="n">
        <v>0</v>
      </c>
      <c r="S17" s="7" t="inlineStr">
        <is>
          <t>High_Quality_Observed</t>
        </is>
      </c>
    </row>
    <row r="18" ht="19" customHeight="1">
      <c r="A18" s="6" t="inlineStr">
        <is>
          <t>Brunei</t>
        </is>
      </c>
      <c r="B18" s="10" t="n">
        <v>2014</v>
      </c>
      <c r="C18" s="10" t="n">
        <v>1</v>
      </c>
      <c r="D18" s="6" t="inlineStr">
        <is>
          <t>2014 Q1</t>
        </is>
      </c>
      <c r="E18" s="8" t="n">
        <v>100.03382</v>
      </c>
      <c r="F18" s="10" t="n">
        <v>-0.30569559992143</v>
      </c>
      <c r="G18" s="10" t="n">
        <v>-0.883136535077589</v>
      </c>
      <c r="H18" s="8" t="n">
        <v>-3.04411545950135</v>
      </c>
      <c r="I18" s="8" t="n">
        <v>3.91996318198423</v>
      </c>
      <c r="J18" s="8" t="n">
        <v>102.136666666667</v>
      </c>
      <c r="K18" s="8" t="n">
        <v>-3.06855208629907</v>
      </c>
      <c r="L18" s="8" t="n">
        <v>109.985285302654</v>
      </c>
      <c r="M18" s="8" t="n">
        <v>-2.09977699282194</v>
      </c>
      <c r="N18" s="8" t="n">
        <v>0.07333333333333331</v>
      </c>
      <c r="O18" s="8" t="n">
        <v>-0.0133333333333333</v>
      </c>
      <c r="P18" s="8" t="n">
        <v>108.166666666667</v>
      </c>
      <c r="Q18" s="8" t="n">
        <v>-3.84615384615383</v>
      </c>
      <c r="R18" s="10" t="n">
        <v>0</v>
      </c>
      <c r="S18" s="7" t="inlineStr">
        <is>
          <t>High_Quality_Observed</t>
        </is>
      </c>
    </row>
    <row r="19" ht="19" customHeight="1">
      <c r="A19" s="6" t="inlineStr">
        <is>
          <t>Brunei</t>
        </is>
      </c>
      <c r="B19" s="10" t="n">
        <v>2014</v>
      </c>
      <c r="C19" s="10" t="n">
        <v>2</v>
      </c>
      <c r="D19" s="6" t="inlineStr">
        <is>
          <t>2014 Q2</t>
        </is>
      </c>
      <c r="E19" s="8" t="n">
        <v>100.414143333333</v>
      </c>
      <c r="F19" s="10" t="n">
        <v>0.0807676243255173</v>
      </c>
      <c r="G19" s="10" t="n">
        <v>0.380194751468377</v>
      </c>
      <c r="H19" s="8" t="n">
        <v>-2.91435402200432</v>
      </c>
      <c r="I19" s="8" t="n">
        <v>4.03961203700055</v>
      </c>
      <c r="J19" s="8" t="n">
        <v>102.323333333333</v>
      </c>
      <c r="K19" s="8" t="n">
        <v>-3.06312565130895</v>
      </c>
      <c r="L19" s="8" t="n">
        <v>111.498689744988</v>
      </c>
      <c r="M19" s="8" t="n">
        <v>0.26342483406061</v>
      </c>
      <c r="N19" s="8" t="n">
        <v>0.0933333333333333</v>
      </c>
      <c r="O19" s="8" t="n">
        <v>0.02</v>
      </c>
      <c r="P19" s="8" t="n">
        <v>109.7</v>
      </c>
      <c r="Q19" s="8" t="n">
        <v>6.94439931108439</v>
      </c>
      <c r="R19" s="10" t="n">
        <v>0</v>
      </c>
      <c r="S19" s="7" t="inlineStr">
        <is>
          <t>High_Quality_Observed</t>
        </is>
      </c>
    </row>
    <row r="20" ht="19" customHeight="1">
      <c r="A20" s="6" t="inlineStr">
        <is>
          <t>Brunei</t>
        </is>
      </c>
      <c r="B20" s="10" t="n">
        <v>2014</v>
      </c>
      <c r="C20" s="10" t="n">
        <v>3</v>
      </c>
      <c r="D20" s="6" t="inlineStr">
        <is>
          <t>2014 Q3</t>
        </is>
      </c>
      <c r="E20" s="8" t="n">
        <v>100.44861</v>
      </c>
      <c r="F20" s="10" t="n">
        <v>-0.325821817281069</v>
      </c>
      <c r="G20" s="10" t="n">
        <v>0.0343245139803328</v>
      </c>
      <c r="H20" s="8" t="n">
        <v>-2.44300667498765</v>
      </c>
      <c r="I20" s="8" t="n">
        <v>3.28095073366048</v>
      </c>
      <c r="J20" s="8" t="n">
        <v>102.736666666667</v>
      </c>
      <c r="K20" s="8" t="n">
        <v>-1.71875</v>
      </c>
      <c r="L20" s="8" t="n">
        <v>104.211407968198</v>
      </c>
      <c r="M20" s="8" t="n">
        <v>-2.16511715802957</v>
      </c>
      <c r="N20" s="8" t="n">
        <v>0.09</v>
      </c>
      <c r="O20" s="8" t="n">
        <v>-0.0033333333333333</v>
      </c>
      <c r="P20" s="8" t="n">
        <v>101.823333333333</v>
      </c>
      <c r="Q20" s="8" t="n">
        <v>-7.65998609473715</v>
      </c>
      <c r="R20" s="10" t="n">
        <v>0</v>
      </c>
      <c r="S20" s="7" t="inlineStr">
        <is>
          <t>High_Quality_Observed</t>
        </is>
      </c>
    </row>
    <row r="21" ht="19" customHeight="1">
      <c r="A21" s="6" t="inlineStr">
        <is>
          <t>Brunei</t>
        </is>
      </c>
      <c r="B21" s="10" t="n">
        <v>2014</v>
      </c>
      <c r="C21" s="10" t="n">
        <v>4</v>
      </c>
      <c r="D21" s="6" t="inlineStr">
        <is>
          <t>2014 Q4</t>
        </is>
      </c>
      <c r="E21" s="8" t="n">
        <v>100.645823333333</v>
      </c>
      <c r="F21" s="10" t="n">
        <v>-0.276743109033495</v>
      </c>
      <c r="G21" s="10" t="n">
        <v>0.196332565809865</v>
      </c>
      <c r="H21" s="8" t="n">
        <v>-1.63007294707288</v>
      </c>
      <c r="I21" s="8" t="n">
        <v>1.64397851330274</v>
      </c>
      <c r="J21" s="8" t="n">
        <v>102.94</v>
      </c>
      <c r="K21" s="8" t="n">
        <v>-1.27553466960775</v>
      </c>
      <c r="L21" s="8" t="n">
        <v>99.4046630544031</v>
      </c>
      <c r="M21" s="8" t="n">
        <v>-7.9947393171137</v>
      </c>
      <c r="N21" s="8" t="n">
        <v>0.1</v>
      </c>
      <c r="O21" s="8" t="n">
        <v>0.01</v>
      </c>
      <c r="P21" s="8" t="n">
        <v>76.40333333333329</v>
      </c>
      <c r="Q21" s="8" t="n">
        <v>-30.0399841284376</v>
      </c>
      <c r="R21" s="10" t="n">
        <v>0</v>
      </c>
      <c r="S21" s="7" t="inlineStr">
        <is>
          <t>High_Quality_Observed</t>
        </is>
      </c>
    </row>
    <row r="22" ht="19" customHeight="1">
      <c r="A22" s="6" t="inlineStr">
        <is>
          <t>Brunei</t>
        </is>
      </c>
      <c r="B22" s="10" t="n">
        <v>2015</v>
      </c>
      <c r="C22" s="10" t="n">
        <v>1</v>
      </c>
      <c r="D22" s="6" t="inlineStr">
        <is>
          <t>2015 Q1</t>
        </is>
      </c>
      <c r="E22" s="8" t="n">
        <v>99.80821</v>
      </c>
      <c r="F22" s="10" t="n">
        <v>-0.225533724494376</v>
      </c>
      <c r="G22" s="10" t="n">
        <v>-0.8322385426359989</v>
      </c>
      <c r="H22" s="8" t="n">
        <v>-0.475552025372131</v>
      </c>
      <c r="I22" s="8" t="n">
        <v>-0.8713062610476759</v>
      </c>
      <c r="J22" s="8" t="n">
        <v>101.966666666667</v>
      </c>
      <c r="K22" s="8" t="n">
        <v>-0.16644365392775</v>
      </c>
      <c r="L22" s="8" t="n">
        <v>100.657732001964</v>
      </c>
      <c r="M22" s="8" t="n">
        <v>-8.4807283765489</v>
      </c>
      <c r="N22" s="8" t="n">
        <v>0.11</v>
      </c>
      <c r="O22" s="8" t="n">
        <v>0.01</v>
      </c>
      <c r="P22" s="8" t="n">
        <v>53.9166666666667</v>
      </c>
      <c r="Q22" s="8" t="n">
        <v>-50.1540832049307</v>
      </c>
      <c r="R22" s="10" t="n">
        <v>0</v>
      </c>
      <c r="S22" s="7" t="inlineStr">
        <is>
          <t>High_Quality_Observed</t>
        </is>
      </c>
    </row>
    <row r="23" ht="19" customHeight="1">
      <c r="A23" s="6" t="inlineStr">
        <is>
          <t>Brunei</t>
        </is>
      </c>
      <c r="B23" s="10" t="n">
        <v>2015</v>
      </c>
      <c r="C23" s="10" t="n">
        <v>2</v>
      </c>
      <c r="D23" s="6" t="inlineStr">
        <is>
          <t>2015 Q2</t>
        </is>
      </c>
      <c r="E23" s="8" t="n">
        <v>99.9428266666667</v>
      </c>
      <c r="F23" s="10" t="n">
        <v>-0.469372790546141</v>
      </c>
      <c r="G23" s="10" t="n">
        <v>0.134875344089092</v>
      </c>
      <c r="H23" s="8" t="n">
        <v>0.0195234720613583</v>
      </c>
      <c r="I23" s="8" t="n">
        <v>-2.23264312359659</v>
      </c>
      <c r="J23" s="8" t="n">
        <v>102.723333333333</v>
      </c>
      <c r="K23" s="8" t="n">
        <v>0.390917679252056</v>
      </c>
      <c r="L23" s="8" t="n">
        <v>96.8474817130345</v>
      </c>
      <c r="M23" s="8" t="n">
        <v>-13.1402513029193</v>
      </c>
      <c r="N23" s="8" t="n">
        <v>0.123333333333333</v>
      </c>
      <c r="O23" s="8" t="n">
        <v>0.0133333333333333</v>
      </c>
      <c r="P23" s="8" t="n">
        <v>61.6933333333333</v>
      </c>
      <c r="Q23" s="8" t="n">
        <v>-43.761774536615</v>
      </c>
      <c r="R23" s="10" t="n">
        <v>0</v>
      </c>
      <c r="S23" s="7" t="inlineStr">
        <is>
          <t>High_Quality_Observed</t>
        </is>
      </c>
    </row>
    <row r="24" ht="19" customHeight="1">
      <c r="A24" s="6" t="inlineStr">
        <is>
          <t>Brunei</t>
        </is>
      </c>
      <c r="B24" s="10" t="n">
        <v>2015</v>
      </c>
      <c r="C24" s="10" t="n">
        <v>3</v>
      </c>
      <c r="D24" s="6" t="inlineStr">
        <is>
          <t>2015 Q3</t>
        </is>
      </c>
      <c r="E24" s="8" t="n">
        <v>99.8995333333333</v>
      </c>
      <c r="F24" s="10" t="n">
        <v>-0.546624454700428</v>
      </c>
      <c r="G24" s="10" t="n">
        <v>-0.0433180997348792</v>
      </c>
      <c r="H24" s="8" t="n">
        <v>-0.14484595969254</v>
      </c>
      <c r="I24" s="8" t="n">
        <v>-2.44003343571231</v>
      </c>
      <c r="J24" s="8" t="n">
        <v>100.906666666667</v>
      </c>
      <c r="K24" s="8" t="n">
        <v>-1.78125304175725</v>
      </c>
      <c r="L24" s="8" t="n">
        <v>92.7459060049042</v>
      </c>
      <c r="M24" s="8" t="n">
        <v>-11.002156277164</v>
      </c>
      <c r="N24" s="8" t="n">
        <v>0.136666666666667</v>
      </c>
      <c r="O24" s="8" t="n">
        <v>0.0133333333333333</v>
      </c>
      <c r="P24" s="8" t="n">
        <v>50.2333333333333</v>
      </c>
      <c r="Q24" s="8" t="n">
        <v>-50.666186532229</v>
      </c>
      <c r="R24" s="10" t="n">
        <v>0</v>
      </c>
      <c r="S24" s="7" t="inlineStr">
        <is>
          <t>High_Quality_Observed</t>
        </is>
      </c>
    </row>
    <row r="25" ht="19" customHeight="1">
      <c r="A25" s="6" t="inlineStr">
        <is>
          <t>Brunei</t>
        </is>
      </c>
      <c r="B25" s="10" t="n">
        <v>2015</v>
      </c>
      <c r="C25" s="10" t="n">
        <v>4</v>
      </c>
      <c r="D25" s="6" t="inlineStr">
        <is>
          <t>2015 Q4</t>
        </is>
      </c>
      <c r="E25" s="8" t="n">
        <v>99.9309066666667</v>
      </c>
      <c r="F25" s="10" t="n">
        <v>-0.710329194981996</v>
      </c>
      <c r="G25" s="10" t="n">
        <v>0.0314048847742443</v>
      </c>
      <c r="H25" s="8" t="n">
        <v>-0.968660484969706</v>
      </c>
      <c r="I25" s="8" t="n">
        <v>-1.49347740478541</v>
      </c>
      <c r="J25" s="8" t="n">
        <v>101.036666666667</v>
      </c>
      <c r="K25" s="8" t="n">
        <v>-1.84897351207823</v>
      </c>
      <c r="L25" s="8" t="n">
        <v>90.3005619231251</v>
      </c>
      <c r="M25" s="8" t="n">
        <v>-9.15862581446042</v>
      </c>
      <c r="N25" s="8" t="n">
        <v>0.16</v>
      </c>
      <c r="O25" s="8" t="n">
        <v>0.0233333333333333</v>
      </c>
      <c r="P25" s="8" t="n">
        <v>43.57</v>
      </c>
      <c r="Q25" s="8" t="n">
        <v>-42.9736922472842</v>
      </c>
      <c r="R25" s="10" t="n">
        <v>0</v>
      </c>
      <c r="S25" s="7" t="inlineStr">
        <is>
          <t>High_Quality_Observed</t>
        </is>
      </c>
    </row>
    <row r="26" ht="19" customHeight="1">
      <c r="A26" s="6" t="inlineStr">
        <is>
          <t>Brunei</t>
        </is>
      </c>
      <c r="B26" s="10" t="n">
        <v>2016</v>
      </c>
      <c r="C26" s="10" t="n">
        <v>1</v>
      </c>
      <c r="D26" s="6" t="inlineStr">
        <is>
          <t>2016 Q1</t>
        </is>
      </c>
      <c r="E26" s="8" t="n">
        <v>99.67609</v>
      </c>
      <c r="F26" s="10" t="n">
        <v>-0.132373879864189</v>
      </c>
      <c r="G26" s="10" t="n">
        <v>-0.25499284972631</v>
      </c>
      <c r="H26" s="8" t="n">
        <v>-2.45192092762</v>
      </c>
      <c r="I26" s="8" t="n">
        <v>0.607025915760425</v>
      </c>
      <c r="J26" s="8" t="n">
        <v>101.736666666667</v>
      </c>
      <c r="K26" s="8" t="n">
        <v>-0.22556390977444</v>
      </c>
      <c r="L26" s="8" t="n">
        <v>91.66230580090431</v>
      </c>
      <c r="M26" s="8" t="n">
        <v>-8.936647013747329</v>
      </c>
      <c r="N26" s="8" t="n">
        <v>0.36</v>
      </c>
      <c r="O26" s="8" t="n">
        <v>0.2</v>
      </c>
      <c r="P26" s="8" t="n">
        <v>33.6966666666667</v>
      </c>
      <c r="Q26" s="8" t="n">
        <v>-37.5023183925811</v>
      </c>
      <c r="R26" s="10" t="n">
        <v>0</v>
      </c>
      <c r="S26" s="7" t="inlineStr">
        <is>
          <t>High_Quality_Observed</t>
        </is>
      </c>
    </row>
    <row r="27" ht="19" customHeight="1">
      <c r="A27" s="6" t="inlineStr">
        <is>
          <t>Brunei</t>
        </is>
      </c>
      <c r="B27" s="10" t="n">
        <v>2016</v>
      </c>
      <c r="C27" s="10" t="n">
        <v>2</v>
      </c>
      <c r="D27" s="6" t="inlineStr">
        <is>
          <t>2016 Q2</t>
        </is>
      </c>
      <c r="E27" s="8" t="n">
        <v>99.55277333333331</v>
      </c>
      <c r="F27" s="10" t="n">
        <v>-0.390276467398953</v>
      </c>
      <c r="G27" s="10" t="n">
        <v>-0.123717399696022</v>
      </c>
      <c r="H27" s="8" t="n">
        <v>-3.05562360707687</v>
      </c>
      <c r="I27" s="8" t="n">
        <v>1.80812396421194</v>
      </c>
      <c r="J27" s="8" t="n">
        <v>102.49</v>
      </c>
      <c r="K27" s="8" t="n">
        <v>-0.227147353733326</v>
      </c>
      <c r="L27" s="8" t="n">
        <v>96.9846126235507</v>
      </c>
      <c r="M27" s="8" t="n">
        <v>0.141594709630688</v>
      </c>
      <c r="N27" s="8" t="n">
        <v>0.373333333333333</v>
      </c>
      <c r="O27" s="8" t="n">
        <v>0.0133333333333334</v>
      </c>
      <c r="P27" s="8" t="n">
        <v>45.5233333333333</v>
      </c>
      <c r="Q27" s="8" t="n">
        <v>-26.2102874432678</v>
      </c>
      <c r="R27" s="10" t="n">
        <v>0</v>
      </c>
      <c r="S27" s="7" t="inlineStr">
        <is>
          <t>High_Quality_Observed</t>
        </is>
      </c>
    </row>
    <row r="28" ht="19" customHeight="1">
      <c r="A28" s="6" t="inlineStr">
        <is>
          <t>Brunei</t>
        </is>
      </c>
      <c r="B28" s="10" t="n">
        <v>2016</v>
      </c>
      <c r="C28" s="10" t="n">
        <v>3</v>
      </c>
      <c r="D28" s="6" t="inlineStr">
        <is>
          <t>2016 Q3</t>
        </is>
      </c>
      <c r="E28" s="8" t="n">
        <v>99.5748066666667</v>
      </c>
      <c r="F28" s="10" t="n">
        <v>-0.325053236818607</v>
      </c>
      <c r="G28" s="10" t="n">
        <v>0.0221323149477204</v>
      </c>
      <c r="H28" s="8" t="n">
        <v>-2.77976912700927</v>
      </c>
      <c r="I28" s="8" t="n">
        <v>2.10981794166607</v>
      </c>
      <c r="J28" s="8" t="n">
        <v>103.416666666667</v>
      </c>
      <c r="K28" s="8" t="n">
        <v>2.48744714587739</v>
      </c>
      <c r="L28" s="8" t="n">
        <v>100.864699533998</v>
      </c>
      <c r="M28" s="8" t="n">
        <v>8.75380259767431</v>
      </c>
      <c r="N28" s="8" t="n">
        <v>0.396666666666667</v>
      </c>
      <c r="O28" s="8" t="n">
        <v>0.0233333333333333</v>
      </c>
      <c r="P28" s="8" t="n">
        <v>45.7866666666667</v>
      </c>
      <c r="Q28" s="8" t="n">
        <v>-8.852023888520231</v>
      </c>
      <c r="R28" s="10" t="n">
        <v>0</v>
      </c>
      <c r="S28" s="7" t="inlineStr">
        <is>
          <t>High_Quality_Observed</t>
        </is>
      </c>
    </row>
    <row r="29" ht="19" customHeight="1">
      <c r="A29" s="6" t="inlineStr">
        <is>
          <t>Brunei</t>
        </is>
      </c>
      <c r="B29" s="10" t="n">
        <v>2016</v>
      </c>
      <c r="C29" s="10" t="n">
        <v>4</v>
      </c>
      <c r="D29" s="6" t="inlineStr">
        <is>
          <t>2016 Q4</t>
        </is>
      </c>
      <c r="E29" s="8" t="n">
        <v>99.66419999999999</v>
      </c>
      <c r="F29" s="10" t="n">
        <v>-0.266891070603725</v>
      </c>
      <c r="G29" s="10" t="n">
        <v>0.08977505086460449</v>
      </c>
      <c r="H29" s="8" t="n">
        <v>-1.62435721157891</v>
      </c>
      <c r="I29" s="8" t="n">
        <v>1.51210814977619</v>
      </c>
      <c r="J29" s="8" t="n">
        <v>102.096666666667</v>
      </c>
      <c r="K29" s="8" t="n">
        <v>1.04912408036686</v>
      </c>
      <c r="L29" s="8" t="n">
        <v>101.835604997953</v>
      </c>
      <c r="M29" s="8" t="n">
        <v>12.7740545896579</v>
      </c>
      <c r="N29" s="8" t="n">
        <v>0.45</v>
      </c>
      <c r="O29" s="8" t="n">
        <v>0.0533333333333333</v>
      </c>
      <c r="P29" s="8" t="n">
        <v>49.1866666666667</v>
      </c>
      <c r="Q29" s="8" t="n">
        <v>12.8911330426134</v>
      </c>
      <c r="R29" s="10" t="n">
        <v>0</v>
      </c>
      <c r="S29" s="7" t="inlineStr">
        <is>
          <t>High_Quality_Observed</t>
        </is>
      </c>
    </row>
    <row r="30" ht="19" customHeight="1">
      <c r="A30" s="6" t="inlineStr">
        <is>
          <t>Brunei</t>
        </is>
      </c>
      <c r="B30" s="10" t="n">
        <v>2017</v>
      </c>
      <c r="C30" s="10" t="n">
        <v>1</v>
      </c>
      <c r="D30" s="6" t="inlineStr">
        <is>
          <t>2017 Q1</t>
        </is>
      </c>
      <c r="E30" s="8" t="n">
        <v>98.2702033333333</v>
      </c>
      <c r="F30" s="10" t="n">
        <v>-1.4104552723393</v>
      </c>
      <c r="G30" s="10" t="n">
        <v>-1.39869347937038</v>
      </c>
      <c r="H30" s="8" t="n">
        <v>0.410613294640954</v>
      </c>
      <c r="I30" s="8" t="n">
        <v>0.0149939908232842</v>
      </c>
      <c r="J30" s="8" t="n">
        <v>100.286666666667</v>
      </c>
      <c r="K30" s="8" t="n">
        <v>-1.42524818977098</v>
      </c>
      <c r="L30" s="8" t="n">
        <v>100.125779631695</v>
      </c>
      <c r="M30" s="8" t="n">
        <v>9.23331980015236</v>
      </c>
      <c r="N30" s="8" t="n">
        <v>0.7</v>
      </c>
      <c r="O30" s="8" t="n">
        <v>0.25</v>
      </c>
      <c r="P30" s="8" t="n">
        <v>53.68</v>
      </c>
      <c r="Q30" s="8" t="n">
        <v>59.30359085963</v>
      </c>
      <c r="R30" s="10" t="n">
        <v>0</v>
      </c>
      <c r="S30" s="7" t="inlineStr">
        <is>
          <t>High_Quality_Observed</t>
        </is>
      </c>
    </row>
    <row r="31" ht="19" customHeight="1">
      <c r="A31" s="6" t="inlineStr">
        <is>
          <t>Brunei</t>
        </is>
      </c>
      <c r="B31" s="10" t="n">
        <v>2017</v>
      </c>
      <c r="C31" s="10" t="n">
        <v>2</v>
      </c>
      <c r="D31" s="6" t="inlineStr">
        <is>
          <t>2017 Q2</t>
        </is>
      </c>
      <c r="E31" s="8" t="n">
        <v>98.2079333333333</v>
      </c>
      <c r="F31" s="10" t="n">
        <v>-1.35088150231342</v>
      </c>
      <c r="G31" s="10" t="n">
        <v>-0.06336610476809219</v>
      </c>
      <c r="H31" s="8" t="n">
        <v>1.59184631825447</v>
      </c>
      <c r="I31" s="8" t="n">
        <v>-0.76648297213365</v>
      </c>
      <c r="J31" s="8" t="n">
        <v>100.026666666667</v>
      </c>
      <c r="K31" s="8" t="n">
        <v>-2.40348651900998</v>
      </c>
      <c r="L31" s="8" t="n">
        <v>99.4605526807123</v>
      </c>
      <c r="M31" s="8" t="n">
        <v>2.55292049963849</v>
      </c>
      <c r="N31" s="8" t="n">
        <v>0.95</v>
      </c>
      <c r="O31" s="8" t="n">
        <v>0.25</v>
      </c>
      <c r="P31" s="8" t="n">
        <v>49.67</v>
      </c>
      <c r="Q31" s="8" t="n">
        <v>9.10888189207</v>
      </c>
      <c r="R31" s="10" t="n">
        <v>0</v>
      </c>
      <c r="S31" s="7" t="inlineStr">
        <is>
          <t>High_Quality_Observed</t>
        </is>
      </c>
    </row>
    <row r="32" ht="19" customHeight="1">
      <c r="A32" s="6" t="inlineStr">
        <is>
          <t>Brunei</t>
        </is>
      </c>
      <c r="B32" s="10" t="n">
        <v>2017</v>
      </c>
      <c r="C32" s="10" t="n">
        <v>3</v>
      </c>
      <c r="D32" s="6" t="inlineStr">
        <is>
          <t>2017 Q3</t>
        </is>
      </c>
      <c r="E32" s="8" t="n">
        <v>98.3660366666667</v>
      </c>
      <c r="F32" s="10" t="n">
        <v>-1.21393155604753</v>
      </c>
      <c r="G32" s="10" t="n">
        <v>0.160988351925417</v>
      </c>
      <c r="H32" s="8" t="n">
        <v>1.91934304050647</v>
      </c>
      <c r="I32" s="8" t="n">
        <v>-0.832323520618285</v>
      </c>
      <c r="J32" s="8" t="n">
        <v>100.163333333333</v>
      </c>
      <c r="K32" s="8" t="n">
        <v>-3.14585012087026</v>
      </c>
      <c r="L32" s="8" t="n">
        <v>102.480667511988</v>
      </c>
      <c r="M32" s="8" t="n">
        <v>1.60211450136303</v>
      </c>
      <c r="N32" s="8" t="n">
        <v>1.15333333333333</v>
      </c>
      <c r="O32" s="8" t="n">
        <v>0.203333333333333</v>
      </c>
      <c r="P32" s="8" t="n">
        <v>52.11</v>
      </c>
      <c r="Q32" s="8" t="n">
        <v>13.8104251601631</v>
      </c>
      <c r="R32" s="10" t="n">
        <v>0</v>
      </c>
      <c r="S32" s="7" t="inlineStr">
        <is>
          <t>High_Quality_Observed</t>
        </is>
      </c>
    </row>
    <row r="33" ht="19" customHeight="1">
      <c r="A33" s="6" t="inlineStr">
        <is>
          <t>Brunei</t>
        </is>
      </c>
      <c r="B33" s="10" t="n">
        <v>2017</v>
      </c>
      <c r="C33" s="10" t="n">
        <v>4</v>
      </c>
      <c r="D33" s="6" t="inlineStr">
        <is>
          <t>2017 Q4</t>
        </is>
      </c>
      <c r="E33" s="8" t="n">
        <v>98.6009866666667</v>
      </c>
      <c r="F33" s="10" t="n">
        <v>-1.06679563306917</v>
      </c>
      <c r="G33" s="10" t="n">
        <v>0.23885276662734</v>
      </c>
      <c r="H33" s="8" t="n">
        <v>1.39310378891523</v>
      </c>
      <c r="I33" s="8" t="n">
        <v>-0.182527720484952</v>
      </c>
      <c r="J33" s="8" t="n">
        <v>99.90666666666669</v>
      </c>
      <c r="K33" s="8" t="n">
        <v>-2.14502595579352</v>
      </c>
      <c r="L33" s="8" t="n">
        <v>100.792675769869</v>
      </c>
      <c r="M33" s="8" t="n">
        <v>-1.0241302421728</v>
      </c>
      <c r="N33" s="8" t="n">
        <v>1.20333333333333</v>
      </c>
      <c r="O33" s="8" t="n">
        <v>0.05</v>
      </c>
      <c r="P33" s="8" t="n">
        <v>61.53</v>
      </c>
      <c r="Q33" s="8" t="n">
        <v>25.0948766603416</v>
      </c>
      <c r="R33" s="10" t="n">
        <v>0</v>
      </c>
      <c r="S33" s="7" t="inlineStr">
        <is>
          <t>High_Quality_Observed</t>
        </is>
      </c>
    </row>
    <row r="34" ht="19" customHeight="1">
      <c r="A34" s="6" t="inlineStr">
        <is>
          <t>Brunei</t>
        </is>
      </c>
      <c r="B34" s="10" t="n">
        <v>2018</v>
      </c>
      <c r="C34" s="10" t="n">
        <v>1</v>
      </c>
      <c r="D34" s="6" t="inlineStr">
        <is>
          <t>2018 Q1</t>
        </is>
      </c>
      <c r="E34" s="8" t="n">
        <v>99.3541433333333</v>
      </c>
      <c r="F34" s="10" t="n">
        <v>1.10302000324887</v>
      </c>
      <c r="G34" s="10" t="n">
        <v>0.763842931118752</v>
      </c>
      <c r="H34" s="8" t="n">
        <v>0.013128037243991</v>
      </c>
      <c r="I34" s="8" t="n">
        <v>1.18290507807134</v>
      </c>
      <c r="J34" s="8" t="n">
        <v>100.06</v>
      </c>
      <c r="K34" s="8" t="n">
        <v>-0.226018746260714</v>
      </c>
      <c r="L34" s="8" t="n">
        <v>96.02404012089779</v>
      </c>
      <c r="M34" s="8" t="n">
        <v>-4.09658683895945</v>
      </c>
      <c r="N34" s="8" t="n">
        <v>1.44666666666667</v>
      </c>
      <c r="O34" s="8" t="n">
        <v>0.243333333333333</v>
      </c>
      <c r="P34" s="8" t="n">
        <v>66.8066666666667</v>
      </c>
      <c r="Q34" s="8" t="n">
        <v>24.4535519125683</v>
      </c>
      <c r="R34" s="10" t="n">
        <v>0</v>
      </c>
      <c r="S34" s="7" t="inlineStr">
        <is>
          <t>High_Quality_Observed</t>
        </is>
      </c>
    </row>
    <row r="35" ht="19" customHeight="1">
      <c r="A35" s="6" t="inlineStr">
        <is>
          <t>Brunei</t>
        </is>
      </c>
      <c r="B35" s="10" t="n">
        <v>2018</v>
      </c>
      <c r="C35" s="10" t="n">
        <v>2</v>
      </c>
      <c r="D35" s="6" t="inlineStr">
        <is>
          <t>2018 Q2</t>
        </is>
      </c>
      <c r="E35" s="8" t="n">
        <v>99.3307466666667</v>
      </c>
      <c r="F35" s="10" t="n">
        <v>1.14330206860411</v>
      </c>
      <c r="G35" s="10" t="n">
        <v>-0.0235487578894134</v>
      </c>
      <c r="H35" s="8" t="n">
        <v>-0.523164877838268</v>
      </c>
      <c r="I35" s="8" t="n">
        <v>2.39092177817785</v>
      </c>
      <c r="J35" s="8" t="n">
        <v>100.01</v>
      </c>
      <c r="K35" s="8" t="n">
        <v>-0.0166622234071045</v>
      </c>
      <c r="L35" s="8" t="n">
        <v>96.1737638878632</v>
      </c>
      <c r="M35" s="8" t="n">
        <v>-3.30461545231933</v>
      </c>
      <c r="N35" s="8" t="n">
        <v>1.73666666666667</v>
      </c>
      <c r="O35" s="8" t="n">
        <v>0.29</v>
      </c>
      <c r="P35" s="8" t="n">
        <v>74.5</v>
      </c>
      <c r="Q35" s="8" t="n">
        <v>49.9899335615059</v>
      </c>
      <c r="R35" s="10" t="n">
        <v>0</v>
      </c>
      <c r="S35" s="7" t="inlineStr">
        <is>
          <t>High_Quality_Observed</t>
        </is>
      </c>
    </row>
    <row r="36" ht="19" customHeight="1">
      <c r="A36" s="6" t="inlineStr">
        <is>
          <t>Brunei</t>
        </is>
      </c>
      <c r="B36" s="10" t="n">
        <v>2018</v>
      </c>
      <c r="C36" s="10" t="n">
        <v>3</v>
      </c>
      <c r="D36" s="6" t="inlineStr">
        <is>
          <t>2018 Q3</t>
        </is>
      </c>
      <c r="E36" s="8" t="n">
        <v>99.5219366666667</v>
      </c>
      <c r="F36" s="10" t="n">
        <v>1.17510071480973</v>
      </c>
      <c r="G36" s="10" t="n">
        <v>0.192478166545551</v>
      </c>
      <c r="H36" s="8" t="n">
        <v>-0.215775492526004</v>
      </c>
      <c r="I36" s="8" t="n">
        <v>3.44152358778147</v>
      </c>
      <c r="J36" s="8" t="n">
        <v>99.5533333333333</v>
      </c>
      <c r="K36" s="8" t="n">
        <v>-0.609005291357445</v>
      </c>
      <c r="L36" s="8" t="n">
        <v>93.2694805076009</v>
      </c>
      <c r="M36" s="8" t="n">
        <v>-8.98821917149397</v>
      </c>
      <c r="N36" s="8" t="n">
        <v>1.92333333333333</v>
      </c>
      <c r="O36" s="8" t="n">
        <v>0.186666666666667</v>
      </c>
      <c r="P36" s="8" t="n">
        <v>75.2233333333333</v>
      </c>
      <c r="Q36" s="8" t="n">
        <v>44.3548902961683</v>
      </c>
      <c r="R36" s="10" t="n">
        <v>0</v>
      </c>
      <c r="S36" s="7" t="inlineStr">
        <is>
          <t>High_Quality_Observed</t>
        </is>
      </c>
    </row>
    <row r="37" ht="19" customHeight="1">
      <c r="A37" s="6" t="inlineStr">
        <is>
          <t>Brunei</t>
        </is>
      </c>
      <c r="B37" s="10" t="n">
        <v>2018</v>
      </c>
      <c r="C37" s="10" t="n">
        <v>4</v>
      </c>
      <c r="D37" s="6" t="inlineStr">
        <is>
          <t>2018 Q4</t>
        </is>
      </c>
      <c r="E37" s="8" t="n">
        <v>99.27135</v>
      </c>
      <c r="F37" s="10" t="n">
        <v>0.67987487346306</v>
      </c>
      <c r="G37" s="10" t="n">
        <v>-0.251790384170258</v>
      </c>
      <c r="H37" s="8" t="n">
        <v>0.935296500539584</v>
      </c>
      <c r="I37" s="8" t="n">
        <v>4.33471155751297</v>
      </c>
      <c r="J37" s="8" t="n">
        <v>99.4133333333333</v>
      </c>
      <c r="K37" s="8" t="n">
        <v>-0.4937942079274</v>
      </c>
      <c r="L37" s="8" t="n">
        <v>90.7369363173618</v>
      </c>
      <c r="M37" s="8" t="n">
        <v>-9.976656910534739</v>
      </c>
      <c r="N37" s="8" t="n">
        <v>2.22</v>
      </c>
      <c r="O37" s="8" t="n">
        <v>0.296666666666667</v>
      </c>
      <c r="P37" s="8" t="n">
        <v>67.7133333333333</v>
      </c>
      <c r="Q37" s="8" t="n">
        <v>10.0492984452029</v>
      </c>
      <c r="R37" s="10" t="n">
        <v>0</v>
      </c>
      <c r="S37" s="7" t="inlineStr">
        <is>
          <t>High_Quality_Observed</t>
        </is>
      </c>
    </row>
    <row r="38" ht="19" customHeight="1">
      <c r="A38" s="6" t="inlineStr">
        <is>
          <t>Brunei</t>
        </is>
      </c>
      <c r="B38" s="10" t="n">
        <v>2019</v>
      </c>
      <c r="C38" s="10" t="n">
        <v>1</v>
      </c>
      <c r="D38" s="6" t="inlineStr">
        <is>
          <t>2019 Q1</t>
        </is>
      </c>
      <c r="E38" s="8" t="n">
        <v>99.07077333333331</v>
      </c>
      <c r="F38" s="10" t="n">
        <v>-0.285212061110829</v>
      </c>
      <c r="G38" s="10" t="n">
        <v>-0.202048895946982</v>
      </c>
      <c r="H38" s="8" t="n">
        <v>2.93005225240879</v>
      </c>
      <c r="I38" s="8" t="n">
        <v>5.07048658061605</v>
      </c>
      <c r="J38" s="8" t="n">
        <v>99.4533333333333</v>
      </c>
      <c r="K38" s="8" t="n">
        <v>-0.6063028849357051</v>
      </c>
      <c r="L38" s="8" t="n">
        <v>93.8324987094736</v>
      </c>
      <c r="M38" s="8" t="n">
        <v>-2.2822841120463</v>
      </c>
      <c r="N38" s="8" t="n">
        <v>2.40333333333333</v>
      </c>
      <c r="O38" s="8" t="n">
        <v>0.183333333333333</v>
      </c>
      <c r="P38" s="8" t="n">
        <v>63.17</v>
      </c>
      <c r="Q38" s="8" t="n">
        <v>-5.4435685061371</v>
      </c>
      <c r="R38" s="10" t="n">
        <v>0</v>
      </c>
      <c r="S38" s="7" t="inlineStr">
        <is>
          <t>High_Quality_Observed</t>
        </is>
      </c>
    </row>
    <row r="39" ht="19" customHeight="1">
      <c r="A39" s="6" t="inlineStr">
        <is>
          <t>Brunei</t>
        </is>
      </c>
      <c r="B39" s="10" t="n">
        <v>2019</v>
      </c>
      <c r="C39" s="10" t="n">
        <v>2</v>
      </c>
      <c r="D39" s="6" t="inlineStr">
        <is>
          <t>2019 Q2</t>
        </is>
      </c>
      <c r="E39" s="8" t="n">
        <v>98.6733066666667</v>
      </c>
      <c r="F39" s="10" t="n">
        <v>-0.661869584254959</v>
      </c>
      <c r="G39" s="10" t="n">
        <v>-0.401194674568006</v>
      </c>
      <c r="H39" s="8" t="n">
        <v>4.10347089233443</v>
      </c>
      <c r="I39" s="8" t="n">
        <v>5.04418603193203</v>
      </c>
      <c r="J39" s="8" t="n">
        <v>98.6966666666667</v>
      </c>
      <c r="K39" s="8" t="n">
        <v>-1.31320201313201</v>
      </c>
      <c r="L39" s="8" t="n">
        <v>94.8842784155444</v>
      </c>
      <c r="M39" s="8" t="n">
        <v>-1.34078715461562</v>
      </c>
      <c r="N39" s="8" t="n">
        <v>2.39666666666667</v>
      </c>
      <c r="O39" s="8" t="n">
        <v>-0.0066666666666668</v>
      </c>
      <c r="P39" s="8" t="n">
        <v>68.9233333333333</v>
      </c>
      <c r="Q39" s="8" t="n">
        <v>-7.48545861297539</v>
      </c>
      <c r="R39" s="10" t="n">
        <v>0</v>
      </c>
      <c r="S39" s="7" t="inlineStr">
        <is>
          <t>High_Quality_Observed</t>
        </is>
      </c>
    </row>
    <row r="40" ht="19" customHeight="1">
      <c r="A40" s="6" t="inlineStr">
        <is>
          <t>Brunei</t>
        </is>
      </c>
      <c r="B40" s="10" t="n">
        <v>2019</v>
      </c>
      <c r="C40" s="10" t="n">
        <v>3</v>
      </c>
      <c r="D40" s="6" t="inlineStr">
        <is>
          <t>2019 Q3</t>
        </is>
      </c>
      <c r="E40" s="8" t="n">
        <v>98.9346533333333</v>
      </c>
      <c r="F40" s="10" t="n">
        <v>-0.590104406127423</v>
      </c>
      <c r="G40" s="10" t="n">
        <v>0.264860553978941</v>
      </c>
      <c r="H40" s="8" t="n">
        <v>4.4555535937287</v>
      </c>
      <c r="I40" s="8" t="n">
        <v>4.25580988524343</v>
      </c>
      <c r="J40" s="8" t="n">
        <v>98.69</v>
      </c>
      <c r="K40" s="8" t="n">
        <v>-0.8672068572959321</v>
      </c>
      <c r="L40" s="8" t="n">
        <v>94.5983508132319</v>
      </c>
      <c r="M40" s="8" t="n">
        <v>1.42476434777905</v>
      </c>
      <c r="N40" s="8" t="n">
        <v>2.19</v>
      </c>
      <c r="O40" s="8" t="n">
        <v>-0.206666666666667</v>
      </c>
      <c r="P40" s="8" t="n">
        <v>61.93</v>
      </c>
      <c r="Q40" s="8" t="n">
        <v>-17.6718216865334</v>
      </c>
      <c r="R40" s="10" t="n">
        <v>0</v>
      </c>
      <c r="S40" s="7" t="inlineStr">
        <is>
          <t>High_Quality_Observed</t>
        </is>
      </c>
    </row>
    <row r="41" ht="19" customHeight="1">
      <c r="A41" s="6" t="inlineStr">
        <is>
          <t>Brunei</t>
        </is>
      </c>
      <c r="B41" s="10" t="n">
        <v>2019</v>
      </c>
      <c r="C41" s="10" t="n">
        <v>4</v>
      </c>
      <c r="D41" s="6" t="inlineStr">
        <is>
          <t>2019 Q4</t>
        </is>
      </c>
      <c r="E41" s="8" t="n">
        <v>99.2472033333333</v>
      </c>
      <c r="F41" s="10" t="n">
        <v>-0.0243239027843067</v>
      </c>
      <c r="G41" s="10" t="n">
        <v>0.315915596274396</v>
      </c>
      <c r="H41" s="8" t="n">
        <v>3.98630070867696</v>
      </c>
      <c r="I41" s="8" t="n">
        <v>2.70535735212878</v>
      </c>
      <c r="J41" s="8" t="n">
        <v>98.79333333333329</v>
      </c>
      <c r="K41" s="8" t="n">
        <v>-0.623658798283255</v>
      </c>
      <c r="L41" s="8" t="n">
        <v>98.5900431134575</v>
      </c>
      <c r="M41" s="8" t="n">
        <v>8.654807088293911</v>
      </c>
      <c r="N41" s="8" t="n">
        <v>1.64333333333333</v>
      </c>
      <c r="O41" s="8" t="n">
        <v>-0.546666666666667</v>
      </c>
      <c r="P41" s="8" t="n">
        <v>63.41</v>
      </c>
      <c r="Q41" s="8" t="n">
        <v>-6.35522299891701</v>
      </c>
      <c r="R41" s="10" t="n">
        <v>0</v>
      </c>
      <c r="S41" s="7" t="inlineStr">
        <is>
          <t>High_Quality_Observed</t>
        </is>
      </c>
    </row>
    <row r="42" ht="19" customHeight="1">
      <c r="A42" s="6" t="inlineStr">
        <is>
          <t>Brunei</t>
        </is>
      </c>
      <c r="B42" s="10" t="n">
        <v>2020</v>
      </c>
      <c r="C42" s="10" t="n">
        <v>1</v>
      </c>
      <c r="D42" s="6" t="inlineStr">
        <is>
          <t>2020 Q1</t>
        </is>
      </c>
      <c r="E42" s="8" t="n">
        <v>100.450946666667</v>
      </c>
      <c r="F42" s="10" t="n">
        <v>1.39311856251449</v>
      </c>
      <c r="G42" s="10" t="n">
        <v>1.21287380692272</v>
      </c>
      <c r="H42" s="8" t="n">
        <v>2.69571176792317</v>
      </c>
      <c r="I42" s="8" t="n">
        <v>0.392826882113611</v>
      </c>
      <c r="J42" s="8" t="n">
        <v>98.7166666666667</v>
      </c>
      <c r="K42" s="8" t="n">
        <v>-0.74071591366135</v>
      </c>
      <c r="L42" s="8" t="n">
        <v>101.264856657347</v>
      </c>
      <c r="M42" s="8" t="n">
        <v>7.92087821393919</v>
      </c>
      <c r="N42" s="8" t="n">
        <v>1.26</v>
      </c>
      <c r="O42" s="8" t="n">
        <v>-0.383333333333333</v>
      </c>
      <c r="P42" s="8" t="n">
        <v>50.44</v>
      </c>
      <c r="Q42" s="8" t="n">
        <v>-20.1519708722495</v>
      </c>
      <c r="R42" s="10" t="n">
        <v>0</v>
      </c>
      <c r="S42" s="7" t="inlineStr">
        <is>
          <t>High_Quality_Observed</t>
        </is>
      </c>
    </row>
    <row r="43" ht="19" customHeight="1">
      <c r="A43" s="6" t="inlineStr">
        <is>
          <t>Brunei</t>
        </is>
      </c>
      <c r="B43" s="10" t="n">
        <v>2020</v>
      </c>
      <c r="C43" s="10" t="n">
        <v>2</v>
      </c>
      <c r="D43" s="6" t="inlineStr">
        <is>
          <t>2020 Q2</t>
        </is>
      </c>
      <c r="E43" s="8" t="n">
        <v>100.99007</v>
      </c>
      <c r="F43" s="10" t="n">
        <v>2.34791293775096</v>
      </c>
      <c r="G43" s="10" t="n">
        <v>0.536703088645196</v>
      </c>
      <c r="H43" s="8" t="n">
        <v>1.55462137985357</v>
      </c>
      <c r="I43" s="8" t="n">
        <v>-0.861184031037965</v>
      </c>
      <c r="J43" s="8" t="n">
        <v>99.83</v>
      </c>
      <c r="K43" s="8" t="n">
        <v>1.14829950352933</v>
      </c>
      <c r="L43" s="8" t="n">
        <v>94.2610802411244</v>
      </c>
      <c r="M43" s="8" t="n">
        <v>-0.656798138560644</v>
      </c>
      <c r="N43" s="8" t="n">
        <v>0.06</v>
      </c>
      <c r="O43" s="8" t="n">
        <v>-1.2</v>
      </c>
      <c r="P43" s="8" t="n">
        <v>29.3433333333333</v>
      </c>
      <c r="Q43" s="8" t="n">
        <v>-57.426125646854</v>
      </c>
      <c r="R43" s="10" t="n">
        <v>0</v>
      </c>
      <c r="S43" s="7" t="inlineStr">
        <is>
          <t>High_Quality_Observed</t>
        </is>
      </c>
    </row>
    <row r="44" ht="19" customHeight="1">
      <c r="A44" s="6" t="inlineStr">
        <is>
          <t>Brunei</t>
        </is>
      </c>
      <c r="B44" s="10" t="n">
        <v>2020</v>
      </c>
      <c r="C44" s="10" t="n">
        <v>3</v>
      </c>
      <c r="D44" s="6" t="inlineStr">
        <is>
          <t>2020 Q3</t>
        </is>
      </c>
      <c r="E44" s="8" t="n">
        <v>100.796276666667</v>
      </c>
      <c r="F44" s="10" t="n">
        <v>1.88166963810052</v>
      </c>
      <c r="G44" s="10" t="n">
        <v>-0.19189345381514</v>
      </c>
      <c r="H44" s="8" t="n">
        <v>0.563028403417696</v>
      </c>
      <c r="I44" s="8" t="n">
        <v>-1.05667664138249</v>
      </c>
      <c r="J44" s="8" t="n">
        <v>99.19</v>
      </c>
      <c r="K44" s="8" t="n">
        <v>0.506636943965955</v>
      </c>
      <c r="L44" s="8" t="n">
        <v>97.88852553233011</v>
      </c>
      <c r="M44" s="8" t="n">
        <v>3.47804659469599</v>
      </c>
      <c r="N44" s="8" t="n">
        <v>0.0933333333333333</v>
      </c>
      <c r="O44" s="8" t="n">
        <v>0.0333333333333333</v>
      </c>
      <c r="P44" s="8" t="n">
        <v>42.9633333333333</v>
      </c>
      <c r="Q44" s="8" t="n">
        <v>-30.6259755638086</v>
      </c>
      <c r="R44" s="10" t="n">
        <v>0</v>
      </c>
      <c r="S44" s="7" t="inlineStr">
        <is>
          <t>High_Quality_Observed</t>
        </is>
      </c>
    </row>
    <row r="45" ht="19" customHeight="1">
      <c r="A45" s="6" t="inlineStr">
        <is>
          <t>Brunei</t>
        </is>
      </c>
      <c r="B45" s="10" t="n">
        <v>2020</v>
      </c>
      <c r="C45" s="10" t="n">
        <v>4</v>
      </c>
      <c r="D45" s="6" t="inlineStr">
        <is>
          <t>2020 Q4</t>
        </is>
      </c>
      <c r="E45" s="8" t="n">
        <v>101.370906666667</v>
      </c>
      <c r="F45" s="10" t="n">
        <v>2.139811764973</v>
      </c>
      <c r="G45" s="10" t="n">
        <v>0.570090502350906</v>
      </c>
      <c r="H45" s="8" t="n">
        <v>-0.279068153039204</v>
      </c>
      <c r="I45" s="8" t="n">
        <v>-0.19365114432572</v>
      </c>
      <c r="J45" s="8" t="n">
        <v>99.8</v>
      </c>
      <c r="K45" s="8" t="n">
        <v>1.01896214319455</v>
      </c>
      <c r="L45" s="8" t="n">
        <v>107.405441783652</v>
      </c>
      <c r="M45" s="8" t="n">
        <v>8.9414695356711</v>
      </c>
      <c r="N45" s="8" t="n">
        <v>0.09</v>
      </c>
      <c r="O45" s="8" t="n">
        <v>-0.0033333333333333</v>
      </c>
      <c r="P45" s="8" t="n">
        <v>44.29</v>
      </c>
      <c r="Q45" s="8" t="n">
        <v>-30.152972717237</v>
      </c>
      <c r="R45" s="10" t="n">
        <v>0</v>
      </c>
      <c r="S45" s="7" t="inlineStr">
        <is>
          <t>High_Quality_Observed</t>
        </is>
      </c>
    </row>
    <row r="46" ht="19" customHeight="1">
      <c r="A46" s="6" t="inlineStr">
        <is>
          <t>Brunei</t>
        </is>
      </c>
      <c r="B46" s="10" t="n">
        <v>2021</v>
      </c>
      <c r="C46" s="10" t="n">
        <v>1</v>
      </c>
      <c r="D46" s="6" t="inlineStr">
        <is>
          <t>2021 Q1</t>
        </is>
      </c>
      <c r="E46" s="8" t="n">
        <v>102.275133333333</v>
      </c>
      <c r="F46" s="10" t="n">
        <v>1.81599748653438</v>
      </c>
      <c r="G46" s="10" t="n">
        <v>0.8919982038238849</v>
      </c>
      <c r="H46" s="8" t="n">
        <v>-0.971669131583917</v>
      </c>
      <c r="I46" s="8" t="n">
        <v>1.72789332303897</v>
      </c>
      <c r="J46" s="8" t="n">
        <v>99.40666666666669</v>
      </c>
      <c r="K46" s="8" t="n">
        <v>0.6989701164950231</v>
      </c>
      <c r="L46" s="8" t="n">
        <v>106.418456967928</v>
      </c>
      <c r="M46" s="8" t="n">
        <v>5.08922886053087</v>
      </c>
      <c r="N46" s="8" t="n">
        <v>0.08</v>
      </c>
      <c r="O46" s="8" t="n">
        <v>-0.01</v>
      </c>
      <c r="P46" s="8" t="n">
        <v>60.82</v>
      </c>
      <c r="Q46" s="8" t="n">
        <v>20.578905630452</v>
      </c>
      <c r="R46" s="10" t="n">
        <v>0</v>
      </c>
      <c r="S46" s="7" t="inlineStr">
        <is>
          <t>High_Quality_Observed</t>
        </is>
      </c>
    </row>
    <row r="47" ht="19" customHeight="1">
      <c r="A47" s="6" t="inlineStr">
        <is>
          <t>Brunei</t>
        </is>
      </c>
      <c r="B47" s="10" t="n">
        <v>2021</v>
      </c>
      <c r="C47" s="10" t="n">
        <v>2</v>
      </c>
      <c r="D47" s="6" t="inlineStr">
        <is>
          <t>2021 Q2</t>
        </is>
      </c>
      <c r="E47" s="8" t="n">
        <v>102.279933333333</v>
      </c>
      <c r="F47" s="10" t="n">
        <v>1.27721798126621</v>
      </c>
      <c r="G47" s="10" t="n">
        <v>0.0046932229209151</v>
      </c>
      <c r="H47" s="8" t="n">
        <v>-1.49634666522222</v>
      </c>
      <c r="I47" s="8" t="n">
        <v>2.88759159695277</v>
      </c>
      <c r="J47" s="8" t="n">
        <v>98.7766666666667</v>
      </c>
      <c r="K47" s="8" t="n">
        <v>-1.05512704931716</v>
      </c>
      <c r="L47" s="8" t="n">
        <v>114.551815876528</v>
      </c>
      <c r="M47" s="8" t="n">
        <v>21.5261013172124</v>
      </c>
      <c r="N47" s="8" t="n">
        <v>0.07000000000000001</v>
      </c>
      <c r="O47" s="8" t="n">
        <v>-0.01</v>
      </c>
      <c r="P47" s="8" t="n">
        <v>68.8333333333333</v>
      </c>
      <c r="Q47" s="8" t="n">
        <v>134.579120754288</v>
      </c>
      <c r="R47" s="10" t="n">
        <v>0</v>
      </c>
      <c r="S47" s="7" t="inlineStr">
        <is>
          <t>High_Quality_Observed</t>
        </is>
      </c>
    </row>
    <row r="48" ht="19" customHeight="1">
      <c r="A48" s="6" t="inlineStr">
        <is>
          <t>Brunei</t>
        </is>
      </c>
      <c r="B48" s="10" t="n">
        <v>2021</v>
      </c>
      <c r="C48" s="10" t="n">
        <v>3</v>
      </c>
      <c r="D48" s="6" t="inlineStr">
        <is>
          <t>2021 Q3</t>
        </is>
      </c>
      <c r="E48" s="8" t="n">
        <v>102.677966666667</v>
      </c>
      <c r="F48" s="10" t="n">
        <v>1.86682490884336</v>
      </c>
      <c r="G48" s="10" t="n">
        <v>0.3891607281715</v>
      </c>
      <c r="H48" s="8" t="n">
        <v>-1.85310127864643</v>
      </c>
      <c r="I48" s="8" t="n">
        <v>3.28544483706631</v>
      </c>
      <c r="J48" s="8" t="n">
        <v>98.04000000000001</v>
      </c>
      <c r="K48" s="8" t="n">
        <v>-1.15939106764794</v>
      </c>
      <c r="L48" s="8" t="n">
        <v>116.298331246585</v>
      </c>
      <c r="M48" s="8" t="n">
        <v>18.8069087915464</v>
      </c>
      <c r="N48" s="8" t="n">
        <v>0.09</v>
      </c>
      <c r="O48" s="8" t="n">
        <v>0.02</v>
      </c>
      <c r="P48" s="8" t="n">
        <v>73.47</v>
      </c>
      <c r="Q48" s="8" t="n">
        <v>71.0062844285825</v>
      </c>
      <c r="R48" s="10" t="n">
        <v>0</v>
      </c>
      <c r="S48" s="7" t="inlineStr">
        <is>
          <t>High_Quality_Observed</t>
        </is>
      </c>
    </row>
    <row r="49" ht="19" customHeight="1">
      <c r="A49" s="6" t="inlineStr">
        <is>
          <t>Brunei</t>
        </is>
      </c>
      <c r="B49" s="10" t="n">
        <v>2021</v>
      </c>
      <c r="C49" s="10" t="n">
        <v>4</v>
      </c>
      <c r="D49" s="6" t="inlineStr">
        <is>
          <t>2021 Q4</t>
        </is>
      </c>
      <c r="E49" s="8" t="n">
        <v>103.371333333333</v>
      </c>
      <c r="F49" s="10" t="n">
        <v>1.9733735570153</v>
      </c>
      <c r="G49" s="10" t="n">
        <v>0.67528281789766</v>
      </c>
      <c r="H49" s="8" t="n">
        <v>-2.04193332855551</v>
      </c>
      <c r="I49" s="8" t="n">
        <v>2.92145344123888</v>
      </c>
      <c r="J49" s="8" t="n">
        <v>97.8633333333333</v>
      </c>
      <c r="K49" s="8" t="n">
        <v>-1.94054776219105</v>
      </c>
      <c r="L49" s="8" t="n">
        <v>122.679602624024</v>
      </c>
      <c r="M49" s="8" t="n">
        <v>14.2210306914792</v>
      </c>
      <c r="N49" s="8" t="n">
        <v>0.08</v>
      </c>
      <c r="O49" s="8" t="n">
        <v>-0.01</v>
      </c>
      <c r="P49" s="8" t="n">
        <v>79.5866666666667</v>
      </c>
      <c r="Q49" s="8" t="n">
        <v>79.69443817265</v>
      </c>
      <c r="R49" s="10" t="n">
        <v>0</v>
      </c>
      <c r="S49" s="7" t="inlineStr">
        <is>
          <t>High_Quality_Observed</t>
        </is>
      </c>
    </row>
    <row r="50" ht="19" customHeight="1">
      <c r="A50" s="6" t="inlineStr">
        <is>
          <t>Brunei</t>
        </is>
      </c>
      <c r="B50" s="10" t="n">
        <v>2022</v>
      </c>
      <c r="C50" s="10" t="n">
        <v>1</v>
      </c>
      <c r="D50" s="6" t="inlineStr">
        <is>
          <t>2022 Q1</t>
        </is>
      </c>
      <c r="E50" s="8" t="n">
        <v>105.6068</v>
      </c>
      <c r="F50" s="10" t="n">
        <v>3.25755299267922</v>
      </c>
      <c r="G50" s="10" t="n">
        <v>2.162559574866</v>
      </c>
      <c r="H50" s="8" t="n">
        <v>-2.06284300383898</v>
      </c>
      <c r="I50" s="8" t="n">
        <v>1.7956170454272</v>
      </c>
      <c r="J50" s="8" t="n">
        <v>98.88</v>
      </c>
      <c r="K50" s="8" t="n">
        <v>-0.529810207229564</v>
      </c>
      <c r="L50" s="8" t="n">
        <v>124.25343875034</v>
      </c>
      <c r="M50" s="8" t="n">
        <v>16.7592937264516</v>
      </c>
      <c r="N50" s="8" t="n">
        <v>0.12</v>
      </c>
      <c r="O50" s="8" t="n">
        <v>0.04</v>
      </c>
      <c r="P50" s="8" t="n">
        <v>100.296666666667</v>
      </c>
      <c r="Q50" s="8" t="n">
        <v>64.9073769593335</v>
      </c>
      <c r="R50" s="10" t="n">
        <v>0</v>
      </c>
      <c r="S50" s="7" t="inlineStr">
        <is>
          <t>High_Quality_Observed</t>
        </is>
      </c>
    </row>
    <row r="51" ht="19" customHeight="1">
      <c r="A51" s="6" t="inlineStr">
        <is>
          <t>Brunei</t>
        </is>
      </c>
      <c r="B51" s="10" t="n">
        <v>2022</v>
      </c>
      <c r="C51" s="10" t="n">
        <v>2</v>
      </c>
      <c r="D51" s="6" t="inlineStr">
        <is>
          <t>2022 Q2</t>
        </is>
      </c>
      <c r="E51" s="8" t="n">
        <v>106.254933333333</v>
      </c>
      <c r="F51" s="10" t="n">
        <v>3.88639283430636</v>
      </c>
      <c r="G51" s="10" t="n">
        <v>0.613723106214126</v>
      </c>
      <c r="H51" s="8" t="n">
        <v>-1.89740239183775</v>
      </c>
      <c r="I51" s="8" t="n">
        <v>1.12763783882181</v>
      </c>
      <c r="J51" s="8" t="n">
        <v>98.7833333333333</v>
      </c>
      <c r="K51" s="8" t="n">
        <v>0.0067492322748163</v>
      </c>
      <c r="L51" s="8" t="n">
        <v>134.351432934678</v>
      </c>
      <c r="M51" s="8" t="n">
        <v>17.2844200736996</v>
      </c>
      <c r="N51" s="8" t="n">
        <v>0.77</v>
      </c>
      <c r="O51" s="8" t="n">
        <v>0.65</v>
      </c>
      <c r="P51" s="8" t="n">
        <v>113.543333333333</v>
      </c>
      <c r="Q51" s="8" t="n">
        <v>64.95399515738499</v>
      </c>
      <c r="R51" s="10" t="n">
        <v>0</v>
      </c>
      <c r="S51" s="7" t="inlineStr">
        <is>
          <t>High_Quality_Observed</t>
        </is>
      </c>
    </row>
    <row r="52" ht="19" customHeight="1">
      <c r="A52" s="6" t="inlineStr">
        <is>
          <t>Brunei</t>
        </is>
      </c>
      <c r="B52" s="10" t="n">
        <v>2022</v>
      </c>
      <c r="C52" s="10" t="n">
        <v>3</v>
      </c>
      <c r="D52" s="6" t="inlineStr">
        <is>
          <t>2022 Q3</t>
        </is>
      </c>
      <c r="E52" s="8" t="n">
        <v>107.083966666667</v>
      </c>
      <c r="F52" s="10" t="n">
        <v>4.29108614344071</v>
      </c>
      <c r="G52" s="10" t="n">
        <v>0.780230439496465</v>
      </c>
      <c r="H52" s="8" t="n">
        <v>-1.54561132710216</v>
      </c>
      <c r="I52" s="8" t="n">
        <v>0.917515153465986</v>
      </c>
      <c r="J52" s="8" t="n">
        <v>99.56666666666671</v>
      </c>
      <c r="K52" s="8" t="n">
        <v>1.55718754249965</v>
      </c>
      <c r="L52" s="8" t="n">
        <v>118.584751746656</v>
      </c>
      <c r="M52" s="8" t="n">
        <v>1.96599596534466</v>
      </c>
      <c r="N52" s="8" t="n">
        <v>2.19</v>
      </c>
      <c r="O52" s="8" t="n">
        <v>1.42</v>
      </c>
      <c r="P52" s="8" t="n">
        <v>100.713333333333</v>
      </c>
      <c r="Q52" s="8" t="n">
        <v>37.0808946962479</v>
      </c>
      <c r="R52" s="10" t="n">
        <v>0</v>
      </c>
      <c r="S52" s="7" t="inlineStr">
        <is>
          <t>High_Quality_Observed</t>
        </is>
      </c>
    </row>
    <row r="53" ht="19" customHeight="1">
      <c r="A53" s="6" t="inlineStr">
        <is>
          <t>Brunei</t>
        </is>
      </c>
      <c r="B53" s="10" t="n">
        <v>2022</v>
      </c>
      <c r="C53" s="10" t="n">
        <v>4</v>
      </c>
      <c r="D53" s="6" t="inlineStr">
        <is>
          <t>2022 Q4</t>
        </is>
      </c>
      <c r="E53" s="8" t="n">
        <v>106.7781</v>
      </c>
      <c r="F53" s="10" t="n">
        <v>3.2956590157168</v>
      </c>
      <c r="G53" s="10" t="n">
        <v>-0.285632551900872</v>
      </c>
      <c r="H53" s="8" t="n">
        <v>-1.00746945783499</v>
      </c>
      <c r="I53" s="8" t="n">
        <v>1.16524877923138</v>
      </c>
      <c r="J53" s="8" t="n">
        <v>99.09333333333331</v>
      </c>
      <c r="K53" s="8" t="n">
        <v>1.25685479750672</v>
      </c>
      <c r="L53" s="8" t="n">
        <v>115.210051245214</v>
      </c>
      <c r="M53" s="8" t="n">
        <v>-6.08866610181539</v>
      </c>
      <c r="N53" s="8" t="n">
        <v>3.65333333333333</v>
      </c>
      <c r="O53" s="8" t="n">
        <v>1.46333333333333</v>
      </c>
      <c r="P53" s="8" t="n">
        <v>88.5566666666667</v>
      </c>
      <c r="Q53" s="8" t="n">
        <v>11.2707321159323</v>
      </c>
      <c r="R53" s="10" t="n">
        <v>0</v>
      </c>
      <c r="S53" s="7" t="inlineStr">
        <is>
          <t>High_Quality_Observed</t>
        </is>
      </c>
    </row>
    <row r="54" ht="19" customHeight="1">
      <c r="A54" s="6" t="inlineStr">
        <is>
          <t>Brunei</t>
        </is>
      </c>
      <c r="B54" s="10" t="n">
        <v>2023</v>
      </c>
      <c r="C54" s="10" t="n">
        <v>1</v>
      </c>
      <c r="D54" s="6" t="inlineStr">
        <is>
          <t>2023 Q1</t>
        </is>
      </c>
      <c r="E54" s="8" t="n">
        <v>106.647633333333</v>
      </c>
      <c r="F54" s="10" t="n">
        <v>0.985574161259817</v>
      </c>
      <c r="G54" s="10" t="n">
        <v>-0.122184855009277</v>
      </c>
      <c r="H54" s="8" t="n">
        <v>-0.282976245910328</v>
      </c>
      <c r="I54" s="8" t="n">
        <v>1.87083896375893</v>
      </c>
      <c r="J54" s="8" t="n">
        <v>98.7866666666667</v>
      </c>
      <c r="K54" s="8" t="n">
        <v>-0.0943905070118545</v>
      </c>
      <c r="L54" s="8" t="n">
        <v>114.034689515825</v>
      </c>
      <c r="M54" s="8" t="n">
        <v>-8.224117849203459</v>
      </c>
      <c r="N54" s="8" t="n">
        <v>4.51666666666667</v>
      </c>
      <c r="O54" s="8" t="n">
        <v>0.863333333333333</v>
      </c>
      <c r="P54" s="8" t="n">
        <v>81.1733333333333</v>
      </c>
      <c r="Q54" s="8" t="n">
        <v>-19.0667685865266</v>
      </c>
      <c r="R54" s="10" t="n">
        <v>0</v>
      </c>
      <c r="S54" s="7" t="inlineStr">
        <is>
          <t>High_Quality_Observed</t>
        </is>
      </c>
    </row>
    <row r="55" ht="19" customHeight="1">
      <c r="A55" s="6" t="inlineStr">
        <is>
          <t>Brunei</t>
        </is>
      </c>
      <c r="B55" s="10" t="n">
        <v>2023</v>
      </c>
      <c r="C55" s="10" t="n">
        <v>2</v>
      </c>
      <c r="D55" s="6" t="inlineStr">
        <is>
          <t>2023 Q2</t>
        </is>
      </c>
      <c r="E55" s="8" t="n">
        <v>106.6591</v>
      </c>
      <c r="F55" s="10" t="n">
        <v>0.38037449555286</v>
      </c>
      <c r="G55" s="10" t="n">
        <v>0.0107519185454708</v>
      </c>
      <c r="H55" s="8" t="n">
        <v>0.57106876988098</v>
      </c>
      <c r="I55" s="8" t="n">
        <v>2.48047455273909</v>
      </c>
      <c r="J55" s="8" t="n">
        <v>97.7033333333333</v>
      </c>
      <c r="K55" s="8" t="n">
        <v>-1.09330183904167</v>
      </c>
      <c r="L55" s="8" t="n">
        <v>109.857789884183</v>
      </c>
      <c r="M55" s="8" t="n">
        <v>-18.2310247948031</v>
      </c>
      <c r="N55" s="8" t="n">
        <v>4.99</v>
      </c>
      <c r="O55" s="8" t="n">
        <v>0.473333333333334</v>
      </c>
      <c r="P55" s="8" t="n">
        <v>78.31666666666671</v>
      </c>
      <c r="Q55" s="8" t="n">
        <v>-31.0248656900449</v>
      </c>
      <c r="R55" s="10" t="n">
        <v>0</v>
      </c>
      <c r="S55" s="7" t="inlineStr">
        <is>
          <t>High_Quality_Observed</t>
        </is>
      </c>
    </row>
    <row r="56" ht="19" customHeight="1">
      <c r="A56" s="6" t="inlineStr">
        <is>
          <t>Brunei</t>
        </is>
      </c>
      <c r="B56" s="10" t="n">
        <v>2023</v>
      </c>
      <c r="C56" s="10" t="n">
        <v>3</v>
      </c>
      <c r="D56" s="6" t="inlineStr">
        <is>
          <t>2023 Q3</t>
        </is>
      </c>
      <c r="E56" s="8" t="n">
        <v>106.823633333333</v>
      </c>
      <c r="F56" s="10" t="n">
        <v>-0.243111402609608</v>
      </c>
      <c r="G56" s="10" t="n">
        <v>0.15426094288562</v>
      </c>
      <c r="H56" s="8" t="n">
        <v>1.55466644363133</v>
      </c>
      <c r="I56" s="8" t="n">
        <v>2.99415615568129</v>
      </c>
      <c r="J56" s="8" t="n">
        <v>96.9633333333333</v>
      </c>
      <c r="K56" s="8" t="n">
        <v>-2.61466354201541</v>
      </c>
      <c r="L56" s="8" t="n">
        <v>107.510614988168</v>
      </c>
      <c r="M56" s="8" t="n">
        <v>-9.338584088911441</v>
      </c>
      <c r="N56" s="8" t="n">
        <v>5.26</v>
      </c>
      <c r="O56" s="8" t="n">
        <v>0.27</v>
      </c>
      <c r="P56" s="8" t="n">
        <v>86.66</v>
      </c>
      <c r="Q56" s="8" t="n">
        <v>-13.9537962533925</v>
      </c>
      <c r="R56" s="10" t="n">
        <v>0</v>
      </c>
      <c r="S56" s="7" t="inlineStr">
        <is>
          <t>High_Quality_Observed</t>
        </is>
      </c>
    </row>
    <row r="57" ht="19" customHeight="1">
      <c r="A57" s="6" t="inlineStr">
        <is>
          <t>Brunei</t>
        </is>
      </c>
      <c r="B57" s="10" t="n">
        <v>2023</v>
      </c>
      <c r="C57" s="10" t="n">
        <v>4</v>
      </c>
      <c r="D57" s="6" t="inlineStr">
        <is>
          <t>2023 Q4</t>
        </is>
      </c>
      <c r="E57" s="8" t="n">
        <v>107.113566666667</v>
      </c>
      <c r="F57" s="10" t="n">
        <v>0.314171788659534</v>
      </c>
      <c r="G57" s="10" t="n">
        <v>0.27141309866201</v>
      </c>
      <c r="H57" s="8" t="n">
        <v>2.66781775890197</v>
      </c>
      <c r="I57" s="8" t="n">
        <v>3.41188428631623</v>
      </c>
      <c r="J57" s="8" t="n">
        <v>97.2533333333333</v>
      </c>
      <c r="K57" s="8" t="n">
        <v>-1.85683530678149</v>
      </c>
      <c r="L57" s="8" t="n">
        <v>105.339533846651</v>
      </c>
      <c r="M57" s="8" t="n">
        <v>-8.56740995414912</v>
      </c>
      <c r="N57" s="8" t="n">
        <v>5.33</v>
      </c>
      <c r="O57" s="8" t="n">
        <v>0.0700000000000003</v>
      </c>
      <c r="P57" s="8" t="n">
        <v>83.7233333333333</v>
      </c>
      <c r="Q57" s="8" t="n">
        <v>-5.45789889712802</v>
      </c>
      <c r="R57" s="10" t="n">
        <v>0</v>
      </c>
      <c r="S57" s="7" t="inlineStr">
        <is>
          <t>High_Quality_Observed</t>
        </is>
      </c>
    </row>
    <row r="58" ht="19" customHeight="1">
      <c r="A58" s="6" t="inlineStr">
        <is>
          <t>Brunei</t>
        </is>
      </c>
      <c r="B58" s="10" t="n">
        <v>2024</v>
      </c>
      <c r="C58" s="10" t="n">
        <v>1</v>
      </c>
      <c r="D58" s="6" t="inlineStr">
        <is>
          <t>2024 Q1</t>
        </is>
      </c>
      <c r="E58" s="8" t="n">
        <v>106.3147</v>
      </c>
      <c r="F58" s="10" t="n">
        <v>-0.312180704744502</v>
      </c>
      <c r="G58" s="10" t="n">
        <v>-0.745812777528654</v>
      </c>
      <c r="H58" s="8" t="n">
        <v>3.91052382885477</v>
      </c>
      <c r="I58" s="8" t="n">
        <v>3.73365936240846</v>
      </c>
      <c r="J58" s="8" t="n">
        <v>96.2566666666667</v>
      </c>
      <c r="K58" s="8" t="n">
        <v>-2.56107436901067</v>
      </c>
      <c r="L58" s="8" t="n">
        <v>102.582568583479</v>
      </c>
      <c r="M58" s="8" t="n">
        <v>-10.0426641936497</v>
      </c>
      <c r="N58" s="8" t="n">
        <v>5.33</v>
      </c>
      <c r="O58" s="8" t="n">
        <v>0</v>
      </c>
      <c r="P58" s="8" t="n">
        <v>83.0033333333333</v>
      </c>
      <c r="Q58" s="8" t="n">
        <v>2.25443495400788</v>
      </c>
      <c r="R58" s="10" t="n">
        <v>0</v>
      </c>
      <c r="S58" s="7" t="inlineStr">
        <is>
          <t>High_Quality_Observed</t>
        </is>
      </c>
    </row>
    <row r="59" ht="19" customHeight="1">
      <c r="A59" s="6" t="inlineStr">
        <is>
          <t>Brunei</t>
        </is>
      </c>
      <c r="B59" s="10" t="n">
        <v>2024</v>
      </c>
      <c r="C59" s="10" t="n">
        <v>2</v>
      </c>
      <c r="D59" s="6" t="inlineStr">
        <is>
          <t>2024 Q2</t>
        </is>
      </c>
      <c r="E59" s="8" t="n">
        <v>106.436233333333</v>
      </c>
      <c r="F59" s="10" t="n">
        <v>-0.208952322555389</v>
      </c>
      <c r="G59" s="10" t="n">
        <v>0.114314702795881</v>
      </c>
      <c r="H59" s="8" t="n">
        <v>4.46440335446315</v>
      </c>
      <c r="I59" s="8" t="n">
        <v>3.82210539266443</v>
      </c>
      <c r="J59" s="8" t="n">
        <v>95.6966666666667</v>
      </c>
      <c r="K59" s="8" t="n">
        <v>-2.05383644365595</v>
      </c>
      <c r="L59" s="8" t="n">
        <v>104.519793640698</v>
      </c>
      <c r="M59" s="8" t="n">
        <v>-4.85900567371084</v>
      </c>
      <c r="N59" s="8" t="n">
        <v>5.33</v>
      </c>
      <c r="O59" s="8" t="n">
        <v>0</v>
      </c>
      <c r="P59" s="8" t="n">
        <v>84.6466666666667</v>
      </c>
      <c r="Q59" s="8" t="n">
        <v>8.082570759736109</v>
      </c>
      <c r="R59" s="10" t="n">
        <v>0</v>
      </c>
      <c r="S59" s="7" t="inlineStr">
        <is>
          <t>High_Quality_Observed</t>
        </is>
      </c>
    </row>
    <row r="60" ht="19" customHeight="1">
      <c r="A60" s="6" t="inlineStr">
        <is>
          <t>Brunei</t>
        </is>
      </c>
      <c r="B60" s="10" t="n">
        <v>2024</v>
      </c>
      <c r="C60" s="10" t="n">
        <v>3</v>
      </c>
      <c r="D60" s="6" t="inlineStr">
        <is>
          <t>2024 Q3</t>
        </is>
      </c>
      <c r="E60" s="8" t="n">
        <v>106.3506</v>
      </c>
      <c r="F60" s="10" t="n">
        <v>-0.442817116936356</v>
      </c>
      <c r="G60" s="10" t="n">
        <v>-0.08045505806762999</v>
      </c>
      <c r="H60" s="8" t="n">
        <v>4.32945688960497</v>
      </c>
      <c r="I60" s="8" t="n">
        <v>3.67722246546582</v>
      </c>
      <c r="J60" s="8" t="n">
        <v>95.5366666666667</v>
      </c>
      <c r="K60" s="8" t="n">
        <v>-1.4713465571178</v>
      </c>
      <c r="L60" s="8" t="n">
        <v>106.377099329068</v>
      </c>
      <c r="M60" s="8" t="n">
        <v>-1.05432906250624</v>
      </c>
      <c r="N60" s="8" t="n">
        <v>5.26333333333333</v>
      </c>
      <c r="O60" s="8" t="n">
        <v>-0.0666666666666664</v>
      </c>
      <c r="P60" s="8" t="n">
        <v>79.84333333333331</v>
      </c>
      <c r="Q60" s="8" t="n">
        <v>-7.86598969151473</v>
      </c>
      <c r="R60" s="10" t="n">
        <v>0</v>
      </c>
      <c r="S60" s="7" t="inlineStr">
        <is>
          <t>High_Quality_Observed</t>
        </is>
      </c>
    </row>
    <row r="61" ht="19" customHeight="1">
      <c r="A61" s="6" t="inlineStr">
        <is>
          <t>Brunei</t>
        </is>
      </c>
      <c r="B61" s="10" t="n">
        <v>2024</v>
      </c>
      <c r="C61" s="10" t="n">
        <v>4</v>
      </c>
      <c r="D61" s="6" t="inlineStr">
        <is>
          <t>2024 Q4</t>
        </is>
      </c>
      <c r="E61" s="8" t="n">
        <v>106.481866666667</v>
      </c>
      <c r="F61" s="10" t="n">
        <v>-0.589747890634462</v>
      </c>
      <c r="G61" s="10" t="n">
        <v>0.123428233283751</v>
      </c>
      <c r="H61" s="8" t="n">
        <v>3.50568429934815</v>
      </c>
      <c r="I61" s="8" t="n">
        <v>3.29901043601712</v>
      </c>
      <c r="J61" s="8" t="n">
        <v>95.1333333333333</v>
      </c>
      <c r="K61" s="8" t="n">
        <v>-2.17987386893338</v>
      </c>
      <c r="L61" s="8" t="n">
        <v>110.645361455409</v>
      </c>
      <c r="M61" s="8" t="n">
        <v>5.03688161035707</v>
      </c>
      <c r="N61" s="8" t="n">
        <v>4.65</v>
      </c>
      <c r="O61" s="8" t="n">
        <v>-0.613333333333333</v>
      </c>
      <c r="P61" s="8" t="n">
        <v>74.6133333333333</v>
      </c>
      <c r="Q61" s="8" t="n">
        <v>-10.8810765616913</v>
      </c>
      <c r="R61" s="10" t="n">
        <v>0</v>
      </c>
      <c r="S61" s="7" t="inlineStr">
        <is>
          <t>High_Quality_Observed</t>
        </is>
      </c>
    </row>
    <row r="62" ht="19" customHeight="1">
      <c r="A62" s="6" t="inlineStr">
        <is>
          <t>Brunei</t>
        </is>
      </c>
      <c r="B62" s="10" t="n">
        <v>2025</v>
      </c>
      <c r="C62" s="10" t="n">
        <v>1</v>
      </c>
      <c r="D62" s="6" t="inlineStr">
        <is>
          <t>2025 Q1</t>
        </is>
      </c>
      <c r="E62" s="8" t="n">
        <v>106.0973</v>
      </c>
      <c r="F62" s="10" t="n">
        <v>-0.20448724400296</v>
      </c>
      <c r="G62" s="10" t="n">
        <v>-0.361156954423547</v>
      </c>
      <c r="H62" s="8" t="n">
        <v>1.9930847598996</v>
      </c>
      <c r="I62" s="8" t="n">
        <v>2.68746892601114</v>
      </c>
      <c r="J62" s="8" t="n">
        <v>94.02</v>
      </c>
      <c r="K62" s="8" t="n">
        <v>-2.32364857845344</v>
      </c>
      <c r="L62" s="8" t="n">
        <v>108.711496383905</v>
      </c>
      <c r="M62" s="8" t="n">
        <v>5.97462891118643</v>
      </c>
      <c r="N62" s="8" t="n">
        <v>4.33</v>
      </c>
      <c r="O62" s="8" t="n">
        <v>-0.32</v>
      </c>
      <c r="P62" s="8" t="n">
        <v>75.8133333333333</v>
      </c>
      <c r="Q62" s="8" t="n">
        <v>-8.662302718766311</v>
      </c>
      <c r="R62" s="10" t="n">
        <v>0</v>
      </c>
      <c r="S62" s="7" t="inlineStr">
        <is>
          <t>High_Quality_Observed</t>
        </is>
      </c>
    </row>
    <row r="63" ht="19" customHeight="1">
      <c r="A63" s="6" t="inlineStr">
        <is>
          <t>Cambodia</t>
        </is>
      </c>
      <c r="B63" s="10" t="n">
        <v>2010</v>
      </c>
      <c r="C63" s="10" t="n">
        <v>1</v>
      </c>
      <c r="D63" s="6" t="inlineStr">
        <is>
          <t>2010 Q1</t>
        </is>
      </c>
      <c r="E63" s="8" t="n">
        <v>134.563666666667</v>
      </c>
      <c r="F63" s="9" t="inlineStr"/>
      <c r="G63" s="9" t="inlineStr"/>
      <c r="H63" s="8" t="n">
        <v>4.56505722006641</v>
      </c>
      <c r="I63" s="8" t="n">
        <v>23.0990939546681</v>
      </c>
      <c r="J63" s="8" t="n">
        <v>106.542701859995</v>
      </c>
      <c r="K63" s="9" t="inlineStr"/>
      <c r="L63" s="8" t="n">
        <v>99.24199528149821</v>
      </c>
      <c r="M63" s="9" t="inlineStr"/>
      <c r="N63" s="8" t="n">
        <v>0.133333333333333</v>
      </c>
      <c r="O63" s="9" t="inlineStr"/>
      <c r="P63" s="8" t="n">
        <v>76.25</v>
      </c>
      <c r="Q63" s="9" t="inlineStr"/>
      <c r="R63" s="10" t="n">
        <v>0</v>
      </c>
      <c r="S63" s="7" t="inlineStr">
        <is>
          <t>Baseline_Lag_Origin</t>
        </is>
      </c>
    </row>
    <row r="64" ht="19" customHeight="1">
      <c r="A64" s="6" t="inlineStr">
        <is>
          <t>Cambodia</t>
        </is>
      </c>
      <c r="B64" s="10" t="n">
        <v>2010</v>
      </c>
      <c r="C64" s="10" t="n">
        <v>2</v>
      </c>
      <c r="D64" s="6" t="inlineStr">
        <is>
          <t>2010 Q2</t>
        </is>
      </c>
      <c r="E64" s="8" t="n">
        <v>135.066333333333</v>
      </c>
      <c r="F64" s="9" t="inlineStr"/>
      <c r="G64" s="10" t="n">
        <v>0.373553039329577</v>
      </c>
      <c r="H64" s="8" t="n">
        <v>4.76980158211207</v>
      </c>
      <c r="I64" s="8" t="n">
        <v>22.3175071941695</v>
      </c>
      <c r="J64" s="8" t="n">
        <v>106.290351682811</v>
      </c>
      <c r="K64" s="9" t="inlineStr"/>
      <c r="L64" s="8" t="n">
        <v>96.4984622523225</v>
      </c>
      <c r="M64" s="9" t="inlineStr"/>
      <c r="N64" s="8" t="n">
        <v>0.193333333333333</v>
      </c>
      <c r="O64" s="8" t="n">
        <v>0.06</v>
      </c>
      <c r="P64" s="8" t="n">
        <v>78.51000000000001</v>
      </c>
      <c r="Q64" s="9" t="inlineStr"/>
      <c r="R64" s="10" t="n">
        <v>0</v>
      </c>
      <c r="S64" s="7" t="inlineStr">
        <is>
          <t>Baseline_Lag_Origin</t>
        </is>
      </c>
    </row>
    <row r="65" ht="19" customHeight="1">
      <c r="A65" s="6" t="inlineStr">
        <is>
          <t>Cambodia</t>
        </is>
      </c>
      <c r="B65" s="10" t="n">
        <v>2010</v>
      </c>
      <c r="C65" s="10" t="n">
        <v>3</v>
      </c>
      <c r="D65" s="6" t="inlineStr">
        <is>
          <t>2010 Q3</t>
        </is>
      </c>
      <c r="E65" s="8" t="n">
        <v>136.949666666667</v>
      </c>
      <c r="F65" s="9" t="inlineStr"/>
      <c r="G65" s="10" t="n">
        <v>1.394376590268</v>
      </c>
      <c r="H65" s="8" t="n">
        <v>5.17929051093504</v>
      </c>
      <c r="I65" s="8" t="n">
        <v>20.7543328916565</v>
      </c>
      <c r="J65" s="8" t="n">
        <v>104.888441849624</v>
      </c>
      <c r="K65" s="9" t="inlineStr"/>
      <c r="L65" s="8" t="n">
        <v>107.356970480027</v>
      </c>
      <c r="M65" s="9" t="inlineStr"/>
      <c r="N65" s="8" t="n">
        <v>0.186666666666667</v>
      </c>
      <c r="O65" s="8" t="n">
        <v>-0.0066666666666666</v>
      </c>
      <c r="P65" s="8" t="n">
        <v>76.81999999999999</v>
      </c>
      <c r="Q65" s="9" t="inlineStr"/>
      <c r="R65" s="10" t="n">
        <v>0</v>
      </c>
      <c r="S65" s="7" t="inlineStr">
        <is>
          <t>Baseline_Lag_Origin</t>
        </is>
      </c>
    </row>
    <row r="66" ht="19" customHeight="1">
      <c r="A66" s="6" t="inlineStr">
        <is>
          <t>Cambodia</t>
        </is>
      </c>
      <c r="B66" s="10" t="n">
        <v>2010</v>
      </c>
      <c r="C66" s="10" t="n">
        <v>4</v>
      </c>
      <c r="D66" s="6" t="inlineStr">
        <is>
          <t>2010 Q4</t>
        </is>
      </c>
      <c r="E66" s="8" t="n">
        <v>138.879</v>
      </c>
      <c r="F66" s="9" t="inlineStr"/>
      <c r="G66" s="10" t="n">
        <v>1.40879009076327</v>
      </c>
      <c r="H66" s="8" t="n">
        <v>5.79352441605486</v>
      </c>
      <c r="I66" s="8" t="n">
        <v>18.409569483947</v>
      </c>
      <c r="J66" s="8" t="n">
        <v>107.013328614627</v>
      </c>
      <c r="K66" s="9" t="inlineStr"/>
      <c r="L66" s="8" t="n">
        <v>124.608736829891</v>
      </c>
      <c r="M66" s="9" t="inlineStr"/>
      <c r="N66" s="8" t="n">
        <v>0.186666666666667</v>
      </c>
      <c r="O66" s="8" t="n">
        <v>0</v>
      </c>
      <c r="P66" s="8" t="n">
        <v>86.4666666666667</v>
      </c>
      <c r="Q66" s="9" t="inlineStr"/>
      <c r="R66" s="10" t="n">
        <v>0</v>
      </c>
      <c r="S66" s="7" t="inlineStr">
        <is>
          <t>Baseline_Lag_Origin</t>
        </is>
      </c>
    </row>
    <row r="67" ht="19" customHeight="1">
      <c r="A67" s="6" t="inlineStr">
        <is>
          <t>Cambodia</t>
        </is>
      </c>
      <c r="B67" s="10" t="n">
        <v>2011</v>
      </c>
      <c r="C67" s="10" t="n">
        <v>1</v>
      </c>
      <c r="D67" s="6" t="inlineStr">
        <is>
          <t>2011 Q1</t>
        </is>
      </c>
      <c r="E67" s="8" t="n">
        <v>139.457333333333</v>
      </c>
      <c r="F67" s="10" t="n">
        <v>3.63669242068809</v>
      </c>
      <c r="G67" s="10" t="n">
        <v>0.416429649791072</v>
      </c>
      <c r="H67" s="8" t="n">
        <v>6.61250391170546</v>
      </c>
      <c r="I67" s="8" t="n">
        <v>15.283214626274</v>
      </c>
      <c r="J67" s="8" t="n">
        <v>108.08619217327</v>
      </c>
      <c r="K67" s="8" t="n">
        <v>1.44870581121854</v>
      </c>
      <c r="L67" s="8" t="n">
        <v>121.875946057639</v>
      </c>
      <c r="M67" s="8" t="n">
        <v>22.8068276055313</v>
      </c>
      <c r="N67" s="8" t="n">
        <v>0.156666666666667</v>
      </c>
      <c r="O67" s="8" t="n">
        <v>-0.03</v>
      </c>
      <c r="P67" s="8" t="n">
        <v>104.96</v>
      </c>
      <c r="Q67" s="8" t="n">
        <v>37.6524590163934</v>
      </c>
      <c r="R67" s="10" t="n">
        <v>0</v>
      </c>
      <c r="S67" s="7" t="inlineStr">
        <is>
          <t>High_Quality_Observed</t>
        </is>
      </c>
    </row>
    <row r="68" ht="19" customHeight="1">
      <c r="A68" s="6" t="inlineStr">
        <is>
          <t>Cambodia</t>
        </is>
      </c>
      <c r="B68" s="10" t="n">
        <v>2011</v>
      </c>
      <c r="C68" s="10" t="n">
        <v>2</v>
      </c>
      <c r="D68" s="6" t="inlineStr">
        <is>
          <t>2011 Q2</t>
        </is>
      </c>
      <c r="E68" s="8" t="n">
        <v>143.528666666667</v>
      </c>
      <c r="F68" s="10" t="n">
        <v>6.26531654816522</v>
      </c>
      <c r="G68" s="10" t="n">
        <v>2.91941143288745</v>
      </c>
      <c r="H68" s="8" t="n">
        <v>7.20975712432023</v>
      </c>
      <c r="I68" s="8" t="n">
        <v>13.8826577183028</v>
      </c>
      <c r="J68" s="8" t="n">
        <v>107.218762517215</v>
      </c>
      <c r="K68" s="8" t="n">
        <v>0.873466706719461</v>
      </c>
      <c r="L68" s="8" t="n">
        <v>122.00081812372</v>
      </c>
      <c r="M68" s="8" t="n">
        <v>26.4277329152819</v>
      </c>
      <c r="N68" s="8" t="n">
        <v>0.0933333333333333</v>
      </c>
      <c r="O68" s="8" t="n">
        <v>-0.0633333333333333</v>
      </c>
      <c r="P68" s="8" t="n">
        <v>117.36</v>
      </c>
      <c r="Q68" s="8" t="n">
        <v>49.4841421474971</v>
      </c>
      <c r="R68" s="10" t="n">
        <v>0</v>
      </c>
      <c r="S68" s="7" t="inlineStr">
        <is>
          <t>High_Quality_Observed</t>
        </is>
      </c>
    </row>
    <row r="69" ht="19" customHeight="1">
      <c r="A69" s="6" t="inlineStr">
        <is>
          <t>Cambodia</t>
        </is>
      </c>
      <c r="B69" s="10" t="n">
        <v>2011</v>
      </c>
      <c r="C69" s="10" t="n">
        <v>3</v>
      </c>
      <c r="D69" s="6" t="inlineStr">
        <is>
          <t>2011 Q3</t>
        </is>
      </c>
      <c r="E69" s="8" t="n">
        <v>146.148666666667</v>
      </c>
      <c r="F69" s="10" t="n">
        <v>6.71706636744887</v>
      </c>
      <c r="G69" s="10" t="n">
        <v>1.82541931228606</v>
      </c>
      <c r="H69" s="8" t="n">
        <v>7.5852846512051</v>
      </c>
      <c r="I69" s="8" t="n">
        <v>14.2078973592346</v>
      </c>
      <c r="J69" s="8" t="n">
        <v>106.828297748358</v>
      </c>
      <c r="K69" s="8" t="n">
        <v>1.84944676889653</v>
      </c>
      <c r="L69" s="8" t="n">
        <v>118.888757234176</v>
      </c>
      <c r="M69" s="8" t="n">
        <v>10.7415351817278</v>
      </c>
      <c r="N69" s="8" t="n">
        <v>0.0833333333333333</v>
      </c>
      <c r="O69" s="8" t="n">
        <v>-0.01</v>
      </c>
      <c r="P69" s="8" t="n">
        <v>113.34</v>
      </c>
      <c r="Q69" s="8" t="n">
        <v>47.5397032022911</v>
      </c>
      <c r="R69" s="10" t="n">
        <v>0</v>
      </c>
      <c r="S69" s="7" t="inlineStr">
        <is>
          <t>High_Quality_Observed</t>
        </is>
      </c>
    </row>
    <row r="70" ht="19" customHeight="1">
      <c r="A70" s="6" t="inlineStr">
        <is>
          <t>Cambodia</t>
        </is>
      </c>
      <c r="B70" s="10" t="n">
        <v>2011</v>
      </c>
      <c r="C70" s="10" t="n">
        <v>4</v>
      </c>
      <c r="D70" s="6" t="inlineStr">
        <is>
          <t>2011 Q4</t>
        </is>
      </c>
      <c r="E70" s="8" t="n">
        <v>146.206666666667</v>
      </c>
      <c r="F70" s="10" t="n">
        <v>5.27629567225187</v>
      </c>
      <c r="G70" s="10" t="n">
        <v>0.0396856169288862</v>
      </c>
      <c r="H70" s="8" t="n">
        <v>7.73908686785505</v>
      </c>
      <c r="I70" s="8" t="n">
        <v>16.2589338745468</v>
      </c>
      <c r="J70" s="8" t="n">
        <v>110.454386996992</v>
      </c>
      <c r="K70" s="8" t="n">
        <v>3.21554186465529</v>
      </c>
      <c r="L70" s="8" t="n">
        <v>112.174119298219</v>
      </c>
      <c r="M70" s="8" t="n">
        <v>-9.978929124887189</v>
      </c>
      <c r="N70" s="8" t="n">
        <v>0.07333333333333331</v>
      </c>
      <c r="O70" s="8" t="n">
        <v>-0.01</v>
      </c>
      <c r="P70" s="8" t="n">
        <v>109.396666666667</v>
      </c>
      <c r="Q70" s="8" t="n">
        <v>26.5188897455667</v>
      </c>
      <c r="R70" s="10" t="n">
        <v>0</v>
      </c>
      <c r="S70" s="7" t="inlineStr">
        <is>
          <t>High_Quality_Observed</t>
        </is>
      </c>
    </row>
    <row r="71" ht="19" customHeight="1">
      <c r="A71" s="6" t="inlineStr">
        <is>
          <t>Cambodia</t>
        </is>
      </c>
      <c r="B71" s="10" t="n">
        <v>2012</v>
      </c>
      <c r="C71" s="10" t="n">
        <v>1</v>
      </c>
      <c r="D71" s="6" t="inlineStr">
        <is>
          <t>2012 Q1</t>
        </is>
      </c>
      <c r="E71" s="8" t="n">
        <v>147.147</v>
      </c>
      <c r="F71" s="10" t="n">
        <v>5.51399233218284</v>
      </c>
      <c r="G71" s="10" t="n">
        <v>0.64315352697093</v>
      </c>
      <c r="H71" s="8" t="n">
        <v>7.67116392810322</v>
      </c>
      <c r="I71" s="8" t="n">
        <v>20.0357693150771</v>
      </c>
      <c r="J71" s="8" t="n">
        <v>111.762192927535</v>
      </c>
      <c r="K71" s="8" t="n">
        <v>3.40099015457296</v>
      </c>
      <c r="L71" s="8" t="n">
        <v>112.921025549072</v>
      </c>
      <c r="M71" s="8" t="n">
        <v>-7.3475700482622</v>
      </c>
      <c r="N71" s="8" t="n">
        <v>0.103333333333333</v>
      </c>
      <c r="O71" s="8" t="n">
        <v>0.03</v>
      </c>
      <c r="P71" s="8" t="n">
        <v>118.49</v>
      </c>
      <c r="Q71" s="8" t="n">
        <v>12.890625</v>
      </c>
      <c r="R71" s="10" t="n">
        <v>0</v>
      </c>
      <c r="S71" s="7" t="inlineStr">
        <is>
          <t>High_Quality_Observed</t>
        </is>
      </c>
    </row>
    <row r="72" ht="19" customHeight="1">
      <c r="A72" s="6" t="inlineStr">
        <is>
          <t>Cambodia</t>
        </is>
      </c>
      <c r="B72" s="10" t="n">
        <v>2012</v>
      </c>
      <c r="C72" s="10" t="n">
        <v>2</v>
      </c>
      <c r="D72" s="6" t="inlineStr">
        <is>
          <t>2012 Q2</t>
        </is>
      </c>
      <c r="E72" s="8" t="n">
        <v>147.726333333333</v>
      </c>
      <c r="F72" s="10" t="n">
        <v>2.92461900758503</v>
      </c>
      <c r="G72" s="10" t="n">
        <v>0.393710597792252</v>
      </c>
      <c r="H72" s="8" t="n">
        <v>7.6356318269808</v>
      </c>
      <c r="I72" s="8" t="n">
        <v>23.0639460697668</v>
      </c>
      <c r="J72" s="8" t="n">
        <v>111.680909748483</v>
      </c>
      <c r="K72" s="8" t="n">
        <v>4.16172237629702</v>
      </c>
      <c r="L72" s="8" t="n">
        <v>108.674540730789</v>
      </c>
      <c r="M72" s="8" t="n">
        <v>-10.9231049413272</v>
      </c>
      <c r="N72" s="8" t="n">
        <v>0.153333333333333</v>
      </c>
      <c r="O72" s="8" t="n">
        <v>0.05</v>
      </c>
      <c r="P72" s="8" t="n">
        <v>108.416666666667</v>
      </c>
      <c r="Q72" s="8" t="n">
        <v>-7.6204271756419</v>
      </c>
      <c r="R72" s="10" t="n">
        <v>0</v>
      </c>
      <c r="S72" s="7" t="inlineStr">
        <is>
          <t>High_Quality_Observed</t>
        </is>
      </c>
    </row>
    <row r="73" ht="19" customHeight="1">
      <c r="A73" s="6" t="inlineStr">
        <is>
          <t>Cambodia</t>
        </is>
      </c>
      <c r="B73" s="10" t="n">
        <v>2012</v>
      </c>
      <c r="C73" s="10" t="n">
        <v>3</v>
      </c>
      <c r="D73" s="6" t="inlineStr">
        <is>
          <t>2012 Q3</t>
        </is>
      </c>
      <c r="E73" s="8" t="n">
        <v>148.538333333333</v>
      </c>
      <c r="F73" s="10" t="n">
        <v>1.63509303312153</v>
      </c>
      <c r="G73" s="10" t="n">
        <v>0.549665033767388</v>
      </c>
      <c r="H73" s="8" t="n">
        <v>7.63249052893732</v>
      </c>
      <c r="I73" s="8" t="n">
        <v>25.3434671661522</v>
      </c>
      <c r="J73" s="8" t="n">
        <v>110.997692701695</v>
      </c>
      <c r="K73" s="8" t="n">
        <v>3.90289374745802</v>
      </c>
      <c r="L73" s="8" t="n">
        <v>112.021404013206</v>
      </c>
      <c r="M73" s="8" t="n">
        <v>-5.77628480668088</v>
      </c>
      <c r="N73" s="8" t="n">
        <v>0.143333333333333</v>
      </c>
      <c r="O73" s="8" t="n">
        <v>-0.01</v>
      </c>
      <c r="P73" s="8" t="n">
        <v>109.613333333333</v>
      </c>
      <c r="Q73" s="8" t="n">
        <v>-3.28804187988943</v>
      </c>
      <c r="R73" s="10" t="n">
        <v>0</v>
      </c>
      <c r="S73" s="7" t="inlineStr">
        <is>
          <t>High_Quality_Observed</t>
        </is>
      </c>
    </row>
    <row r="74" ht="19" customHeight="1">
      <c r="A74" s="6" t="inlineStr">
        <is>
          <t>Cambodia</t>
        </is>
      </c>
      <c r="B74" s="10" t="n">
        <v>2012</v>
      </c>
      <c r="C74" s="10" t="n">
        <v>4</v>
      </c>
      <c r="D74" s="6" t="inlineStr">
        <is>
          <t>2012 Q4</t>
        </is>
      </c>
      <c r="E74" s="8" t="n">
        <v>148.812</v>
      </c>
      <c r="F74" s="10" t="n">
        <v>1.78195248734667</v>
      </c>
      <c r="G74" s="10" t="n">
        <v>0.184239758535965</v>
      </c>
      <c r="H74" s="8" t="n">
        <v>7.66174003083444</v>
      </c>
      <c r="I74" s="8" t="n">
        <v>26.8743348840543</v>
      </c>
      <c r="J74" s="8" t="n">
        <v>111.584598103599</v>
      </c>
      <c r="K74" s="8" t="n">
        <v>1.02323786074534</v>
      </c>
      <c r="L74" s="8" t="n">
        <v>112.043606667623</v>
      </c>
      <c r="M74" s="8" t="n">
        <v>-0.116348255206267</v>
      </c>
      <c r="N74" s="8" t="n">
        <v>0.16</v>
      </c>
      <c r="O74" s="8" t="n">
        <v>0.0166666666666667</v>
      </c>
      <c r="P74" s="8" t="n">
        <v>110.086666666667</v>
      </c>
      <c r="Q74" s="8" t="n">
        <v>0.630732197812245</v>
      </c>
      <c r="R74" s="10" t="n">
        <v>0</v>
      </c>
      <c r="S74" s="7" t="inlineStr">
        <is>
          <t>High_Quality_Observed</t>
        </is>
      </c>
    </row>
    <row r="75" ht="19" customHeight="1">
      <c r="A75" s="6" t="inlineStr">
        <is>
          <t>Cambodia</t>
        </is>
      </c>
      <c r="B75" s="10" t="n">
        <v>2013</v>
      </c>
      <c r="C75" s="10" t="n">
        <v>1</v>
      </c>
      <c r="D75" s="6" t="inlineStr">
        <is>
          <t>2013 Q1</t>
        </is>
      </c>
      <c r="E75" s="8" t="n">
        <v>149.376333333333</v>
      </c>
      <c r="F75" s="10" t="n">
        <v>1.51503824973211</v>
      </c>
      <c r="G75" s="10" t="n">
        <v>0.379225689684515</v>
      </c>
      <c r="H75" s="8" t="n">
        <v>7.7233803619739</v>
      </c>
      <c r="I75" s="8" t="n">
        <v>27.6565507543955</v>
      </c>
      <c r="J75" s="8" t="n">
        <v>112.526972305713</v>
      </c>
      <c r="K75" s="8" t="n">
        <v>0.68429167157924</v>
      </c>
      <c r="L75" s="8" t="n">
        <v>112.344264317549</v>
      </c>
      <c r="M75" s="8" t="n">
        <v>-0.510765137598079</v>
      </c>
      <c r="N75" s="8" t="n">
        <v>0.143333333333333</v>
      </c>
      <c r="O75" s="8" t="n">
        <v>-0.0166666666666667</v>
      </c>
      <c r="P75" s="8" t="n">
        <v>112.493333333333</v>
      </c>
      <c r="Q75" s="8" t="n">
        <v>-5.06090528033308</v>
      </c>
      <c r="R75" s="10" t="n">
        <v>0</v>
      </c>
      <c r="S75" s="7" t="inlineStr">
        <is>
          <t>High_Quality_Observed</t>
        </is>
      </c>
    </row>
    <row r="76" ht="19" customHeight="1">
      <c r="A76" s="6" t="inlineStr">
        <is>
          <t>Cambodia</t>
        </is>
      </c>
      <c r="B76" s="10" t="n">
        <v>2013</v>
      </c>
      <c r="C76" s="10" t="n">
        <v>2</v>
      </c>
      <c r="D76" s="6" t="inlineStr">
        <is>
          <t>2013 Q2</t>
        </is>
      </c>
      <c r="E76" s="8" t="n">
        <v>151.050333333333</v>
      </c>
      <c r="F76" s="10" t="n">
        <v>2.25010661606257</v>
      </c>
      <c r="G76" s="10" t="n">
        <v>1.12065945297002</v>
      </c>
      <c r="H76" s="8" t="n">
        <v>7.80168421098127</v>
      </c>
      <c r="I76" s="8" t="n">
        <v>26.0125384728145</v>
      </c>
      <c r="J76" s="8" t="n">
        <v>113.03529776106</v>
      </c>
      <c r="K76" s="8" t="n">
        <v>1.21273010367373</v>
      </c>
      <c r="L76" s="8" t="n">
        <v>111.205746192615</v>
      </c>
      <c r="M76" s="8" t="n">
        <v>2.32916140689856</v>
      </c>
      <c r="N76" s="8" t="n">
        <v>0.116666666666667</v>
      </c>
      <c r="O76" s="8" t="n">
        <v>-0.0266666666666667</v>
      </c>
      <c r="P76" s="8" t="n">
        <v>102.576666666667</v>
      </c>
      <c r="Q76" s="8" t="n">
        <v>-5.38662567255957</v>
      </c>
      <c r="R76" s="10" t="n">
        <v>0</v>
      </c>
      <c r="S76" s="7" t="inlineStr">
        <is>
          <t>High_Quality_Observed</t>
        </is>
      </c>
    </row>
    <row r="77" ht="19" customHeight="1">
      <c r="A77" s="6" t="inlineStr">
        <is>
          <t>Cambodia</t>
        </is>
      </c>
      <c r="B77" s="10" t="n">
        <v>2013</v>
      </c>
      <c r="C77" s="10" t="n">
        <v>3</v>
      </c>
      <c r="D77" s="6" t="inlineStr">
        <is>
          <t>2013 Q3</t>
        </is>
      </c>
      <c r="E77" s="8" t="n">
        <v>153.985</v>
      </c>
      <c r="F77" s="10" t="n">
        <v>3.66684245368762</v>
      </c>
      <c r="G77" s="10" t="n">
        <v>1.94284024530456</v>
      </c>
      <c r="H77" s="8" t="n">
        <v>7.89665165618352</v>
      </c>
      <c r="I77" s="8" t="n">
        <v>21.9422963953873</v>
      </c>
      <c r="J77" s="8" t="n">
        <v>113.739951455416</v>
      </c>
      <c r="K77" s="8" t="n">
        <v>2.47055473584576</v>
      </c>
      <c r="L77" s="8" t="n">
        <v>106.517639660823</v>
      </c>
      <c r="M77" s="8" t="n">
        <v>-4.91313637859304</v>
      </c>
      <c r="N77" s="8" t="n">
        <v>0.0833333333333333</v>
      </c>
      <c r="O77" s="8" t="n">
        <v>-0.0333333333333333</v>
      </c>
      <c r="P77" s="8" t="n">
        <v>110.27</v>
      </c>
      <c r="Q77" s="8" t="n">
        <v>0.599075538255689</v>
      </c>
      <c r="R77" s="10" t="n">
        <v>0</v>
      </c>
      <c r="S77" s="7" t="inlineStr">
        <is>
          <t>High_Quality_Observed</t>
        </is>
      </c>
    </row>
    <row r="78" ht="19" customHeight="1">
      <c r="A78" s="6" t="inlineStr">
        <is>
          <t>Cambodia</t>
        </is>
      </c>
      <c r="B78" s="10" t="n">
        <v>2013</v>
      </c>
      <c r="C78" s="10" t="n">
        <v>4</v>
      </c>
      <c r="D78" s="6" t="inlineStr">
        <is>
          <t>2013 Q4</t>
        </is>
      </c>
      <c r="E78" s="8" t="n">
        <v>155.233</v>
      </c>
      <c r="F78" s="10" t="n">
        <v>4.31484020105906</v>
      </c>
      <c r="G78" s="10" t="n">
        <v>0.810468552131693</v>
      </c>
      <c r="H78" s="8" t="n">
        <v>8.008282792548229</v>
      </c>
      <c r="I78" s="8" t="n">
        <v>15.4458204518674</v>
      </c>
      <c r="J78" s="8" t="n">
        <v>115.415273392935</v>
      </c>
      <c r="K78" s="8" t="n">
        <v>3.4329785243115</v>
      </c>
      <c r="L78" s="8" t="n">
        <v>108.042368791302</v>
      </c>
      <c r="M78" s="8" t="n">
        <v>-3.57114341043118</v>
      </c>
      <c r="N78" s="8" t="n">
        <v>0.0866666666666667</v>
      </c>
      <c r="O78" s="8" t="n">
        <v>0.0033333333333333</v>
      </c>
      <c r="P78" s="8" t="n">
        <v>109.21</v>
      </c>
      <c r="Q78" s="8" t="n">
        <v>-0.796342275782702</v>
      </c>
      <c r="R78" s="10" t="n">
        <v>0</v>
      </c>
      <c r="S78" s="7" t="inlineStr">
        <is>
          <t>High_Quality_Observed</t>
        </is>
      </c>
    </row>
    <row r="79" ht="19" customHeight="1">
      <c r="A79" s="6" t="inlineStr">
        <is>
          <t>Cambodia</t>
        </is>
      </c>
      <c r="B79" s="10" t="n">
        <v>2014</v>
      </c>
      <c r="C79" s="10" t="n">
        <v>1</v>
      </c>
      <c r="D79" s="6" t="inlineStr">
        <is>
          <t>2014 Q1</t>
        </is>
      </c>
      <c r="E79" s="8" t="n">
        <v>156.261</v>
      </c>
      <c r="F79" s="10" t="n">
        <v>4.60894072912041</v>
      </c>
      <c r="G79" s="10" t="n">
        <v>0.662230324737645</v>
      </c>
      <c r="H79" s="8" t="n">
        <v>8.13657773174722</v>
      </c>
      <c r="I79" s="8" t="n">
        <v>6.52310414574023</v>
      </c>
      <c r="J79" s="8" t="n">
        <v>117.40706600003</v>
      </c>
      <c r="K79" s="8" t="n">
        <v>4.33682129210711</v>
      </c>
      <c r="L79" s="8" t="n">
        <v>109.985285302654</v>
      </c>
      <c r="M79" s="8" t="n">
        <v>-2.09977699282194</v>
      </c>
      <c r="N79" s="8" t="n">
        <v>0.07333333333333331</v>
      </c>
      <c r="O79" s="8" t="n">
        <v>-0.0133333333333333</v>
      </c>
      <c r="P79" s="8" t="n">
        <v>108.166666666667</v>
      </c>
      <c r="Q79" s="8" t="n">
        <v>-3.84615384615383</v>
      </c>
      <c r="R79" s="10" t="n">
        <v>0</v>
      </c>
      <c r="S79" s="7" t="inlineStr">
        <is>
          <t>High_Quality_Observed</t>
        </is>
      </c>
    </row>
    <row r="80" ht="19" customHeight="1">
      <c r="A80" s="6" t="inlineStr">
        <is>
          <t>Cambodia</t>
        </is>
      </c>
      <c r="B80" s="10" t="n">
        <v>2014</v>
      </c>
      <c r="C80" s="10" t="n">
        <v>2</v>
      </c>
      <c r="D80" s="6" t="inlineStr">
        <is>
          <t>2014 Q2</t>
        </is>
      </c>
      <c r="E80" s="8" t="n">
        <v>158.271</v>
      </c>
      <c r="F80" s="10" t="n">
        <v>4.78030501973956</v>
      </c>
      <c r="G80" s="10" t="n">
        <v>1.28630944381516</v>
      </c>
      <c r="H80" s="8" t="n">
        <v>8.133392927918131</v>
      </c>
      <c r="I80" s="8" t="n">
        <v>1.55363509216835</v>
      </c>
      <c r="J80" s="8" t="n">
        <v>116.184812664881</v>
      </c>
      <c r="K80" s="8" t="n">
        <v>2.78631097206357</v>
      </c>
      <c r="L80" s="8" t="n">
        <v>111.498689744988</v>
      </c>
      <c r="M80" s="8" t="n">
        <v>0.26342483406061</v>
      </c>
      <c r="N80" s="8" t="n">
        <v>0.0933333333333333</v>
      </c>
      <c r="O80" s="8" t="n">
        <v>0.02</v>
      </c>
      <c r="P80" s="8" t="n">
        <v>109.7</v>
      </c>
      <c r="Q80" s="8" t="n">
        <v>6.94439931108439</v>
      </c>
      <c r="R80" s="10" t="n">
        <v>0</v>
      </c>
      <c r="S80" s="7" t="inlineStr">
        <is>
          <t>High_Quality_Observed</t>
        </is>
      </c>
    </row>
    <row r="81" ht="19" customHeight="1">
      <c r="A81" s="6" t="inlineStr">
        <is>
          <t>Cambodia</t>
        </is>
      </c>
      <c r="B81" s="10" t="n">
        <v>2014</v>
      </c>
      <c r="C81" s="10" t="n">
        <v>3</v>
      </c>
      <c r="D81" s="6" t="inlineStr">
        <is>
          <t>2014 Q3</t>
        </is>
      </c>
      <c r="E81" s="8" t="n">
        <v>160.112666666667</v>
      </c>
      <c r="F81" s="10" t="n">
        <v>3.97939193211458</v>
      </c>
      <c r="G81" s="10" t="n">
        <v>1.16361599198</v>
      </c>
      <c r="H81" s="8" t="n">
        <v>7.99872837794973</v>
      </c>
      <c r="I81" s="8" t="n">
        <v>0.537408321430752</v>
      </c>
      <c r="J81" s="8" t="n">
        <v>116.532375879956</v>
      </c>
      <c r="K81" s="8" t="n">
        <v>2.45509549530196</v>
      </c>
      <c r="L81" s="8" t="n">
        <v>104.211407968198</v>
      </c>
      <c r="M81" s="8" t="n">
        <v>-2.16511715802957</v>
      </c>
      <c r="N81" s="8" t="n">
        <v>0.09</v>
      </c>
      <c r="O81" s="8" t="n">
        <v>-0.0033333333333333</v>
      </c>
      <c r="P81" s="8" t="n">
        <v>101.823333333333</v>
      </c>
      <c r="Q81" s="8" t="n">
        <v>-7.65998609473715</v>
      </c>
      <c r="R81" s="10" t="n">
        <v>0</v>
      </c>
      <c r="S81" s="7" t="inlineStr">
        <is>
          <t>High_Quality_Observed</t>
        </is>
      </c>
    </row>
    <row r="82" ht="19" customHeight="1">
      <c r="A82" s="6" t="inlineStr">
        <is>
          <t>Cambodia</t>
        </is>
      </c>
      <c r="B82" s="10" t="n">
        <v>2014</v>
      </c>
      <c r="C82" s="10" t="n">
        <v>4</v>
      </c>
      <c r="D82" s="6" t="inlineStr">
        <is>
          <t>2014 Q4</t>
        </is>
      </c>
      <c r="E82" s="8" t="n">
        <v>158.506</v>
      </c>
      <c r="F82" s="10" t="n">
        <v>2.10844343664041</v>
      </c>
      <c r="G82" s="10" t="n">
        <v>-1.00346006353859</v>
      </c>
      <c r="H82" s="8" t="n">
        <v>7.73258394713543</v>
      </c>
      <c r="I82" s="8" t="n">
        <v>3.47442281731236</v>
      </c>
      <c r="J82" s="8" t="n">
        <v>119.110878365259</v>
      </c>
      <c r="K82" s="8" t="n">
        <v>3.2020068606881</v>
      </c>
      <c r="L82" s="8" t="n">
        <v>99.4046630544031</v>
      </c>
      <c r="M82" s="8" t="n">
        <v>-7.9947393171137</v>
      </c>
      <c r="N82" s="8" t="n">
        <v>0.1</v>
      </c>
      <c r="O82" s="8" t="n">
        <v>0.01</v>
      </c>
      <c r="P82" s="8" t="n">
        <v>76.40333333333329</v>
      </c>
      <c r="Q82" s="8" t="n">
        <v>-30.0399841284376</v>
      </c>
      <c r="R82" s="10" t="n">
        <v>0</v>
      </c>
      <c r="S82" s="7" t="inlineStr">
        <is>
          <t>High_Quality_Observed</t>
        </is>
      </c>
    </row>
    <row r="83" ht="19" customHeight="1">
      <c r="A83" s="6" t="inlineStr">
        <is>
          <t>Cambodia</t>
        </is>
      </c>
      <c r="B83" s="10" t="n">
        <v>2015</v>
      </c>
      <c r="C83" s="10" t="n">
        <v>1</v>
      </c>
      <c r="D83" s="6" t="inlineStr">
        <is>
          <t>2015 Q1</t>
        </is>
      </c>
      <c r="E83" s="8" t="n">
        <v>157.876333333333</v>
      </c>
      <c r="F83" s="10" t="n">
        <v>1.03374055799805</v>
      </c>
      <c r="G83" s="10" t="n">
        <v>-0.397250997859189</v>
      </c>
      <c r="H83" s="8" t="n">
        <v>7.33495936936396</v>
      </c>
      <c r="I83" s="8" t="n">
        <v>10.3646815169921</v>
      </c>
      <c r="J83" s="8" t="n">
        <v>124.016491967445</v>
      </c>
      <c r="K83" s="8" t="n">
        <v>5.62949590053927</v>
      </c>
      <c r="L83" s="8" t="n">
        <v>100.657732001964</v>
      </c>
      <c r="M83" s="8" t="n">
        <v>-8.4807283765489</v>
      </c>
      <c r="N83" s="8" t="n">
        <v>0.11</v>
      </c>
      <c r="O83" s="8" t="n">
        <v>0.01</v>
      </c>
      <c r="P83" s="8" t="n">
        <v>53.9166666666667</v>
      </c>
      <c r="Q83" s="8" t="n">
        <v>-50.1540832049307</v>
      </c>
      <c r="R83" s="10" t="n">
        <v>0</v>
      </c>
      <c r="S83" s="7" t="inlineStr">
        <is>
          <t>High_Quality_Observed</t>
        </is>
      </c>
    </row>
    <row r="84" ht="19" customHeight="1">
      <c r="A84" s="6" t="inlineStr">
        <is>
          <t>Cambodia</t>
        </is>
      </c>
      <c r="B84" s="10" t="n">
        <v>2015</v>
      </c>
      <c r="C84" s="10" t="n">
        <v>2</v>
      </c>
      <c r="D84" s="6" t="inlineStr">
        <is>
          <t>2015 Q2</t>
        </is>
      </c>
      <c r="E84" s="8" t="n">
        <v>159.845</v>
      </c>
      <c r="F84" s="10" t="n">
        <v>0.994496780837939</v>
      </c>
      <c r="G84" s="10" t="n">
        <v>1.24696756321931</v>
      </c>
      <c r="H84" s="8" t="n">
        <v>7.12473976698462</v>
      </c>
      <c r="I84" s="8" t="n">
        <v>14.9361002027361</v>
      </c>
      <c r="J84" s="8" t="n">
        <v>124.148553975916</v>
      </c>
      <c r="K84" s="8" t="n">
        <v>6.85437375881941</v>
      </c>
      <c r="L84" s="8" t="n">
        <v>96.8474817130345</v>
      </c>
      <c r="M84" s="8" t="n">
        <v>-13.1402513029193</v>
      </c>
      <c r="N84" s="8" t="n">
        <v>0.123333333333333</v>
      </c>
      <c r="O84" s="8" t="n">
        <v>0.0133333333333333</v>
      </c>
      <c r="P84" s="8" t="n">
        <v>61.6933333333333</v>
      </c>
      <c r="Q84" s="8" t="n">
        <v>-43.761774536615</v>
      </c>
      <c r="R84" s="10" t="n">
        <v>0</v>
      </c>
      <c r="S84" s="7" t="inlineStr">
        <is>
          <t>High_Quality_Observed</t>
        </is>
      </c>
    </row>
    <row r="85" ht="19" customHeight="1">
      <c r="A85" s="6" t="inlineStr">
        <is>
          <t>Cambodia</t>
        </is>
      </c>
      <c r="B85" s="10" t="n">
        <v>2015</v>
      </c>
      <c r="C85" s="10" t="n">
        <v>3</v>
      </c>
      <c r="D85" s="6" t="inlineStr">
        <is>
          <t>2015 Q3</t>
        </is>
      </c>
      <c r="E85" s="8" t="n">
        <v>161.480666666667</v>
      </c>
      <c r="F85" s="10" t="n">
        <v>0.854398361154018</v>
      </c>
      <c r="G85" s="10" t="n">
        <v>1.02328297204584</v>
      </c>
      <c r="H85" s="8" t="n">
        <v>7.10192492983313</v>
      </c>
      <c r="I85" s="8" t="n">
        <v>17.1886834459539</v>
      </c>
      <c r="J85" s="8" t="n">
        <v>125.672229297792</v>
      </c>
      <c r="K85" s="8" t="n">
        <v>7.8431880829847</v>
      </c>
      <c r="L85" s="8" t="n">
        <v>92.7459060049042</v>
      </c>
      <c r="M85" s="8" t="n">
        <v>-11.002156277164</v>
      </c>
      <c r="N85" s="8" t="n">
        <v>0.136666666666667</v>
      </c>
      <c r="O85" s="8" t="n">
        <v>0.0133333333333333</v>
      </c>
      <c r="P85" s="8" t="n">
        <v>50.2333333333333</v>
      </c>
      <c r="Q85" s="8" t="n">
        <v>-50.666186532229</v>
      </c>
      <c r="R85" s="10" t="n">
        <v>0</v>
      </c>
      <c r="S85" s="7" t="inlineStr">
        <is>
          <t>High_Quality_Observed</t>
        </is>
      </c>
    </row>
    <row r="86" ht="19" customHeight="1">
      <c r="A86" s="6" t="inlineStr">
        <is>
          <t>Cambodia</t>
        </is>
      </c>
      <c r="B86" s="10" t="n">
        <v>2015</v>
      </c>
      <c r="C86" s="10" t="n">
        <v>4</v>
      </c>
      <c r="D86" s="6" t="inlineStr">
        <is>
          <t>2015 Q4</t>
        </is>
      </c>
      <c r="E86" s="8" t="n">
        <v>161.698</v>
      </c>
      <c r="F86" s="10" t="n">
        <v>2.01380389385892</v>
      </c>
      <c r="G86" s="10" t="n">
        <v>0.13458783507625</v>
      </c>
      <c r="H86" s="8" t="n">
        <v>7.26651483504436</v>
      </c>
      <c r="I86" s="8" t="n">
        <v>17.1224334992272</v>
      </c>
      <c r="J86" s="8" t="n">
        <v>129.092442169707</v>
      </c>
      <c r="K86" s="8" t="n">
        <v>8.380060613640691</v>
      </c>
      <c r="L86" s="8" t="n">
        <v>90.3005619231251</v>
      </c>
      <c r="M86" s="8" t="n">
        <v>-9.15862581446042</v>
      </c>
      <c r="N86" s="8" t="n">
        <v>0.16</v>
      </c>
      <c r="O86" s="8" t="n">
        <v>0.0233333333333333</v>
      </c>
      <c r="P86" s="8" t="n">
        <v>43.57</v>
      </c>
      <c r="Q86" s="8" t="n">
        <v>-42.9736922472842</v>
      </c>
      <c r="R86" s="10" t="n">
        <v>0</v>
      </c>
      <c r="S86" s="7" t="inlineStr">
        <is>
          <t>High_Quality_Observed</t>
        </is>
      </c>
    </row>
    <row r="87" ht="19" customHeight="1">
      <c r="A87" s="6" t="inlineStr">
        <is>
          <t>Cambodia</t>
        </is>
      </c>
      <c r="B87" s="10" t="n">
        <v>2016</v>
      </c>
      <c r="C87" s="10" t="n">
        <v>1</v>
      </c>
      <c r="D87" s="6" t="inlineStr">
        <is>
          <t>2016 Q1</t>
        </is>
      </c>
      <c r="E87" s="8" t="n">
        <v>161.761</v>
      </c>
      <c r="F87" s="10" t="n">
        <v>2.46057568265456</v>
      </c>
      <c r="G87" s="10" t="n">
        <v>0.0389615208598704</v>
      </c>
      <c r="H87" s="8" t="n">
        <v>7.61850964724234</v>
      </c>
      <c r="I87" s="8" t="n">
        <v>14.7373502961386</v>
      </c>
      <c r="J87" s="8" t="n">
        <v>130.820892963998</v>
      </c>
      <c r="K87" s="8" t="n">
        <v>5.48669043012322</v>
      </c>
      <c r="L87" s="8" t="n">
        <v>91.66230580090431</v>
      </c>
      <c r="M87" s="8" t="n">
        <v>-8.936647013747329</v>
      </c>
      <c r="N87" s="8" t="n">
        <v>0.36</v>
      </c>
      <c r="O87" s="8" t="n">
        <v>0.2</v>
      </c>
      <c r="P87" s="8" t="n">
        <v>33.6966666666667</v>
      </c>
      <c r="Q87" s="8" t="n">
        <v>-37.5023183925811</v>
      </c>
      <c r="R87" s="10" t="n">
        <v>0</v>
      </c>
      <c r="S87" s="7" t="inlineStr">
        <is>
          <t>High_Quality_Observed</t>
        </is>
      </c>
    </row>
    <row r="88" ht="19" customHeight="1">
      <c r="A88" s="6" t="inlineStr">
        <is>
          <t>Cambodia</t>
        </is>
      </c>
      <c r="B88" s="10" t="n">
        <v>2016</v>
      </c>
      <c r="C88" s="10" t="n">
        <v>2</v>
      </c>
      <c r="D88" s="6" t="inlineStr">
        <is>
          <t>2016 Q2</t>
        </is>
      </c>
      <c r="E88" s="8" t="n">
        <v>164.718666666667</v>
      </c>
      <c r="F88" s="10" t="n">
        <v>3.04899538094197</v>
      </c>
      <c r="G88" s="10" t="n">
        <v>1.82841764496182</v>
      </c>
      <c r="H88" s="8" t="n">
        <v>7.87410405958197</v>
      </c>
      <c r="I88" s="8" t="n">
        <v>13.721554120875</v>
      </c>
      <c r="J88" s="8" t="n">
        <v>128.657593784413</v>
      </c>
      <c r="K88" s="8" t="n">
        <v>3.63197126675494</v>
      </c>
      <c r="L88" s="8" t="n">
        <v>96.9846126235507</v>
      </c>
      <c r="M88" s="8" t="n">
        <v>0.141594709630688</v>
      </c>
      <c r="N88" s="8" t="n">
        <v>0.373333333333333</v>
      </c>
      <c r="O88" s="8" t="n">
        <v>0.0133333333333334</v>
      </c>
      <c r="P88" s="8" t="n">
        <v>45.5233333333333</v>
      </c>
      <c r="Q88" s="8" t="n">
        <v>-26.2102874432678</v>
      </c>
      <c r="R88" s="10" t="n">
        <v>0</v>
      </c>
      <c r="S88" s="7" t="inlineStr">
        <is>
          <t>High_Quality_Observed</t>
        </is>
      </c>
    </row>
    <row r="89" ht="19" customHeight="1">
      <c r="A89" s="6" t="inlineStr">
        <is>
          <t>Cambodia</t>
        </is>
      </c>
      <c r="B89" s="10" t="n">
        <v>2016</v>
      </c>
      <c r="C89" s="10" t="n">
        <v>3</v>
      </c>
      <c r="D89" s="6" t="inlineStr">
        <is>
          <t>2016 Q3</t>
        </is>
      </c>
      <c r="E89" s="8" t="n">
        <v>166.233333333333</v>
      </c>
      <c r="F89" s="10" t="n">
        <v>2.94317998852287</v>
      </c>
      <c r="G89" s="10" t="n">
        <v>0.919547673204391</v>
      </c>
      <c r="H89" s="8" t="n">
        <v>8.033298327693579</v>
      </c>
      <c r="I89" s="8" t="n">
        <v>14.0750439575172</v>
      </c>
      <c r="J89" s="8" t="n">
        <v>128.162490239394</v>
      </c>
      <c r="K89" s="8" t="n">
        <v>1.98155229322903</v>
      </c>
      <c r="L89" s="8" t="n">
        <v>100.864699533998</v>
      </c>
      <c r="M89" s="8" t="n">
        <v>8.75380259767431</v>
      </c>
      <c r="N89" s="8" t="n">
        <v>0.396666666666667</v>
      </c>
      <c r="O89" s="8" t="n">
        <v>0.0233333333333333</v>
      </c>
      <c r="P89" s="8" t="n">
        <v>45.7866666666667</v>
      </c>
      <c r="Q89" s="8" t="n">
        <v>-8.852023888520231</v>
      </c>
      <c r="R89" s="10" t="n">
        <v>0</v>
      </c>
      <c r="S89" s="7" t="inlineStr">
        <is>
          <t>High_Quality_Observed</t>
        </is>
      </c>
    </row>
    <row r="90" ht="19" customHeight="1">
      <c r="A90" s="6" t="inlineStr">
        <is>
          <t>Cambodia</t>
        </is>
      </c>
      <c r="B90" s="10" t="n">
        <v>2016</v>
      </c>
      <c r="C90" s="10" t="n">
        <v>4</v>
      </c>
      <c r="D90" s="6" t="inlineStr">
        <is>
          <t>2016 Q4</t>
        </is>
      </c>
      <c r="E90" s="8" t="n">
        <v>167.536666666667</v>
      </c>
      <c r="F90" s="10" t="n">
        <v>3.6108465575744</v>
      </c>
      <c r="G90" s="10" t="n">
        <v>0.78403850010027</v>
      </c>
      <c r="H90" s="8" t="n">
        <v>8.096092610692059</v>
      </c>
      <c r="I90" s="8" t="n">
        <v>15.7978201596259</v>
      </c>
      <c r="J90" s="8" t="n">
        <v>133.058141805005</v>
      </c>
      <c r="K90" s="8" t="n">
        <v>3.07198436147356</v>
      </c>
      <c r="L90" s="8" t="n">
        <v>101.835604997953</v>
      </c>
      <c r="M90" s="8" t="n">
        <v>12.7740545896579</v>
      </c>
      <c r="N90" s="8" t="n">
        <v>0.45</v>
      </c>
      <c r="O90" s="8" t="n">
        <v>0.0533333333333333</v>
      </c>
      <c r="P90" s="8" t="n">
        <v>49.1866666666667</v>
      </c>
      <c r="Q90" s="8" t="n">
        <v>12.8911330426134</v>
      </c>
      <c r="R90" s="10" t="n">
        <v>0</v>
      </c>
      <c r="S90" s="7" t="inlineStr">
        <is>
          <t>High_Quality_Observed</t>
        </is>
      </c>
    </row>
    <row r="91" ht="19" customHeight="1">
      <c r="A91" s="6" t="inlineStr">
        <is>
          <t>Cambodia</t>
        </is>
      </c>
      <c r="B91" s="10" t="n">
        <v>2017</v>
      </c>
      <c r="C91" s="10" t="n">
        <v>1</v>
      </c>
      <c r="D91" s="6" t="inlineStr">
        <is>
          <t>2017 Q1</t>
        </is>
      </c>
      <c r="E91" s="8" t="n">
        <v>168.606333333333</v>
      </c>
      <c r="F91" s="10" t="n">
        <v>4.23175755177907</v>
      </c>
      <c r="G91" s="10" t="n">
        <v>0.638467201209703</v>
      </c>
      <c r="H91" s="8" t="n">
        <v>8.06248697144378</v>
      </c>
      <c r="I91" s="8" t="n">
        <v>18.8898844498362</v>
      </c>
      <c r="J91" s="8" t="n">
        <v>134.871343996961</v>
      </c>
      <c r="K91" s="8" t="n">
        <v>3.09618054210772</v>
      </c>
      <c r="L91" s="8" t="n">
        <v>100.125779631695</v>
      </c>
      <c r="M91" s="8" t="n">
        <v>9.23331980015236</v>
      </c>
      <c r="N91" s="8" t="n">
        <v>0.7</v>
      </c>
      <c r="O91" s="8" t="n">
        <v>0.25</v>
      </c>
      <c r="P91" s="8" t="n">
        <v>53.68</v>
      </c>
      <c r="Q91" s="8" t="n">
        <v>59.30359085963</v>
      </c>
      <c r="R91" s="10" t="n">
        <v>0</v>
      </c>
      <c r="S91" s="7" t="inlineStr">
        <is>
          <t>High_Quality_Observed</t>
        </is>
      </c>
    </row>
    <row r="92" ht="19" customHeight="1">
      <c r="A92" s="6" t="inlineStr">
        <is>
          <t>Cambodia</t>
        </is>
      </c>
      <c r="B92" s="10" t="n">
        <v>2017</v>
      </c>
      <c r="C92" s="10" t="n">
        <v>2</v>
      </c>
      <c r="D92" s="6" t="inlineStr">
        <is>
          <t>2017 Q2</t>
        </is>
      </c>
      <c r="E92" s="8" t="n">
        <v>169.221666666667</v>
      </c>
      <c r="F92" s="10" t="n">
        <v>2.73375209448028</v>
      </c>
      <c r="G92" s="10" t="n">
        <v>0.36495268070198</v>
      </c>
      <c r="H92" s="8" t="n">
        <v>8.054065590977119</v>
      </c>
      <c r="I92" s="8" t="n">
        <v>19.7342171053528</v>
      </c>
      <c r="J92" s="8" t="n">
        <v>131.816087261607</v>
      </c>
      <c r="K92" s="8" t="n">
        <v>2.45496078722514</v>
      </c>
      <c r="L92" s="8" t="n">
        <v>99.4605526807123</v>
      </c>
      <c r="M92" s="8" t="n">
        <v>2.55292049963849</v>
      </c>
      <c r="N92" s="8" t="n">
        <v>0.95</v>
      </c>
      <c r="O92" s="8" t="n">
        <v>0.25</v>
      </c>
      <c r="P92" s="8" t="n">
        <v>49.67</v>
      </c>
      <c r="Q92" s="8" t="n">
        <v>9.10888189207</v>
      </c>
      <c r="R92" s="10" t="n">
        <v>0</v>
      </c>
      <c r="S92" s="7" t="inlineStr">
        <is>
          <t>High_Quality_Observed</t>
        </is>
      </c>
    </row>
    <row r="93" ht="19" customHeight="1">
      <c r="A93" s="6" t="inlineStr">
        <is>
          <t>Cambodia</t>
        </is>
      </c>
      <c r="B93" s="10" t="n">
        <v>2017</v>
      </c>
      <c r="C93" s="10" t="n">
        <v>3</v>
      </c>
      <c r="D93" s="6" t="inlineStr">
        <is>
          <t>2017 Q3</t>
        </is>
      </c>
      <c r="E93" s="8" t="n">
        <v>170.437333333333</v>
      </c>
      <c r="F93" s="10" t="n">
        <v>2.52897533587328</v>
      </c>
      <c r="G93" s="10" t="n">
        <v>0.718387125368114</v>
      </c>
      <c r="H93" s="8" t="n">
        <v>8.07082846093401</v>
      </c>
      <c r="I93" s="8" t="n">
        <v>18.3308189703234</v>
      </c>
      <c r="J93" s="8" t="n">
        <v>128.484626654735</v>
      </c>
      <c r="K93" s="8" t="n">
        <v>0.251349996975669</v>
      </c>
      <c r="L93" s="8" t="n">
        <v>102.480667511988</v>
      </c>
      <c r="M93" s="8" t="n">
        <v>1.60211450136303</v>
      </c>
      <c r="N93" s="8" t="n">
        <v>1.15333333333333</v>
      </c>
      <c r="O93" s="8" t="n">
        <v>0.203333333333333</v>
      </c>
      <c r="P93" s="8" t="n">
        <v>52.11</v>
      </c>
      <c r="Q93" s="8" t="n">
        <v>13.8104251601631</v>
      </c>
      <c r="R93" s="10" t="n">
        <v>0</v>
      </c>
      <c r="S93" s="7" t="inlineStr">
        <is>
          <t>High_Quality_Observed</t>
        </is>
      </c>
    </row>
    <row r="94" ht="19" customHeight="1">
      <c r="A94" s="6" t="inlineStr">
        <is>
          <t>Cambodia</t>
        </is>
      </c>
      <c r="B94" s="10" t="n">
        <v>2017</v>
      </c>
      <c r="C94" s="10" t="n">
        <v>4</v>
      </c>
      <c r="D94" s="6" t="inlineStr">
        <is>
          <t>2017 Q4</t>
        </is>
      </c>
      <c r="E94" s="8" t="n">
        <v>171.215</v>
      </c>
      <c r="F94" s="10" t="n">
        <v>2.19553928493266</v>
      </c>
      <c r="G94" s="10" t="n">
        <v>0.456277184967302</v>
      </c>
      <c r="H94" s="8" t="n">
        <v>8.11277559801005</v>
      </c>
      <c r="I94" s="8" t="n">
        <v>14.6796886416594</v>
      </c>
      <c r="J94" s="8" t="n">
        <v>129.677727753762</v>
      </c>
      <c r="K94" s="8" t="n">
        <v>-2.54055408063419</v>
      </c>
      <c r="L94" s="8" t="n">
        <v>100.792675769869</v>
      </c>
      <c r="M94" s="8" t="n">
        <v>-1.0241302421728</v>
      </c>
      <c r="N94" s="8" t="n">
        <v>1.20333333333333</v>
      </c>
      <c r="O94" s="8" t="n">
        <v>0.05</v>
      </c>
      <c r="P94" s="8" t="n">
        <v>61.53</v>
      </c>
      <c r="Q94" s="8" t="n">
        <v>25.0948766603416</v>
      </c>
      <c r="R94" s="10" t="n">
        <v>0</v>
      </c>
      <c r="S94" s="7" t="inlineStr">
        <is>
          <t>High_Quality_Observed</t>
        </is>
      </c>
    </row>
    <row r="95" ht="19" customHeight="1">
      <c r="A95" s="6" t="inlineStr">
        <is>
          <t>Cambodia</t>
        </is>
      </c>
      <c r="B95" s="10" t="n">
        <v>2018</v>
      </c>
      <c r="C95" s="10" t="n">
        <v>1</v>
      </c>
      <c r="D95" s="6" t="inlineStr">
        <is>
          <t>2018 Q1</t>
        </is>
      </c>
      <c r="E95" s="8" t="n">
        <v>172.328666666667</v>
      </c>
      <c r="F95" s="10" t="n">
        <v>2.20770670931696</v>
      </c>
      <c r="G95" s="10" t="n">
        <v>0.650449240234008</v>
      </c>
      <c r="H95" s="8" t="n">
        <v>8.179907044183469</v>
      </c>
      <c r="I95" s="8" t="n">
        <v>8.780822467967409</v>
      </c>
      <c r="J95" s="8" t="n">
        <v>127.788389305673</v>
      </c>
      <c r="K95" s="8" t="n">
        <v>-5.25163795464776</v>
      </c>
      <c r="L95" s="8" t="n">
        <v>96.02404012089779</v>
      </c>
      <c r="M95" s="8" t="n">
        <v>-4.09658683895945</v>
      </c>
      <c r="N95" s="8" t="n">
        <v>1.44666666666667</v>
      </c>
      <c r="O95" s="8" t="n">
        <v>0.243333333333333</v>
      </c>
      <c r="P95" s="8" t="n">
        <v>66.8066666666667</v>
      </c>
      <c r="Q95" s="8" t="n">
        <v>24.4535519125683</v>
      </c>
      <c r="R95" s="10" t="n">
        <v>0</v>
      </c>
      <c r="S95" s="7" t="inlineStr">
        <is>
          <t>High_Quality_Observed</t>
        </is>
      </c>
    </row>
    <row r="96" ht="19" customHeight="1">
      <c r="A96" s="6" t="inlineStr">
        <is>
          <t>Cambodia</t>
        </is>
      </c>
      <c r="B96" s="10" t="n">
        <v>2018</v>
      </c>
      <c r="C96" s="10" t="n">
        <v>2</v>
      </c>
      <c r="D96" s="6" t="inlineStr">
        <is>
          <t>2018 Q2</t>
        </is>
      </c>
      <c r="E96" s="8" t="n">
        <v>173.834333333333</v>
      </c>
      <c r="F96" s="10" t="n">
        <v>2.72581328238108</v>
      </c>
      <c r="G96" s="10" t="n">
        <v>0.873718050392069</v>
      </c>
      <c r="H96" s="8" t="n">
        <v>8.445286157362</v>
      </c>
      <c r="I96" s="8" t="n">
        <v>5.11804796076195</v>
      </c>
      <c r="J96" s="8" t="n">
        <v>128.57408382688</v>
      </c>
      <c r="K96" s="8" t="n">
        <v>-2.45948996217192</v>
      </c>
      <c r="L96" s="8" t="n">
        <v>96.1737638878632</v>
      </c>
      <c r="M96" s="8" t="n">
        <v>-3.30461545231933</v>
      </c>
      <c r="N96" s="8" t="n">
        <v>1.73666666666667</v>
      </c>
      <c r="O96" s="8" t="n">
        <v>0.29</v>
      </c>
      <c r="P96" s="8" t="n">
        <v>74.5</v>
      </c>
      <c r="Q96" s="8" t="n">
        <v>49.9899335615059</v>
      </c>
      <c r="R96" s="10" t="n">
        <v>0</v>
      </c>
      <c r="S96" s="7" t="inlineStr">
        <is>
          <t>High_Quality_Observed</t>
        </is>
      </c>
    </row>
    <row r="97" ht="19" customHeight="1">
      <c r="A97" s="6" t="inlineStr">
        <is>
          <t>Cambodia</t>
        </is>
      </c>
      <c r="B97" s="10" t="n">
        <v>2018</v>
      </c>
      <c r="C97" s="10" t="n">
        <v>3</v>
      </c>
      <c r="D97" s="6" t="inlineStr">
        <is>
          <t>2018 Q3</t>
        </is>
      </c>
      <c r="E97" s="8" t="n">
        <v>174.686666666667</v>
      </c>
      <c r="F97" s="10" t="n">
        <v>2.49319397940984</v>
      </c>
      <c r="G97" s="10" t="n">
        <v>0.490313574418555</v>
      </c>
      <c r="H97" s="8" t="n">
        <v>8.9089132029191</v>
      </c>
      <c r="I97" s="8" t="n">
        <v>3.69136145745903</v>
      </c>
      <c r="J97" s="8" t="n">
        <v>130.449853164076</v>
      </c>
      <c r="K97" s="8" t="n">
        <v>1.52954214096146</v>
      </c>
      <c r="L97" s="8" t="n">
        <v>93.2694805076009</v>
      </c>
      <c r="M97" s="8" t="n">
        <v>-8.98821917149397</v>
      </c>
      <c r="N97" s="8" t="n">
        <v>1.92333333333333</v>
      </c>
      <c r="O97" s="8" t="n">
        <v>0.186666666666667</v>
      </c>
      <c r="P97" s="8" t="n">
        <v>75.2233333333333</v>
      </c>
      <c r="Q97" s="8" t="n">
        <v>44.3548902961683</v>
      </c>
      <c r="R97" s="10" t="n">
        <v>0</v>
      </c>
      <c r="S97" s="7" t="inlineStr">
        <is>
          <t>High_Quality_Observed</t>
        </is>
      </c>
    </row>
    <row r="98" ht="19" customHeight="1">
      <c r="A98" s="6" t="inlineStr">
        <is>
          <t>Cambodia</t>
        </is>
      </c>
      <c r="B98" s="10" t="n">
        <v>2018</v>
      </c>
      <c r="C98" s="10" t="n">
        <v>4</v>
      </c>
      <c r="D98" s="6" t="inlineStr">
        <is>
          <t>2018 Q4</t>
        </is>
      </c>
      <c r="E98" s="8" t="n">
        <v>175.339666666667</v>
      </c>
      <c r="F98" s="10" t="n">
        <v>2.4090568388673</v>
      </c>
      <c r="G98" s="10" t="n">
        <v>0.3738121589131</v>
      </c>
      <c r="H98" s="8" t="n">
        <v>9.570788644491509</v>
      </c>
      <c r="I98" s="8" t="n">
        <v>4.50076153110235</v>
      </c>
      <c r="J98" s="8" t="n">
        <v>132.551105337219</v>
      </c>
      <c r="K98" s="8" t="n">
        <v>2.21578341418267</v>
      </c>
      <c r="L98" s="8" t="n">
        <v>90.7369363173618</v>
      </c>
      <c r="M98" s="8" t="n">
        <v>-9.976656910534739</v>
      </c>
      <c r="N98" s="8" t="n">
        <v>2.22</v>
      </c>
      <c r="O98" s="8" t="n">
        <v>0.296666666666667</v>
      </c>
      <c r="P98" s="8" t="n">
        <v>67.7133333333333</v>
      </c>
      <c r="Q98" s="8" t="n">
        <v>10.0492984452029</v>
      </c>
      <c r="R98" s="10" t="n">
        <v>0</v>
      </c>
      <c r="S98" s="7" t="inlineStr">
        <is>
          <t>High_Quality_Observed</t>
        </is>
      </c>
    </row>
    <row r="99" ht="19" customHeight="1">
      <c r="A99" s="6" t="inlineStr">
        <is>
          <t>Cambodia</t>
        </is>
      </c>
      <c r="B99" s="10" t="n">
        <v>2019</v>
      </c>
      <c r="C99" s="10" t="n">
        <v>1</v>
      </c>
      <c r="D99" s="6" t="inlineStr">
        <is>
          <t>2019 Q1</t>
        </is>
      </c>
      <c r="E99" s="8" t="n">
        <v>175.66</v>
      </c>
      <c r="F99" s="10" t="n">
        <v>1.93312778295738</v>
      </c>
      <c r="G99" s="10" t="n">
        <v>0.182693020594304</v>
      </c>
      <c r="H99" s="8" t="n">
        <v>10.4309131439837</v>
      </c>
      <c r="I99" s="8" t="n">
        <v>7.54624899120287</v>
      </c>
      <c r="J99" s="8" t="n">
        <v>132.873466017072</v>
      </c>
      <c r="K99" s="8" t="n">
        <v>3.97929478494004</v>
      </c>
      <c r="L99" s="8" t="n">
        <v>93.8324987094736</v>
      </c>
      <c r="M99" s="8" t="n">
        <v>-2.2822841120463</v>
      </c>
      <c r="N99" s="8" t="n">
        <v>2.40333333333333</v>
      </c>
      <c r="O99" s="8" t="n">
        <v>0.183333333333333</v>
      </c>
      <c r="P99" s="8" t="n">
        <v>63.17</v>
      </c>
      <c r="Q99" s="8" t="n">
        <v>-5.4435685061371</v>
      </c>
      <c r="R99" s="10" t="n">
        <v>0</v>
      </c>
      <c r="S99" s="7" t="inlineStr">
        <is>
          <t>High_Quality_Observed</t>
        </is>
      </c>
    </row>
    <row r="100" ht="19" customHeight="1">
      <c r="A100" s="6" t="inlineStr">
        <is>
          <t>Cambodia</t>
        </is>
      </c>
      <c r="B100" s="10" t="n">
        <v>2019</v>
      </c>
      <c r="C100" s="10" t="n">
        <v>2</v>
      </c>
      <c r="D100" s="6" t="inlineStr">
        <is>
          <t>2019 Q2</t>
        </is>
      </c>
      <c r="E100" s="8" t="n">
        <v>177.015</v>
      </c>
      <c r="F100" s="10" t="n">
        <v>1.82971143023147</v>
      </c>
      <c r="G100" s="10" t="n">
        <v>0.771376522828193</v>
      </c>
      <c r="H100" s="8" t="n">
        <v>9.77737821866851</v>
      </c>
      <c r="I100" s="8" t="n">
        <v>10.8793422327632</v>
      </c>
      <c r="J100" s="8" t="n">
        <v>132.174479631562</v>
      </c>
      <c r="K100" s="8" t="n">
        <v>2.80025001735906</v>
      </c>
      <c r="L100" s="8" t="n">
        <v>94.8842784155444</v>
      </c>
      <c r="M100" s="8" t="n">
        <v>-1.34078715461562</v>
      </c>
      <c r="N100" s="8" t="n">
        <v>2.39666666666667</v>
      </c>
      <c r="O100" s="8" t="n">
        <v>-0.0066666666666668</v>
      </c>
      <c r="P100" s="8" t="n">
        <v>68.9233333333333</v>
      </c>
      <c r="Q100" s="8" t="n">
        <v>-7.48545861297539</v>
      </c>
      <c r="R100" s="10" t="n">
        <v>0</v>
      </c>
      <c r="S100" s="7" t="inlineStr">
        <is>
          <t>High_Quality_Observed</t>
        </is>
      </c>
    </row>
    <row r="101" ht="19" customHeight="1">
      <c r="A101" s="6" t="inlineStr">
        <is>
          <t>Cambodia</t>
        </is>
      </c>
      <c r="B101" s="10" t="n">
        <v>2019</v>
      </c>
      <c r="C101" s="10" t="n">
        <v>3</v>
      </c>
      <c r="D101" s="6" t="inlineStr">
        <is>
          <t>2019 Q3</t>
        </is>
      </c>
      <c r="E101" s="8" t="n">
        <v>178.138666666667</v>
      </c>
      <c r="F101" s="10" t="n">
        <v>1.97610960577033</v>
      </c>
      <c r="G101" s="10" t="n">
        <v>0.6347861292357539</v>
      </c>
      <c r="H101" s="8" t="n">
        <v>7.6101832150155</v>
      </c>
      <c r="I101" s="8" t="n">
        <v>14.5000445888556</v>
      </c>
      <c r="J101" s="8" t="n">
        <v>131.942041014619</v>
      </c>
      <c r="K101" s="8" t="n">
        <v>1.14387852063398</v>
      </c>
      <c r="L101" s="8" t="n">
        <v>94.5983508132319</v>
      </c>
      <c r="M101" s="8" t="n">
        <v>1.42476434777905</v>
      </c>
      <c r="N101" s="8" t="n">
        <v>2.19</v>
      </c>
      <c r="O101" s="8" t="n">
        <v>-0.206666666666667</v>
      </c>
      <c r="P101" s="8" t="n">
        <v>61.93</v>
      </c>
      <c r="Q101" s="8" t="n">
        <v>-17.6718216865334</v>
      </c>
      <c r="R101" s="10" t="n">
        <v>0</v>
      </c>
      <c r="S101" s="7" t="inlineStr">
        <is>
          <t>High_Quality_Observed</t>
        </is>
      </c>
    </row>
    <row r="102" ht="19" customHeight="1">
      <c r="A102" s="6" t="inlineStr">
        <is>
          <t>Cambodia</t>
        </is>
      </c>
      <c r="B102" s="10" t="n">
        <v>2019</v>
      </c>
      <c r="C102" s="10" t="n">
        <v>4</v>
      </c>
      <c r="D102" s="6" t="inlineStr">
        <is>
          <t>2019 Q4</t>
        </is>
      </c>
      <c r="E102" s="8" t="n">
        <v>178.899666666667</v>
      </c>
      <c r="F102" s="10" t="n">
        <v>2.03034491149559</v>
      </c>
      <c r="G102" s="10" t="n">
        <v>0.427195293554083</v>
      </c>
      <c r="H102" s="8" t="n">
        <v>3.92932596585326</v>
      </c>
      <c r="I102" s="8" t="n">
        <v>18.4083596802346</v>
      </c>
      <c r="J102" s="8" t="n">
        <v>132.027181453691</v>
      </c>
      <c r="K102" s="8" t="n">
        <v>-0.395261798983149</v>
      </c>
      <c r="L102" s="8" t="n">
        <v>98.5900431134575</v>
      </c>
      <c r="M102" s="8" t="n">
        <v>8.654807088293911</v>
      </c>
      <c r="N102" s="8" t="n">
        <v>1.64333333333333</v>
      </c>
      <c r="O102" s="8" t="n">
        <v>-0.546666666666667</v>
      </c>
      <c r="P102" s="8" t="n">
        <v>63.41</v>
      </c>
      <c r="Q102" s="8" t="n">
        <v>-6.35522299891701</v>
      </c>
      <c r="R102" s="10" t="n">
        <v>0</v>
      </c>
      <c r="S102" s="7" t="inlineStr">
        <is>
          <t>High_Quality_Observed</t>
        </is>
      </c>
    </row>
    <row r="103" ht="19" customHeight="1">
      <c r="A103" s="6" t="inlineStr">
        <is>
          <t>Cambodia</t>
        </is>
      </c>
      <c r="B103" s="10" t="n">
        <v>2020</v>
      </c>
      <c r="C103" s="10" t="n">
        <v>1</v>
      </c>
      <c r="D103" s="6" t="inlineStr">
        <is>
          <t>2020 Q1</t>
        </is>
      </c>
      <c r="E103" s="8" t="n">
        <v>180.972333333333</v>
      </c>
      <c r="F103" s="10" t="n">
        <v>3.02421344263539</v>
      </c>
      <c r="G103" s="10" t="n">
        <v>1.15856373870642</v>
      </c>
      <c r="H103" s="8" t="n">
        <v>-1.26519720967895</v>
      </c>
      <c r="I103" s="8" t="n">
        <v>22.6042914151632</v>
      </c>
      <c r="J103" s="8" t="n">
        <v>133.701079596924</v>
      </c>
      <c r="K103" s="8" t="n">
        <v>0.622858426637141</v>
      </c>
      <c r="L103" s="8" t="n">
        <v>101.264856657347</v>
      </c>
      <c r="M103" s="8" t="n">
        <v>7.92087821393919</v>
      </c>
      <c r="N103" s="8" t="n">
        <v>1.26</v>
      </c>
      <c r="O103" s="8" t="n">
        <v>-0.383333333333333</v>
      </c>
      <c r="P103" s="8" t="n">
        <v>50.44</v>
      </c>
      <c r="Q103" s="8" t="n">
        <v>-20.1519708722495</v>
      </c>
      <c r="R103" s="10" t="n">
        <v>0</v>
      </c>
      <c r="S103" s="7" t="inlineStr">
        <is>
          <t>High_Quality_Observed</t>
        </is>
      </c>
    </row>
    <row r="104" ht="19" customHeight="1">
      <c r="A104" s="6" t="inlineStr">
        <is>
          <t>Cambodia</t>
        </is>
      </c>
      <c r="B104" s="10" t="n">
        <v>2020</v>
      </c>
      <c r="C104" s="10" t="n">
        <v>2</v>
      </c>
      <c r="D104" s="6" t="inlineStr">
        <is>
          <t>2020 Q2</t>
        </is>
      </c>
      <c r="E104" s="8" t="n">
        <v>181.443</v>
      </c>
      <c r="F104" s="10" t="n">
        <v>2.50148292517582</v>
      </c>
      <c r="G104" s="10" t="n">
        <v>0.260076586292191</v>
      </c>
      <c r="H104" s="8" t="n">
        <v>-4.25921509271637</v>
      </c>
      <c r="I104" s="8" t="n">
        <v>24.7931833827945</v>
      </c>
      <c r="J104" s="8" t="n">
        <v>135.744106057236</v>
      </c>
      <c r="K104" s="8" t="n">
        <v>2.7006926266133</v>
      </c>
      <c r="L104" s="8" t="n">
        <v>94.2610802411244</v>
      </c>
      <c r="M104" s="8" t="n">
        <v>-0.656798138560644</v>
      </c>
      <c r="N104" s="8" t="n">
        <v>0.06</v>
      </c>
      <c r="O104" s="8" t="n">
        <v>-1.2</v>
      </c>
      <c r="P104" s="8" t="n">
        <v>29.3433333333333</v>
      </c>
      <c r="Q104" s="8" t="n">
        <v>-57.426125646854</v>
      </c>
      <c r="R104" s="10" t="n">
        <v>0</v>
      </c>
      <c r="S104" s="7" t="inlineStr">
        <is>
          <t>High_Quality_Observed</t>
        </is>
      </c>
    </row>
    <row r="105" ht="19" customHeight="1">
      <c r="A105" s="6" t="inlineStr">
        <is>
          <t>Cambodia</t>
        </is>
      </c>
      <c r="B105" s="10" t="n">
        <v>2020</v>
      </c>
      <c r="C105" s="10" t="n">
        <v>3</v>
      </c>
      <c r="D105" s="6" t="inlineStr">
        <is>
          <t>2020 Q3</t>
        </is>
      </c>
      <c r="E105" s="8" t="n">
        <v>183.120333333333</v>
      </c>
      <c r="F105" s="10" t="n">
        <v>2.79651058351547</v>
      </c>
      <c r="G105" s="10" t="n">
        <v>0.924440917165925</v>
      </c>
      <c r="H105" s="8" t="n">
        <v>-5.05273067719132</v>
      </c>
      <c r="I105" s="8" t="n">
        <v>24.9750377722033</v>
      </c>
      <c r="J105" s="8" t="n">
        <v>132.994207387267</v>
      </c>
      <c r="K105" s="8" t="n">
        <v>0.797445881962822</v>
      </c>
      <c r="L105" s="8" t="n">
        <v>97.88852553233011</v>
      </c>
      <c r="M105" s="8" t="n">
        <v>3.47804659469599</v>
      </c>
      <c r="N105" s="8" t="n">
        <v>0.0933333333333333</v>
      </c>
      <c r="O105" s="8" t="n">
        <v>0.0333333333333333</v>
      </c>
      <c r="P105" s="8" t="n">
        <v>42.9633333333333</v>
      </c>
      <c r="Q105" s="8" t="n">
        <v>-30.6259755638086</v>
      </c>
      <c r="R105" s="10" t="n">
        <v>0</v>
      </c>
      <c r="S105" s="7" t="inlineStr">
        <is>
          <t>High_Quality_Observed</t>
        </is>
      </c>
    </row>
    <row r="106" ht="19" customHeight="1">
      <c r="A106" s="6" t="inlineStr">
        <is>
          <t>Cambodia</t>
        </is>
      </c>
      <c r="B106" s="10" t="n">
        <v>2020</v>
      </c>
      <c r="C106" s="10" t="n">
        <v>4</v>
      </c>
      <c r="D106" s="6" t="inlineStr">
        <is>
          <t>2020 Q4</t>
        </is>
      </c>
      <c r="E106" s="8" t="n">
        <v>185.045333333333</v>
      </c>
      <c r="F106" s="10" t="n">
        <v>3.43525886949669</v>
      </c>
      <c r="G106" s="10" t="n">
        <v>1.05122132805204</v>
      </c>
      <c r="H106" s="8" t="n">
        <v>-3.64574475669767</v>
      </c>
      <c r="I106" s="8" t="n">
        <v>23.1498547652124</v>
      </c>
      <c r="J106" s="8" t="n">
        <v>132.701587728732</v>
      </c>
      <c r="K106" s="8" t="n">
        <v>0.510808658956363</v>
      </c>
      <c r="L106" s="8" t="n">
        <v>107.405441783652</v>
      </c>
      <c r="M106" s="8" t="n">
        <v>8.9414695356711</v>
      </c>
      <c r="N106" s="8" t="n">
        <v>0.09</v>
      </c>
      <c r="O106" s="8" t="n">
        <v>-0.0033333333333333</v>
      </c>
      <c r="P106" s="8" t="n">
        <v>44.29</v>
      </c>
      <c r="Q106" s="8" t="n">
        <v>-30.152972717237</v>
      </c>
      <c r="R106" s="10" t="n">
        <v>0</v>
      </c>
      <c r="S106" s="7" t="inlineStr">
        <is>
          <t>High_Quality_Observed</t>
        </is>
      </c>
    </row>
    <row r="107" ht="19" customHeight="1">
      <c r="A107" s="6" t="inlineStr">
        <is>
          <t>Cambodia</t>
        </is>
      </c>
      <c r="B107" s="10" t="n">
        <v>2021</v>
      </c>
      <c r="C107" s="10" t="n">
        <v>1</v>
      </c>
      <c r="D107" s="6" t="inlineStr">
        <is>
          <t>2021 Q1</t>
        </is>
      </c>
      <c r="E107" s="8" t="n">
        <v>184.835666666667</v>
      </c>
      <c r="F107" s="10" t="n">
        <v>2.13476461411228</v>
      </c>
      <c r="G107" s="10" t="n">
        <v>-0.11330556836523</v>
      </c>
      <c r="H107" s="8" t="n">
        <v>-0.0382559242251562</v>
      </c>
      <c r="I107" s="8" t="n">
        <v>19.31763253661</v>
      </c>
      <c r="J107" s="8" t="n">
        <v>130.443689932052</v>
      </c>
      <c r="K107" s="8" t="n">
        <v>-2.43632263456137</v>
      </c>
      <c r="L107" s="8" t="n">
        <v>106.418456967928</v>
      </c>
      <c r="M107" s="8" t="n">
        <v>5.08922886053087</v>
      </c>
      <c r="N107" s="8" t="n">
        <v>0.08</v>
      </c>
      <c r="O107" s="8" t="n">
        <v>-0.01</v>
      </c>
      <c r="P107" s="8" t="n">
        <v>60.82</v>
      </c>
      <c r="Q107" s="8" t="n">
        <v>20.578905630452</v>
      </c>
      <c r="R107" s="10" t="n">
        <v>0</v>
      </c>
      <c r="S107" s="7" t="inlineStr">
        <is>
          <t>High_Quality_Observed</t>
        </is>
      </c>
    </row>
    <row r="108" ht="19" customHeight="1">
      <c r="A108" s="6" t="inlineStr">
        <is>
          <t>Cambodia</t>
        </is>
      </c>
      <c r="B108" s="10" t="n">
        <v>2021</v>
      </c>
      <c r="C108" s="10" t="n">
        <v>2</v>
      </c>
      <c r="D108" s="6" t="inlineStr">
        <is>
          <t>2021 Q2</t>
        </is>
      </c>
      <c r="E108" s="8" t="n">
        <v>186.568</v>
      </c>
      <c r="F108" s="10" t="n">
        <v>2.82457851777145</v>
      </c>
      <c r="G108" s="10" t="n">
        <v>0.937228925874711</v>
      </c>
      <c r="H108" s="8" t="n">
        <v>2.65597785926894</v>
      </c>
      <c r="I108" s="8" t="n">
        <v>17.7043856434876</v>
      </c>
      <c r="J108" s="8" t="n">
        <v>129.954495610129</v>
      </c>
      <c r="K108" s="8" t="n">
        <v>-4.26509158686085</v>
      </c>
      <c r="L108" s="8" t="n">
        <v>114.551815876528</v>
      </c>
      <c r="M108" s="8" t="n">
        <v>21.5261013172124</v>
      </c>
      <c r="N108" s="8" t="n">
        <v>0.07000000000000001</v>
      </c>
      <c r="O108" s="8" t="n">
        <v>-0.01</v>
      </c>
      <c r="P108" s="8" t="n">
        <v>68.8333333333333</v>
      </c>
      <c r="Q108" s="8" t="n">
        <v>134.579120754288</v>
      </c>
      <c r="R108" s="10" t="n">
        <v>0</v>
      </c>
      <c r="S108" s="7" t="inlineStr">
        <is>
          <t>High_Quality_Observed</t>
        </is>
      </c>
    </row>
    <row r="109" ht="19" customHeight="1">
      <c r="A109" s="6" t="inlineStr">
        <is>
          <t>Cambodia</t>
        </is>
      </c>
      <c r="B109" s="10" t="n">
        <v>2021</v>
      </c>
      <c r="C109" s="10" t="n">
        <v>3</v>
      </c>
      <c r="D109" s="6" t="inlineStr">
        <is>
          <t>2021 Q3</t>
        </is>
      </c>
      <c r="E109" s="8" t="n">
        <v>189.031666666667</v>
      </c>
      <c r="F109" s="10" t="n">
        <v>3.22811411803894</v>
      </c>
      <c r="G109" s="10" t="n">
        <v>1.32051941740634</v>
      </c>
      <c r="H109" s="8" t="n">
        <v>4.43695928795548</v>
      </c>
      <c r="I109" s="8" t="n">
        <v>18.3101124727731</v>
      </c>
      <c r="J109" s="8" t="n">
        <v>131.106049642536</v>
      </c>
      <c r="K109" s="8" t="n">
        <v>-1.41972931139303</v>
      </c>
      <c r="L109" s="8" t="n">
        <v>116.298331246585</v>
      </c>
      <c r="M109" s="8" t="n">
        <v>18.8069087915464</v>
      </c>
      <c r="N109" s="8" t="n">
        <v>0.09</v>
      </c>
      <c r="O109" s="8" t="n">
        <v>0.02</v>
      </c>
      <c r="P109" s="8" t="n">
        <v>73.47</v>
      </c>
      <c r="Q109" s="8" t="n">
        <v>71.0062844285825</v>
      </c>
      <c r="R109" s="10" t="n">
        <v>0</v>
      </c>
      <c r="S109" s="7" t="inlineStr">
        <is>
          <t>High_Quality_Observed</t>
        </is>
      </c>
    </row>
    <row r="110" ht="19" customHeight="1">
      <c r="A110" s="6" t="inlineStr">
        <is>
          <t>Cambodia</t>
        </is>
      </c>
      <c r="B110" s="10" t="n">
        <v>2021</v>
      </c>
      <c r="C110" s="10" t="n">
        <v>4</v>
      </c>
      <c r="D110" s="6" t="inlineStr">
        <is>
          <t>2021 Q4</t>
        </is>
      </c>
      <c r="E110" s="8" t="n">
        <v>191.484</v>
      </c>
      <c r="F110" s="10" t="n">
        <v>3.47950772423335</v>
      </c>
      <c r="G110" s="10" t="n">
        <v>1.29731350126523</v>
      </c>
      <c r="H110" s="8" t="n">
        <v>5.30469014289643</v>
      </c>
      <c r="I110" s="8" t="n">
        <v>21.1348136303011</v>
      </c>
      <c r="J110" s="8" t="n">
        <v>132.401323652529</v>
      </c>
      <c r="K110" s="8" t="n">
        <v>-0.226270145928342</v>
      </c>
      <c r="L110" s="8" t="n">
        <v>122.679602624024</v>
      </c>
      <c r="M110" s="8" t="n">
        <v>14.2210306914792</v>
      </c>
      <c r="N110" s="8" t="n">
        <v>0.08</v>
      </c>
      <c r="O110" s="8" t="n">
        <v>-0.01</v>
      </c>
      <c r="P110" s="8" t="n">
        <v>79.5866666666667</v>
      </c>
      <c r="Q110" s="8" t="n">
        <v>79.69443817265</v>
      </c>
      <c r="R110" s="10" t="n">
        <v>0</v>
      </c>
      <c r="S110" s="7" t="inlineStr">
        <is>
          <t>High_Quality_Observed</t>
        </is>
      </c>
    </row>
    <row r="111" ht="19" customHeight="1">
      <c r="A111" s="6" t="inlineStr">
        <is>
          <t>Cambodia</t>
        </is>
      </c>
      <c r="B111" s="10" t="n">
        <v>2022</v>
      </c>
      <c r="C111" s="10" t="n">
        <v>1</v>
      </c>
      <c r="D111" s="6" t="inlineStr">
        <is>
          <t>2022 Q1</t>
        </is>
      </c>
      <c r="E111" s="8" t="n">
        <v>195.686666666667</v>
      </c>
      <c r="F111" s="10" t="n">
        <v>5.87062020858167</v>
      </c>
      <c r="G111" s="10" t="n">
        <v>2.19478737997256</v>
      </c>
      <c r="H111" s="8" t="n">
        <v>5.25917129176651</v>
      </c>
      <c r="I111" s="8" t="n">
        <v>26.1784919404354</v>
      </c>
      <c r="J111" s="8" t="n">
        <v>134.579755130317</v>
      </c>
      <c r="K111" s="8" t="n">
        <v>3.17076678865789</v>
      </c>
      <c r="L111" s="8" t="n">
        <v>124.25343875034</v>
      </c>
      <c r="M111" s="8" t="n">
        <v>16.7592937264516</v>
      </c>
      <c r="N111" s="8" t="n">
        <v>0.12</v>
      </c>
      <c r="O111" s="8" t="n">
        <v>0.04</v>
      </c>
      <c r="P111" s="8" t="n">
        <v>100.296666666667</v>
      </c>
      <c r="Q111" s="8" t="n">
        <v>64.9073769593335</v>
      </c>
      <c r="R111" s="10" t="n">
        <v>0</v>
      </c>
      <c r="S111" s="7" t="inlineStr">
        <is>
          <t>High_Quality_Observed</t>
        </is>
      </c>
    </row>
    <row r="112" ht="19" customHeight="1">
      <c r="A112" s="6" t="inlineStr">
        <is>
          <t>Cambodia</t>
        </is>
      </c>
      <c r="B112" s="10" t="n">
        <v>2022</v>
      </c>
      <c r="C112" s="10" t="n">
        <v>2</v>
      </c>
      <c r="D112" s="6" t="inlineStr">
        <is>
          <t>2022 Q2</t>
        </is>
      </c>
      <c r="E112" s="8" t="n">
        <v>200.393666666667</v>
      </c>
      <c r="F112" s="10" t="n">
        <v>7.41052413418519</v>
      </c>
      <c r="G112" s="10" t="n">
        <v>2.40537594113037</v>
      </c>
      <c r="H112" s="8" t="n">
        <v>5.18925571509453</v>
      </c>
      <c r="I112" s="8" t="n">
        <v>29.9612462599193</v>
      </c>
      <c r="J112" s="8" t="n">
        <v>138.524777933378</v>
      </c>
      <c r="K112" s="8" t="n">
        <v>6.59483327838111</v>
      </c>
      <c r="L112" s="8" t="n">
        <v>134.351432934678</v>
      </c>
      <c r="M112" s="8" t="n">
        <v>17.2844200736996</v>
      </c>
      <c r="N112" s="8" t="n">
        <v>0.77</v>
      </c>
      <c r="O112" s="8" t="n">
        <v>0.65</v>
      </c>
      <c r="P112" s="8" t="n">
        <v>113.543333333333</v>
      </c>
      <c r="Q112" s="8" t="n">
        <v>64.95399515738499</v>
      </c>
      <c r="R112" s="10" t="n">
        <v>0</v>
      </c>
      <c r="S112" s="7" t="inlineStr">
        <is>
          <t>High_Quality_Observed</t>
        </is>
      </c>
    </row>
    <row r="113" ht="19" customHeight="1">
      <c r="A113" s="6" t="inlineStr">
        <is>
          <t>Cambodia</t>
        </is>
      </c>
      <c r="B113" s="10" t="n">
        <v>2022</v>
      </c>
      <c r="C113" s="10" t="n">
        <v>3</v>
      </c>
      <c r="D113" s="6" t="inlineStr">
        <is>
          <t>2022 Q3</t>
        </is>
      </c>
      <c r="E113" s="8" t="n">
        <v>198.339333333333</v>
      </c>
      <c r="F113" s="10" t="n">
        <v>4.92386637159559</v>
      </c>
      <c r="G113" s="10" t="n">
        <v>-1.02514883204891</v>
      </c>
      <c r="H113" s="8" t="n">
        <v>5.09494334297854</v>
      </c>
      <c r="I113" s="8" t="n">
        <v>32.4830803713547</v>
      </c>
      <c r="J113" s="8" t="n">
        <v>138.636966416561</v>
      </c>
      <c r="K113" s="8" t="n">
        <v>5.74414132266137</v>
      </c>
      <c r="L113" s="8" t="n">
        <v>118.584751746656</v>
      </c>
      <c r="M113" s="8" t="n">
        <v>1.96599596534466</v>
      </c>
      <c r="N113" s="8" t="n">
        <v>2.19</v>
      </c>
      <c r="O113" s="8" t="n">
        <v>1.42</v>
      </c>
      <c r="P113" s="8" t="n">
        <v>100.713333333333</v>
      </c>
      <c r="Q113" s="8" t="n">
        <v>37.0808946962479</v>
      </c>
      <c r="R113" s="10" t="n">
        <v>0</v>
      </c>
      <c r="S113" s="7" t="inlineStr">
        <is>
          <t>High_Quality_Observed</t>
        </is>
      </c>
    </row>
    <row r="114" ht="19" customHeight="1">
      <c r="A114" s="6" t="inlineStr">
        <is>
          <t>Cambodia</t>
        </is>
      </c>
      <c r="B114" s="10" t="n">
        <v>2022</v>
      </c>
      <c r="C114" s="10" t="n">
        <v>4</v>
      </c>
      <c r="D114" s="6" t="inlineStr">
        <is>
          <t>2022 Q4</t>
        </is>
      </c>
      <c r="E114" s="8" t="n">
        <v>197.68</v>
      </c>
      <c r="F114" s="10" t="n">
        <v>3.23577949071463</v>
      </c>
      <c r="G114" s="10" t="n">
        <v>-0.332426918177264</v>
      </c>
      <c r="H114" s="8" t="n">
        <v>4.97623408108031</v>
      </c>
      <c r="I114" s="8" t="n">
        <v>33.7439967966083</v>
      </c>
      <c r="J114" s="8" t="n">
        <v>136.728249794449</v>
      </c>
      <c r="K114" s="8" t="n">
        <v>3.26803843236119</v>
      </c>
      <c r="L114" s="8" t="n">
        <v>115.210051245214</v>
      </c>
      <c r="M114" s="8" t="n">
        <v>-6.08866610181539</v>
      </c>
      <c r="N114" s="8" t="n">
        <v>3.65333333333333</v>
      </c>
      <c r="O114" s="8" t="n">
        <v>1.46333333333333</v>
      </c>
      <c r="P114" s="8" t="n">
        <v>88.5566666666667</v>
      </c>
      <c r="Q114" s="8" t="n">
        <v>11.2707321159323</v>
      </c>
      <c r="R114" s="10" t="n">
        <v>0</v>
      </c>
      <c r="S114" s="7" t="inlineStr">
        <is>
          <t>High_Quality_Observed</t>
        </is>
      </c>
    </row>
    <row r="115" ht="19" customHeight="1">
      <c r="A115" s="6" t="inlineStr">
        <is>
          <t>Cambodia</t>
        </is>
      </c>
      <c r="B115" s="10" t="n">
        <v>2023</v>
      </c>
      <c r="C115" s="10" t="n">
        <v>1</v>
      </c>
      <c r="D115" s="6" t="inlineStr">
        <is>
          <t>2023 Q1</t>
        </is>
      </c>
      <c r="E115" s="11" t="n">
        <v>199.481333333333</v>
      </c>
      <c r="F115" s="12" t="n">
        <v>1.93915443055224</v>
      </c>
      <c r="G115" s="10" t="n">
        <v>0.91123701605289</v>
      </c>
      <c r="H115" s="8" t="n">
        <v>4.83312781064198</v>
      </c>
      <c r="I115" s="11" t="n">
        <v>24.8542199564362</v>
      </c>
      <c r="J115" s="11" t="n">
        <v>134.958524731517</v>
      </c>
      <c r="K115" s="8" t="n">
        <v>0.281446195851065</v>
      </c>
      <c r="L115" s="8" t="n">
        <v>114.034689515825</v>
      </c>
      <c r="M115" s="8" t="n">
        <v>-8.224117849203459</v>
      </c>
      <c r="N115" s="8" t="n">
        <v>4.51666666666667</v>
      </c>
      <c r="O115" s="8" t="n">
        <v>0.863333333333333</v>
      </c>
      <c r="P115" s="8" t="n">
        <v>81.1733333333333</v>
      </c>
      <c r="Q115" s="8" t="n">
        <v>-19.0667685865266</v>
      </c>
      <c r="R115" s="10" t="n">
        <v>1</v>
      </c>
      <c r="S115" s="7" t="inlineStr">
        <is>
          <t>Minor_Imputation_1Var</t>
        </is>
      </c>
    </row>
    <row r="116" ht="19" customHeight="1">
      <c r="A116" s="6" t="inlineStr">
        <is>
          <t>Cambodia</t>
        </is>
      </c>
      <c r="B116" s="10" t="n">
        <v>2023</v>
      </c>
      <c r="C116" s="10" t="n">
        <v>2</v>
      </c>
      <c r="D116" s="6" t="inlineStr">
        <is>
          <t>2023 Q2</t>
        </is>
      </c>
      <c r="E116" s="11" t="n">
        <v>201.47</v>
      </c>
      <c r="F116" s="12" t="n">
        <v>0.537109456220342</v>
      </c>
      <c r="G116" s="10" t="n">
        <v>0.9969186757658119</v>
      </c>
      <c r="H116" s="8" t="n">
        <v>4.84556633171374</v>
      </c>
      <c r="I116" s="11" t="n">
        <v>24.8542199564362</v>
      </c>
      <c r="J116" s="11" t="n">
        <v>134.607481457226</v>
      </c>
      <c r="K116" s="8" t="n">
        <v>-2.82786699577813</v>
      </c>
      <c r="L116" s="8" t="n">
        <v>109.857789884183</v>
      </c>
      <c r="M116" s="8" t="n">
        <v>-18.2310247948031</v>
      </c>
      <c r="N116" s="8" t="n">
        <v>4.99</v>
      </c>
      <c r="O116" s="8" t="n">
        <v>0.473333333333334</v>
      </c>
      <c r="P116" s="8" t="n">
        <v>78.31666666666671</v>
      </c>
      <c r="Q116" s="8" t="n">
        <v>-31.0248656900449</v>
      </c>
      <c r="R116" s="10" t="n">
        <v>1</v>
      </c>
      <c r="S116" s="7" t="inlineStr">
        <is>
          <t>Minor_Imputation_1Var</t>
        </is>
      </c>
    </row>
    <row r="117" ht="19" customHeight="1">
      <c r="A117" s="6" t="inlineStr">
        <is>
          <t>Cambodia</t>
        </is>
      </c>
      <c r="B117" s="10" t="n">
        <v>2023</v>
      </c>
      <c r="C117" s="10" t="n">
        <v>3</v>
      </c>
      <c r="D117" s="6" t="inlineStr">
        <is>
          <t>2023 Q3</t>
        </is>
      </c>
      <c r="E117" s="11" t="n">
        <v>204.196333333333</v>
      </c>
      <c r="F117" s="12" t="n">
        <v>2.95301990864141</v>
      </c>
      <c r="G117" s="10" t="n">
        <v>1.35322049602091</v>
      </c>
      <c r="H117" s="8" t="n">
        <v>5.01354965665344</v>
      </c>
      <c r="I117" s="11" t="n">
        <v>24.8542199564362</v>
      </c>
      <c r="J117" s="11" t="n">
        <v>135.603883388593</v>
      </c>
      <c r="K117" s="8" t="n">
        <v>-2.18778808161093</v>
      </c>
      <c r="L117" s="8" t="n">
        <v>107.510614988168</v>
      </c>
      <c r="M117" s="8" t="n">
        <v>-9.338584088911441</v>
      </c>
      <c r="N117" s="8" t="n">
        <v>5.26</v>
      </c>
      <c r="O117" s="8" t="n">
        <v>0.27</v>
      </c>
      <c r="P117" s="8" t="n">
        <v>86.66</v>
      </c>
      <c r="Q117" s="8" t="n">
        <v>-13.9537962533925</v>
      </c>
      <c r="R117" s="10" t="n">
        <v>1</v>
      </c>
      <c r="S117" s="7" t="inlineStr">
        <is>
          <t>Minor_Imputation_1Var</t>
        </is>
      </c>
    </row>
    <row r="118" ht="19" customHeight="1">
      <c r="A118" s="6" t="inlineStr">
        <is>
          <t>Cambodia</t>
        </is>
      </c>
      <c r="B118" s="10" t="n">
        <v>2023</v>
      </c>
      <c r="C118" s="10" t="n">
        <v>4</v>
      </c>
      <c r="D118" s="6" t="inlineStr">
        <is>
          <t>2023 Q4</t>
        </is>
      </c>
      <c r="E118" s="11" t="n">
        <v>203.803666666667</v>
      </c>
      <c r="F118" s="12" t="n">
        <v>3.09776743558612</v>
      </c>
      <c r="G118" s="10" t="n">
        <v>-0.192298588450013</v>
      </c>
      <c r="H118" s="8" t="n">
        <v>5.33707795345247</v>
      </c>
      <c r="I118" s="11" t="n">
        <v>24.8542199564362</v>
      </c>
      <c r="J118" s="11" t="n">
        <v>135.920925206889</v>
      </c>
      <c r="K118" s="8" t="n">
        <v>-0.590459242163877</v>
      </c>
      <c r="L118" s="8" t="n">
        <v>105.339533846651</v>
      </c>
      <c r="M118" s="8" t="n">
        <v>-8.56740995414912</v>
      </c>
      <c r="N118" s="8" t="n">
        <v>5.33</v>
      </c>
      <c r="O118" s="8" t="n">
        <v>0.0700000000000003</v>
      </c>
      <c r="P118" s="8" t="n">
        <v>83.7233333333333</v>
      </c>
      <c r="Q118" s="8" t="n">
        <v>-5.45789889712802</v>
      </c>
      <c r="R118" s="10" t="n">
        <v>1</v>
      </c>
      <c r="S118" s="7" t="inlineStr">
        <is>
          <t>Minor_Imputation_1Var</t>
        </is>
      </c>
    </row>
    <row r="119" ht="19" customHeight="1">
      <c r="A119" s="6" t="inlineStr">
        <is>
          <t>Cambodia</t>
        </is>
      </c>
      <c r="B119" s="10" t="n">
        <v>2024</v>
      </c>
      <c r="C119" s="10" t="n">
        <v>1</v>
      </c>
      <c r="D119" s="6" t="inlineStr">
        <is>
          <t>2024 Q1</t>
        </is>
      </c>
      <c r="E119" s="11" t="n">
        <v>198.989</v>
      </c>
      <c r="F119" s="12" t="n">
        <v>-0.246806718757309</v>
      </c>
      <c r="G119" s="10" t="n">
        <v>-2.36240434012472</v>
      </c>
      <c r="H119" s="8" t="n">
        <v>5.81615154566076</v>
      </c>
      <c r="I119" s="11" t="n">
        <v>24.8542199564362</v>
      </c>
      <c r="J119" s="11" t="n">
        <v>133.675083218023</v>
      </c>
      <c r="K119" s="8" t="n">
        <v>-0.950989584427853</v>
      </c>
      <c r="L119" s="8" t="n">
        <v>102.582568583479</v>
      </c>
      <c r="M119" s="8" t="n">
        <v>-10.0426641936497</v>
      </c>
      <c r="N119" s="8" t="n">
        <v>5.33</v>
      </c>
      <c r="O119" s="8" t="n">
        <v>0</v>
      </c>
      <c r="P119" s="8" t="n">
        <v>83.0033333333333</v>
      </c>
      <c r="Q119" s="8" t="n">
        <v>2.25443495400788</v>
      </c>
      <c r="R119" s="10" t="n">
        <v>1</v>
      </c>
      <c r="S119" s="7" t="inlineStr">
        <is>
          <t>Minor_Imputation_1Var</t>
        </is>
      </c>
    </row>
    <row r="120" ht="19" customHeight="1">
      <c r="A120" s="6" t="inlineStr">
        <is>
          <t>Cambodia</t>
        </is>
      </c>
      <c r="B120" s="10" t="n">
        <v>2024</v>
      </c>
      <c r="C120" s="10" t="n">
        <v>2</v>
      </c>
      <c r="D120" s="6" t="inlineStr">
        <is>
          <t>2024 Q2</t>
        </is>
      </c>
      <c r="E120" s="11" t="n">
        <v>203.012666666667</v>
      </c>
      <c r="F120" s="12" t="n">
        <v>0.7657053986532379</v>
      </c>
      <c r="G120" s="10" t="n">
        <v>2.0220548204507</v>
      </c>
      <c r="H120" s="8" t="n">
        <v>6.08764607870113</v>
      </c>
      <c r="I120" s="11" t="n">
        <v>24.8542199564362</v>
      </c>
      <c r="J120" s="11" t="n">
        <v>136.068568225554</v>
      </c>
      <c r="K120" s="8" t="n">
        <v>1.08544246761852</v>
      </c>
      <c r="L120" s="8" t="n">
        <v>104.519793640698</v>
      </c>
      <c r="M120" s="8" t="n">
        <v>-4.85900567371084</v>
      </c>
      <c r="N120" s="8" t="n">
        <v>5.33</v>
      </c>
      <c r="O120" s="8" t="n">
        <v>0</v>
      </c>
      <c r="P120" s="8" t="n">
        <v>84.6466666666667</v>
      </c>
      <c r="Q120" s="8" t="n">
        <v>8.082570759736109</v>
      </c>
      <c r="R120" s="10" t="n">
        <v>1</v>
      </c>
      <c r="S120" s="7" t="inlineStr">
        <is>
          <t>Minor_Imputation_1Var</t>
        </is>
      </c>
    </row>
    <row r="121" ht="19" customHeight="1">
      <c r="A121" s="6" t="inlineStr">
        <is>
          <t>Cambodia</t>
        </is>
      </c>
      <c r="B121" s="10" t="n">
        <v>2024</v>
      </c>
      <c r="C121" s="10" t="n">
        <v>3</v>
      </c>
      <c r="D121" s="6" t="inlineStr">
        <is>
          <t>2024 Q3</t>
        </is>
      </c>
      <c r="E121" s="11" t="n">
        <v>203.429133138317</v>
      </c>
      <c r="F121" s="12" t="n">
        <v>-0.375716930119585</v>
      </c>
      <c r="G121" s="10" t="n">
        <v>0.205143096974214</v>
      </c>
      <c r="H121" s="8" t="n">
        <v>6.15156182407168</v>
      </c>
      <c r="I121" s="11" t="n">
        <v>24.8542199564362</v>
      </c>
      <c r="J121" s="11" t="n">
        <v>134.703145066383</v>
      </c>
      <c r="K121" s="8" t="n">
        <v>-0.6642422766228619</v>
      </c>
      <c r="L121" s="8" t="n">
        <v>106.377099329068</v>
      </c>
      <c r="M121" s="8" t="n">
        <v>-1.05432906250624</v>
      </c>
      <c r="N121" s="8" t="n">
        <v>5.26333333333333</v>
      </c>
      <c r="O121" s="8" t="n">
        <v>-0.0666666666666664</v>
      </c>
      <c r="P121" s="8" t="n">
        <v>79.84333333333331</v>
      </c>
      <c r="Q121" s="8" t="n">
        <v>-7.86598969151473</v>
      </c>
      <c r="R121" s="10" t="n">
        <v>2</v>
      </c>
      <c r="S121" s="7" t="inlineStr">
        <is>
          <t>Major_Imputation_MultiVar</t>
        </is>
      </c>
    </row>
    <row r="122" ht="19" customHeight="1">
      <c r="A122" s="6" t="inlineStr">
        <is>
          <t>Cambodia</t>
        </is>
      </c>
      <c r="B122" s="10" t="n">
        <v>2024</v>
      </c>
      <c r="C122" s="10" t="n">
        <v>4</v>
      </c>
      <c r="D122" s="6" t="inlineStr">
        <is>
          <t>2024 Q4</t>
        </is>
      </c>
      <c r="E122" s="11" t="n">
        <v>203.846453962184</v>
      </c>
      <c r="F122" s="12" t="n">
        <v>0.0209943698352033</v>
      </c>
      <c r="G122" s="10" t="n">
        <v>0.205143096974236</v>
      </c>
      <c r="H122" s="8" t="n">
        <v>6.0078988456622</v>
      </c>
      <c r="I122" s="11" t="n">
        <v>24.8542199564362</v>
      </c>
      <c r="J122" s="11" t="n">
        <v>138.385423194917</v>
      </c>
      <c r="K122" s="8" t="n">
        <v>1.8131851179479</v>
      </c>
      <c r="L122" s="8" t="n">
        <v>110.645361455409</v>
      </c>
      <c r="M122" s="8" t="n">
        <v>5.03688161035707</v>
      </c>
      <c r="N122" s="8" t="n">
        <v>4.65</v>
      </c>
      <c r="O122" s="8" t="n">
        <v>-0.613333333333333</v>
      </c>
      <c r="P122" s="8" t="n">
        <v>74.6133333333333</v>
      </c>
      <c r="Q122" s="8" t="n">
        <v>-10.8810765616913</v>
      </c>
      <c r="R122" s="10" t="n">
        <v>2</v>
      </c>
      <c r="S122" s="7" t="inlineStr">
        <is>
          <t>Major_Imputation_MultiVar</t>
        </is>
      </c>
    </row>
    <row r="123" ht="19" customHeight="1">
      <c r="A123" s="6" t="inlineStr">
        <is>
          <t>Cambodia</t>
        </is>
      </c>
      <c r="B123" s="10" t="n">
        <v>2025</v>
      </c>
      <c r="C123" s="10" t="n">
        <v>1</v>
      </c>
      <c r="D123" s="6" t="inlineStr">
        <is>
          <t>2025 Q1</t>
        </is>
      </c>
      <c r="E123" s="11" t="n">
        <v>204.264630890914</v>
      </c>
      <c r="F123" s="12" t="n">
        <v>2.65121734915721</v>
      </c>
      <c r="G123" s="10" t="n">
        <v>0.205143096974192</v>
      </c>
      <c r="H123" s="8" t="n">
        <v>5.6566569998336</v>
      </c>
      <c r="I123" s="11" t="n">
        <v>24.8542199564362</v>
      </c>
      <c r="J123" s="11" t="n">
        <v>140.747209614701</v>
      </c>
      <c r="K123" s="8" t="n">
        <v>5.29053450084158</v>
      </c>
      <c r="L123" s="8" t="n">
        <v>108.711496383905</v>
      </c>
      <c r="M123" s="8" t="n">
        <v>5.97462891118643</v>
      </c>
      <c r="N123" s="8" t="n">
        <v>4.33</v>
      </c>
      <c r="O123" s="8" t="n">
        <v>-0.32</v>
      </c>
      <c r="P123" s="8" t="n">
        <v>75.8133333333333</v>
      </c>
      <c r="Q123" s="8" t="n">
        <v>-8.662302718766311</v>
      </c>
      <c r="R123" s="10" t="n">
        <v>2</v>
      </c>
      <c r="S123" s="7" t="inlineStr">
        <is>
          <t>Major_Imputation_MultiVar</t>
        </is>
      </c>
    </row>
    <row r="124" ht="19" customHeight="1">
      <c r="A124" s="6" t="inlineStr">
        <is>
          <t>Indonesia</t>
        </is>
      </c>
      <c r="B124" s="10" t="n">
        <v>2010</v>
      </c>
      <c r="C124" s="10" t="n">
        <v>1</v>
      </c>
      <c r="D124" s="6" t="inlineStr">
        <is>
          <t>2010 Q1</t>
        </is>
      </c>
      <c r="E124" s="8" t="n">
        <v>73.8507966666667</v>
      </c>
      <c r="F124" s="9" t="inlineStr"/>
      <c r="G124" s="9" t="inlineStr"/>
      <c r="H124" s="8" t="n">
        <v>6.2336364041181</v>
      </c>
      <c r="I124" s="8" t="n">
        <v>15.0998264547927</v>
      </c>
      <c r="J124" s="8" t="n">
        <v>110.583181379933</v>
      </c>
      <c r="K124" s="9" t="inlineStr"/>
      <c r="L124" s="8" t="n">
        <v>99.24199528149821</v>
      </c>
      <c r="M124" s="9" t="inlineStr"/>
      <c r="N124" s="8" t="n">
        <v>0.133333333333333</v>
      </c>
      <c r="O124" s="9" t="inlineStr"/>
      <c r="P124" s="8" t="n">
        <v>76.25</v>
      </c>
      <c r="Q124" s="9" t="inlineStr"/>
      <c r="R124" s="10" t="n">
        <v>0</v>
      </c>
      <c r="S124" s="7" t="inlineStr">
        <is>
          <t>Baseline_Lag_Origin</t>
        </is>
      </c>
    </row>
    <row r="125" ht="19" customHeight="1">
      <c r="A125" s="6" t="inlineStr">
        <is>
          <t>Indonesia</t>
        </is>
      </c>
      <c r="B125" s="10" t="n">
        <v>2010</v>
      </c>
      <c r="C125" s="10" t="n">
        <v>2</v>
      </c>
      <c r="D125" s="6" t="inlineStr">
        <is>
          <t>2010 Q2</t>
        </is>
      </c>
      <c r="E125" s="8" t="n">
        <v>74.3423333333333</v>
      </c>
      <c r="F125" s="9" t="inlineStr"/>
      <c r="G125" s="10" t="n">
        <v>0.665580723367509</v>
      </c>
      <c r="H125" s="8" t="n">
        <v>6.22972351706911</v>
      </c>
      <c r="I125" s="8" t="n">
        <v>15.2208109086382</v>
      </c>
      <c r="J125" s="8" t="n">
        <v>116.158231983964</v>
      </c>
      <c r="K125" s="9" t="inlineStr"/>
      <c r="L125" s="8" t="n">
        <v>96.4984622523225</v>
      </c>
      <c r="M125" s="9" t="inlineStr"/>
      <c r="N125" s="8" t="n">
        <v>0.193333333333333</v>
      </c>
      <c r="O125" s="8" t="n">
        <v>0.06</v>
      </c>
      <c r="P125" s="8" t="n">
        <v>78.51000000000001</v>
      </c>
      <c r="Q125" s="9" t="inlineStr"/>
      <c r="R125" s="10" t="n">
        <v>0</v>
      </c>
      <c r="S125" s="7" t="inlineStr">
        <is>
          <t>Baseline_Lag_Origin</t>
        </is>
      </c>
    </row>
    <row r="126" ht="19" customHeight="1">
      <c r="A126" s="6" t="inlineStr">
        <is>
          <t>Indonesia</t>
        </is>
      </c>
      <c r="B126" s="10" t="n">
        <v>2010</v>
      </c>
      <c r="C126" s="10" t="n">
        <v>3</v>
      </c>
      <c r="D126" s="6" t="inlineStr">
        <is>
          <t>2010 Q3</t>
        </is>
      </c>
      <c r="E126" s="8" t="n">
        <v>76.56673000000001</v>
      </c>
      <c r="F126" s="9" t="inlineStr"/>
      <c r="G126" s="10" t="n">
        <v>2.99209961125784</v>
      </c>
      <c r="H126" s="8" t="n">
        <v>6.22189773905167</v>
      </c>
      <c r="I126" s="8" t="n">
        <v>15.4627799373259</v>
      </c>
      <c r="J126" s="8" t="n">
        <v>117.733774535707</v>
      </c>
      <c r="K126" s="9" t="inlineStr"/>
      <c r="L126" s="8" t="n">
        <v>107.356970480027</v>
      </c>
      <c r="M126" s="9" t="inlineStr"/>
      <c r="N126" s="8" t="n">
        <v>0.186666666666667</v>
      </c>
      <c r="O126" s="8" t="n">
        <v>-0.0066666666666666</v>
      </c>
      <c r="P126" s="8" t="n">
        <v>76.81999999999999</v>
      </c>
      <c r="Q126" s="9" t="inlineStr"/>
      <c r="R126" s="10" t="n">
        <v>0</v>
      </c>
      <c r="S126" s="7" t="inlineStr">
        <is>
          <t>Baseline_Lag_Origin</t>
        </is>
      </c>
    </row>
    <row r="127" ht="19" customHeight="1">
      <c r="A127" s="6" t="inlineStr">
        <is>
          <t>Indonesia</t>
        </is>
      </c>
      <c r="B127" s="10" t="n">
        <v>2010</v>
      </c>
      <c r="C127" s="10" t="n">
        <v>4</v>
      </c>
      <c r="D127" s="6" t="inlineStr">
        <is>
          <t>2010 Q4</t>
        </is>
      </c>
      <c r="E127" s="8" t="n">
        <v>77.58103666666671</v>
      </c>
      <c r="F127" s="9" t="inlineStr"/>
      <c r="G127" s="10" t="n">
        <v>1.32473551719743</v>
      </c>
      <c r="H127" s="8" t="n">
        <v>6.21015906226769</v>
      </c>
      <c r="I127" s="8" t="n">
        <v>15.8257337827891</v>
      </c>
      <c r="J127" s="8" t="n">
        <v>114.96010629835</v>
      </c>
      <c r="K127" s="9" t="inlineStr"/>
      <c r="L127" s="8" t="n">
        <v>124.608736829891</v>
      </c>
      <c r="M127" s="9" t="inlineStr"/>
      <c r="N127" s="8" t="n">
        <v>0.186666666666667</v>
      </c>
      <c r="O127" s="8" t="n">
        <v>0</v>
      </c>
      <c r="P127" s="8" t="n">
        <v>86.4666666666667</v>
      </c>
      <c r="Q127" s="9" t="inlineStr"/>
      <c r="R127" s="10" t="n">
        <v>0</v>
      </c>
      <c r="S127" s="7" t="inlineStr">
        <is>
          <t>Baseline_Lag_Origin</t>
        </is>
      </c>
    </row>
    <row r="128" ht="19" customHeight="1">
      <c r="A128" s="6" t="inlineStr">
        <is>
          <t>Indonesia</t>
        </is>
      </c>
      <c r="B128" s="10" t="n">
        <v>2011</v>
      </c>
      <c r="C128" s="10" t="n">
        <v>1</v>
      </c>
      <c r="D128" s="6" t="inlineStr">
        <is>
          <t>2011 Q1</t>
        </is>
      </c>
      <c r="E128" s="8" t="n">
        <v>78.8952633333333</v>
      </c>
      <c r="F128" s="10" t="n">
        <v>6.83061915964889</v>
      </c>
      <c r="G128" s="10" t="n">
        <v>1.69400503413399</v>
      </c>
      <c r="H128" s="8" t="n">
        <v>6.19450747497381</v>
      </c>
      <c r="I128" s="8" t="n">
        <v>16.3096728080309</v>
      </c>
      <c r="J128" s="8" t="n">
        <v>115.575953725232</v>
      </c>
      <c r="K128" s="8" t="n">
        <v>4.51494728492705</v>
      </c>
      <c r="L128" s="8" t="n">
        <v>121.875946057639</v>
      </c>
      <c r="M128" s="8" t="n">
        <v>22.8068276055313</v>
      </c>
      <c r="N128" s="8" t="n">
        <v>0.156666666666667</v>
      </c>
      <c r="O128" s="8" t="n">
        <v>-0.03</v>
      </c>
      <c r="P128" s="8" t="n">
        <v>104.96</v>
      </c>
      <c r="Q128" s="8" t="n">
        <v>37.6524590163934</v>
      </c>
      <c r="R128" s="10" t="n">
        <v>0</v>
      </c>
      <c r="S128" s="7" t="inlineStr">
        <is>
          <t>High_Quality_Observed</t>
        </is>
      </c>
    </row>
    <row r="129" ht="19" customHeight="1">
      <c r="A129" s="6" t="inlineStr">
        <is>
          <t>Indonesia</t>
        </is>
      </c>
      <c r="B129" s="10" t="n">
        <v>2011</v>
      </c>
      <c r="C129" s="10" t="n">
        <v>2</v>
      </c>
      <c r="D129" s="6" t="inlineStr">
        <is>
          <t>2011 Q2</t>
        </is>
      </c>
      <c r="E129" s="8" t="n">
        <v>78.72239</v>
      </c>
      <c r="F129" s="10" t="n">
        <v>5.89173956516478</v>
      </c>
      <c r="G129" s="10" t="n">
        <v>-0.21911750595589</v>
      </c>
      <c r="H129" s="8" t="n">
        <v>6.1783575412591</v>
      </c>
      <c r="I129" s="8" t="n">
        <v>16.5512927367041</v>
      </c>
      <c r="J129" s="8" t="n">
        <v>116.934778810664</v>
      </c>
      <c r="K129" s="8" t="n">
        <v>0.668525005448783</v>
      </c>
      <c r="L129" s="8" t="n">
        <v>122.00081812372</v>
      </c>
      <c r="M129" s="8" t="n">
        <v>26.4277329152819</v>
      </c>
      <c r="N129" s="8" t="n">
        <v>0.0933333333333333</v>
      </c>
      <c r="O129" s="8" t="n">
        <v>-0.0633333333333333</v>
      </c>
      <c r="P129" s="8" t="n">
        <v>117.36</v>
      </c>
      <c r="Q129" s="8" t="n">
        <v>49.4841421474971</v>
      </c>
      <c r="R129" s="10" t="n">
        <v>0</v>
      </c>
      <c r="S129" s="7" t="inlineStr">
        <is>
          <t>High_Quality_Observed</t>
        </is>
      </c>
    </row>
    <row r="130" ht="19" customHeight="1">
      <c r="A130" s="6" t="inlineStr">
        <is>
          <t>Indonesia</t>
        </is>
      </c>
      <c r="B130" s="10" t="n">
        <v>2011</v>
      </c>
      <c r="C130" s="10" t="n">
        <v>3</v>
      </c>
      <c r="D130" s="6" t="inlineStr">
        <is>
          <t>2011 Q3</t>
        </is>
      </c>
      <c r="E130" s="8" t="n">
        <v>80.14076</v>
      </c>
      <c r="F130" s="10" t="n">
        <v>4.66786292166324</v>
      </c>
      <c r="G130" s="10" t="n">
        <v>1.80173645642618</v>
      </c>
      <c r="H130" s="8" t="n">
        <v>6.16170924500583</v>
      </c>
      <c r="I130" s="8" t="n">
        <v>16.5505938104128</v>
      </c>
      <c r="J130" s="8" t="n">
        <v>116.842551994953</v>
      </c>
      <c r="K130" s="8" t="n">
        <v>-0.756981201247209</v>
      </c>
      <c r="L130" s="8" t="n">
        <v>118.888757234176</v>
      </c>
      <c r="M130" s="8" t="n">
        <v>10.7415351817278</v>
      </c>
      <c r="N130" s="8" t="n">
        <v>0.0833333333333333</v>
      </c>
      <c r="O130" s="8" t="n">
        <v>-0.01</v>
      </c>
      <c r="P130" s="8" t="n">
        <v>113.34</v>
      </c>
      <c r="Q130" s="8" t="n">
        <v>47.5397032022911</v>
      </c>
      <c r="R130" s="10" t="n">
        <v>0</v>
      </c>
      <c r="S130" s="7" t="inlineStr">
        <is>
          <t>High_Quality_Observed</t>
        </is>
      </c>
    </row>
    <row r="131" ht="19" customHeight="1">
      <c r="A131" s="6" t="inlineStr">
        <is>
          <t>Indonesia</t>
        </is>
      </c>
      <c r="B131" s="10" t="n">
        <v>2011</v>
      </c>
      <c r="C131" s="10" t="n">
        <v>4</v>
      </c>
      <c r="D131" s="6" t="inlineStr">
        <is>
          <t>2011 Q4</t>
        </is>
      </c>
      <c r="E131" s="8" t="n">
        <v>80.7760066666667</v>
      </c>
      <c r="F131" s="10" t="n">
        <v>4.11823576646371</v>
      </c>
      <c r="G131" s="10" t="n">
        <v>0.792663641655822</v>
      </c>
      <c r="H131" s="8" t="n">
        <v>6.1445625695586</v>
      </c>
      <c r="I131" s="8" t="n">
        <v>16.3075760284961</v>
      </c>
      <c r="J131" s="8" t="n">
        <v>115.024989924696</v>
      </c>
      <c r="K131" s="8" t="n">
        <v>0.0564401238265511</v>
      </c>
      <c r="L131" s="8" t="n">
        <v>112.174119298219</v>
      </c>
      <c r="M131" s="8" t="n">
        <v>-9.978929124887189</v>
      </c>
      <c r="N131" s="8" t="n">
        <v>0.07333333333333331</v>
      </c>
      <c r="O131" s="8" t="n">
        <v>-0.01</v>
      </c>
      <c r="P131" s="8" t="n">
        <v>109.396666666667</v>
      </c>
      <c r="Q131" s="8" t="n">
        <v>26.5188897455667</v>
      </c>
      <c r="R131" s="10" t="n">
        <v>0</v>
      </c>
      <c r="S131" s="7" t="inlineStr">
        <is>
          <t>High_Quality_Observed</t>
        </is>
      </c>
    </row>
    <row r="132" ht="19" customHeight="1">
      <c r="A132" s="6" t="inlineStr">
        <is>
          <t>Indonesia</t>
        </is>
      </c>
      <c r="B132" s="10" t="n">
        <v>2012</v>
      </c>
      <c r="C132" s="10" t="n">
        <v>1</v>
      </c>
      <c r="D132" s="6" t="inlineStr">
        <is>
          <t>2012 Q1</t>
        </is>
      </c>
      <c r="E132" s="8" t="n">
        <v>81.83404666666669</v>
      </c>
      <c r="F132" s="10" t="n">
        <v>3.7249173260465</v>
      </c>
      <c r="G132" s="10" t="n">
        <v>1.30984440016471</v>
      </c>
      <c r="H132" s="8" t="n">
        <v>6.12691749776514</v>
      </c>
      <c r="I132" s="8" t="n">
        <v>15.8222391479181</v>
      </c>
      <c r="J132" s="8" t="n">
        <v>114.70148881988</v>
      </c>
      <c r="K132" s="8" t="n">
        <v>-0.7566149161366</v>
      </c>
      <c r="L132" s="8" t="n">
        <v>112.921025549072</v>
      </c>
      <c r="M132" s="8" t="n">
        <v>-7.3475700482622</v>
      </c>
      <c r="N132" s="8" t="n">
        <v>0.103333333333333</v>
      </c>
      <c r="O132" s="8" t="n">
        <v>0.03</v>
      </c>
      <c r="P132" s="8" t="n">
        <v>118.49</v>
      </c>
      <c r="Q132" s="8" t="n">
        <v>12.890625</v>
      </c>
      <c r="R132" s="10" t="n">
        <v>0</v>
      </c>
      <c r="S132" s="7" t="inlineStr">
        <is>
          <t>High_Quality_Observed</t>
        </is>
      </c>
    </row>
    <row r="133" ht="19" customHeight="1">
      <c r="A133" s="6" t="inlineStr">
        <is>
          <t>Indonesia</t>
        </is>
      </c>
      <c r="B133" s="10" t="n">
        <v>2012</v>
      </c>
      <c r="C133" s="10" t="n">
        <v>2</v>
      </c>
      <c r="D133" s="6" t="inlineStr">
        <is>
          <t>2012 Q2</t>
        </is>
      </c>
      <c r="E133" s="8" t="n">
        <v>82.26102</v>
      </c>
      <c r="F133" s="10" t="n">
        <v>4.49507440005315</v>
      </c>
      <c r="G133" s="10" t="n">
        <v>0.521755126044932</v>
      </c>
      <c r="H133" s="8" t="n">
        <v>6.0811127568915</v>
      </c>
      <c r="I133" s="8" t="n">
        <v>15.281206005415</v>
      </c>
      <c r="J133" s="8" t="n">
        <v>114.445058144101</v>
      </c>
      <c r="K133" s="8" t="n">
        <v>-2.12915326978502</v>
      </c>
      <c r="L133" s="8" t="n">
        <v>108.674540730789</v>
      </c>
      <c r="M133" s="8" t="n">
        <v>-10.9231049413272</v>
      </c>
      <c r="N133" s="8" t="n">
        <v>0.153333333333333</v>
      </c>
      <c r="O133" s="8" t="n">
        <v>0.05</v>
      </c>
      <c r="P133" s="8" t="n">
        <v>108.416666666667</v>
      </c>
      <c r="Q133" s="8" t="n">
        <v>-7.6204271756419</v>
      </c>
      <c r="R133" s="10" t="n">
        <v>0</v>
      </c>
      <c r="S133" s="7" t="inlineStr">
        <is>
          <t>High_Quality_Observed</t>
        </is>
      </c>
    </row>
    <row r="134" ht="19" customHeight="1">
      <c r="A134" s="6" t="inlineStr">
        <is>
          <t>Indonesia</t>
        </is>
      </c>
      <c r="B134" s="10" t="n">
        <v>2012</v>
      </c>
      <c r="C134" s="10" t="n">
        <v>3</v>
      </c>
      <c r="D134" s="6" t="inlineStr">
        <is>
          <t>2012 Q3</t>
        </is>
      </c>
      <c r="E134" s="8" t="n">
        <v>83.7356166666667</v>
      </c>
      <c r="F134" s="10" t="n">
        <v>4.48567828239546</v>
      </c>
      <c r="G134" s="10" t="n">
        <v>1.79258252166903</v>
      </c>
      <c r="H134" s="8" t="n">
        <v>6.0071483011013</v>
      </c>
      <c r="I134" s="8" t="n">
        <v>14.6844760599686</v>
      </c>
      <c r="J134" s="8" t="n">
        <v>112.949931958516</v>
      </c>
      <c r="K134" s="8" t="n">
        <v>-3.33150891518091</v>
      </c>
      <c r="L134" s="8" t="n">
        <v>112.021404013206</v>
      </c>
      <c r="M134" s="8" t="n">
        <v>-5.77628480668088</v>
      </c>
      <c r="N134" s="8" t="n">
        <v>0.143333333333333</v>
      </c>
      <c r="O134" s="8" t="n">
        <v>-0.01</v>
      </c>
      <c r="P134" s="8" t="n">
        <v>109.613333333333</v>
      </c>
      <c r="Q134" s="8" t="n">
        <v>-3.28804187988943</v>
      </c>
      <c r="R134" s="10" t="n">
        <v>0</v>
      </c>
      <c r="S134" s="7" t="inlineStr">
        <is>
          <t>High_Quality_Observed</t>
        </is>
      </c>
    </row>
    <row r="135" ht="19" customHeight="1">
      <c r="A135" s="6" t="inlineStr">
        <is>
          <t>Indonesia</t>
        </is>
      </c>
      <c r="B135" s="10" t="n">
        <v>2012</v>
      </c>
      <c r="C135" s="10" t="n">
        <v>4</v>
      </c>
      <c r="D135" s="6" t="inlineStr">
        <is>
          <t>2012 Q4</t>
        </is>
      </c>
      <c r="E135" s="8" t="n">
        <v>84.3354566666667</v>
      </c>
      <c r="F135" s="10" t="n">
        <v>4.4065684191205</v>
      </c>
      <c r="G135" s="10" t="n">
        <v>0.7163498925288</v>
      </c>
      <c r="H135" s="8" t="n">
        <v>5.90502405647116</v>
      </c>
      <c r="I135" s="8" t="n">
        <v>14.0320487147958</v>
      </c>
      <c r="J135" s="8" t="n">
        <v>110.930348736149</v>
      </c>
      <c r="K135" s="8" t="n">
        <v>-3.55978400104843</v>
      </c>
      <c r="L135" s="8" t="n">
        <v>112.043606667623</v>
      </c>
      <c r="M135" s="8" t="n">
        <v>-0.116348255206267</v>
      </c>
      <c r="N135" s="8" t="n">
        <v>0.16</v>
      </c>
      <c r="O135" s="8" t="n">
        <v>0.0166666666666667</v>
      </c>
      <c r="P135" s="8" t="n">
        <v>110.086666666667</v>
      </c>
      <c r="Q135" s="8" t="n">
        <v>0.630732197812245</v>
      </c>
      <c r="R135" s="10" t="n">
        <v>0</v>
      </c>
      <c r="S135" s="7" t="inlineStr">
        <is>
          <t>High_Quality_Observed</t>
        </is>
      </c>
    </row>
    <row r="136" ht="19" customHeight="1">
      <c r="A136" s="6" t="inlineStr">
        <is>
          <t>Indonesia</t>
        </is>
      </c>
      <c r="B136" s="10" t="n">
        <v>2013</v>
      </c>
      <c r="C136" s="10" t="n">
        <v>1</v>
      </c>
      <c r="D136" s="6" t="inlineStr">
        <is>
          <t>2013 Q1</t>
        </is>
      </c>
      <c r="E136" s="8" t="n">
        <v>85.70163333333331</v>
      </c>
      <c r="F136" s="10" t="n">
        <v>4.7261339554922</v>
      </c>
      <c r="G136" s="10" t="n">
        <v>1.61993154559705</v>
      </c>
      <c r="H136" s="8" t="n">
        <v>5.77473992085144</v>
      </c>
      <c r="I136" s="8" t="n">
        <v>13.3239233175309</v>
      </c>
      <c r="J136" s="8" t="n">
        <v>113.272444648662</v>
      </c>
      <c r="K136" s="8" t="n">
        <v>-1.24588110051695</v>
      </c>
      <c r="L136" s="8" t="n">
        <v>112.344264317549</v>
      </c>
      <c r="M136" s="8" t="n">
        <v>-0.510765137598079</v>
      </c>
      <c r="N136" s="8" t="n">
        <v>0.143333333333333</v>
      </c>
      <c r="O136" s="8" t="n">
        <v>-0.0166666666666667</v>
      </c>
      <c r="P136" s="8" t="n">
        <v>112.493333333333</v>
      </c>
      <c r="Q136" s="8" t="n">
        <v>-5.06090528033308</v>
      </c>
      <c r="R136" s="10" t="n">
        <v>0</v>
      </c>
      <c r="S136" s="7" t="inlineStr">
        <is>
          <t>High_Quality_Observed</t>
        </is>
      </c>
    </row>
    <row r="137" ht="19" customHeight="1">
      <c r="A137" s="6" t="inlineStr">
        <is>
          <t>Indonesia</t>
        </is>
      </c>
      <c r="B137" s="10" t="n">
        <v>2013</v>
      </c>
      <c r="C137" s="10" t="n">
        <v>2</v>
      </c>
      <c r="D137" s="6" t="inlineStr">
        <is>
          <t>2013 Q2</t>
        </is>
      </c>
      <c r="E137" s="8" t="n">
        <v>86.56249333333329</v>
      </c>
      <c r="F137" s="10" t="n">
        <v>5.22905421466124</v>
      </c>
      <c r="G137" s="10" t="n">
        <v>1.00448493980474</v>
      </c>
      <c r="H137" s="8" t="n">
        <v>5.63563584425985</v>
      </c>
      <c r="I137" s="8" t="n">
        <v>12.8229832391727</v>
      </c>
      <c r="J137" s="8" t="n">
        <v>116.271393918809</v>
      </c>
      <c r="K137" s="8" t="n">
        <v>1.59581881850113</v>
      </c>
      <c r="L137" s="8" t="n">
        <v>111.205746192615</v>
      </c>
      <c r="M137" s="8" t="n">
        <v>2.32916140689856</v>
      </c>
      <c r="N137" s="8" t="n">
        <v>0.116666666666667</v>
      </c>
      <c r="O137" s="8" t="n">
        <v>-0.0266666666666667</v>
      </c>
      <c r="P137" s="8" t="n">
        <v>102.576666666667</v>
      </c>
      <c r="Q137" s="8" t="n">
        <v>-5.38662567255957</v>
      </c>
      <c r="R137" s="10" t="n">
        <v>0</v>
      </c>
      <c r="S137" s="7" t="inlineStr">
        <is>
          <t>High_Quality_Observed</t>
        </is>
      </c>
    </row>
    <row r="138" ht="19" customHeight="1">
      <c r="A138" s="6" t="inlineStr">
        <is>
          <t>Indonesia</t>
        </is>
      </c>
      <c r="B138" s="10" t="n">
        <v>2013</v>
      </c>
      <c r="C138" s="10" t="n">
        <v>3</v>
      </c>
      <c r="D138" s="6" t="inlineStr">
        <is>
          <t>2013 Q3</t>
        </is>
      </c>
      <c r="E138" s="8" t="n">
        <v>90.3270466666667</v>
      </c>
      <c r="F138" s="10" t="n">
        <v>7.87171607780599</v>
      </c>
      <c r="G138" s="10" t="n">
        <v>4.34894281387765</v>
      </c>
      <c r="H138" s="8" t="n">
        <v>5.48771168759057</v>
      </c>
      <c r="I138" s="8" t="n">
        <v>12.5292279788157</v>
      </c>
      <c r="J138" s="8" t="n">
        <v>110.855342240976</v>
      </c>
      <c r="K138" s="8" t="n">
        <v>-1.85444088475346</v>
      </c>
      <c r="L138" s="8" t="n">
        <v>106.517639660823</v>
      </c>
      <c r="M138" s="8" t="n">
        <v>-4.91313637859304</v>
      </c>
      <c r="N138" s="8" t="n">
        <v>0.0833333333333333</v>
      </c>
      <c r="O138" s="8" t="n">
        <v>-0.0333333333333333</v>
      </c>
      <c r="P138" s="8" t="n">
        <v>110.27</v>
      </c>
      <c r="Q138" s="8" t="n">
        <v>0.599075538255689</v>
      </c>
      <c r="R138" s="10" t="n">
        <v>0</v>
      </c>
      <c r="S138" s="7" t="inlineStr">
        <is>
          <t>High_Quality_Observed</t>
        </is>
      </c>
    </row>
    <row r="139" ht="19" customHeight="1">
      <c r="A139" s="6" t="inlineStr">
        <is>
          <t>Indonesia</t>
        </is>
      </c>
      <c r="B139" s="10" t="n">
        <v>2013</v>
      </c>
      <c r="C139" s="10" t="n">
        <v>4</v>
      </c>
      <c r="D139" s="6" t="inlineStr">
        <is>
          <t>2013 Q4</t>
        </is>
      </c>
      <c r="E139" s="8" t="n">
        <v>90.8751166666667</v>
      </c>
      <c r="F139" s="10" t="n">
        <v>7.75434231161847</v>
      </c>
      <c r="G139" s="10" t="n">
        <v>0.6067617842334</v>
      </c>
      <c r="H139" s="8" t="n">
        <v>5.33096730293127</v>
      </c>
      <c r="I139" s="8" t="n">
        <v>12.4426572426805</v>
      </c>
      <c r="J139" s="8" t="n">
        <v>100.421638782695</v>
      </c>
      <c r="K139" s="8" t="n">
        <v>-9.473250623640681</v>
      </c>
      <c r="L139" s="8" t="n">
        <v>108.042368791302</v>
      </c>
      <c r="M139" s="8" t="n">
        <v>-3.57114341043118</v>
      </c>
      <c r="N139" s="8" t="n">
        <v>0.0866666666666667</v>
      </c>
      <c r="O139" s="8" t="n">
        <v>0.0033333333333333</v>
      </c>
      <c r="P139" s="8" t="n">
        <v>109.21</v>
      </c>
      <c r="Q139" s="8" t="n">
        <v>-0.796342275782702</v>
      </c>
      <c r="R139" s="10" t="n">
        <v>0</v>
      </c>
      <c r="S139" s="7" t="inlineStr">
        <is>
          <t>High_Quality_Observed</t>
        </is>
      </c>
    </row>
    <row r="140" ht="19" customHeight="1">
      <c r="A140" s="6" t="inlineStr">
        <is>
          <t>Indonesia</t>
        </is>
      </c>
      <c r="B140" s="10" t="n">
        <v>2014</v>
      </c>
      <c r="C140" s="10" t="n">
        <v>1</v>
      </c>
      <c r="D140" s="6" t="inlineStr">
        <is>
          <t>2014 Q1</t>
        </is>
      </c>
      <c r="E140" s="8" t="n">
        <v>92.35326000000001</v>
      </c>
      <c r="F140" s="10" t="n">
        <v>7.76137677656086</v>
      </c>
      <c r="G140" s="10" t="n">
        <v>1.62656554131888</v>
      </c>
      <c r="H140" s="8" t="n">
        <v>5.16540253355557</v>
      </c>
      <c r="I140" s="8" t="n">
        <v>12.5632709442088</v>
      </c>
      <c r="J140" s="8" t="n">
        <v>100.974484030713</v>
      </c>
      <c r="K140" s="8" t="n">
        <v>-10.8569746650157</v>
      </c>
      <c r="L140" s="8" t="n">
        <v>109.985285302654</v>
      </c>
      <c r="M140" s="8" t="n">
        <v>-2.09977699282194</v>
      </c>
      <c r="N140" s="8" t="n">
        <v>0.07333333333333331</v>
      </c>
      <c r="O140" s="8" t="n">
        <v>-0.0133333333333333</v>
      </c>
      <c r="P140" s="8" t="n">
        <v>108.166666666667</v>
      </c>
      <c r="Q140" s="8" t="n">
        <v>-3.84615384615383</v>
      </c>
      <c r="R140" s="10" t="n">
        <v>0</v>
      </c>
      <c r="S140" s="7" t="inlineStr">
        <is>
          <t>High_Quality_Observed</t>
        </is>
      </c>
    </row>
    <row r="141" ht="19" customHeight="1">
      <c r="A141" s="6" t="inlineStr">
        <is>
          <t>Indonesia</t>
        </is>
      </c>
      <c r="B141" s="10" t="n">
        <v>2014</v>
      </c>
      <c r="C141" s="10" t="n">
        <v>2</v>
      </c>
      <c r="D141" s="6" t="inlineStr">
        <is>
          <t>2014 Q2</t>
        </is>
      </c>
      <c r="E141" s="8" t="n">
        <v>92.6992666666667</v>
      </c>
      <c r="F141" s="10" t="n">
        <v>7.08941378305954</v>
      </c>
      <c r="G141" s="10" t="n">
        <v>0.374655606815244</v>
      </c>
      <c r="H141" s="8" t="n">
        <v>5.03568304394546</v>
      </c>
      <c r="I141" s="8" t="n">
        <v>12.3380159390905</v>
      </c>
      <c r="J141" s="8" t="n">
        <v>102.435655188035</v>
      </c>
      <c r="K141" s="8" t="n">
        <v>-11.8995208231831</v>
      </c>
      <c r="L141" s="8" t="n">
        <v>111.498689744988</v>
      </c>
      <c r="M141" s="8" t="n">
        <v>0.26342483406061</v>
      </c>
      <c r="N141" s="8" t="n">
        <v>0.0933333333333333</v>
      </c>
      <c r="O141" s="8" t="n">
        <v>0.02</v>
      </c>
      <c r="P141" s="8" t="n">
        <v>109.7</v>
      </c>
      <c r="Q141" s="8" t="n">
        <v>6.94439931108439</v>
      </c>
      <c r="R141" s="10" t="n">
        <v>0</v>
      </c>
      <c r="S141" s="7" t="inlineStr">
        <is>
          <t>High_Quality_Observed</t>
        </is>
      </c>
    </row>
    <row r="142" ht="19" customHeight="1">
      <c r="A142" s="6" t="inlineStr">
        <is>
          <t>Indonesia</t>
        </is>
      </c>
      <c r="B142" s="10" t="n">
        <v>2014</v>
      </c>
      <c r="C142" s="10" t="n">
        <v>3</v>
      </c>
      <c r="D142" s="6" t="inlineStr">
        <is>
          <t>2014 Q3</t>
        </is>
      </c>
      <c r="E142" s="8" t="n">
        <v>94.2576766666667</v>
      </c>
      <c r="F142" s="10" t="n">
        <v>4.35155376495944</v>
      </c>
      <c r="G142" s="10" t="n">
        <v>1.68114598533322</v>
      </c>
      <c r="H142" s="8" t="n">
        <v>4.94180870443662</v>
      </c>
      <c r="I142" s="8" t="n">
        <v>11.7668920020567</v>
      </c>
      <c r="J142" s="8" t="n">
        <v>103.244470290238</v>
      </c>
      <c r="K142" s="8" t="n">
        <v>-6.86558879065433</v>
      </c>
      <c r="L142" s="8" t="n">
        <v>104.211407968198</v>
      </c>
      <c r="M142" s="8" t="n">
        <v>-2.16511715802957</v>
      </c>
      <c r="N142" s="8" t="n">
        <v>0.09</v>
      </c>
      <c r="O142" s="8" t="n">
        <v>-0.0033333333333333</v>
      </c>
      <c r="P142" s="8" t="n">
        <v>101.823333333333</v>
      </c>
      <c r="Q142" s="8" t="n">
        <v>-7.65998609473715</v>
      </c>
      <c r="R142" s="10" t="n">
        <v>0</v>
      </c>
      <c r="S142" s="7" t="inlineStr">
        <is>
          <t>High_Quality_Observed</t>
        </is>
      </c>
    </row>
    <row r="143" ht="19" customHeight="1">
      <c r="A143" s="6" t="inlineStr">
        <is>
          <t>Indonesia</t>
        </is>
      </c>
      <c r="B143" s="10" t="n">
        <v>2014</v>
      </c>
      <c r="C143" s="10" t="n">
        <v>4</v>
      </c>
      <c r="D143" s="6" t="inlineStr">
        <is>
          <t>2014 Q4</t>
        </is>
      </c>
      <c r="E143" s="8" t="n">
        <v>96.75999666666669</v>
      </c>
      <c r="F143" s="10" t="n">
        <v>6.47578810994649</v>
      </c>
      <c r="G143" s="10" t="n">
        <v>2.65476520161771</v>
      </c>
      <c r="H143" s="8" t="n">
        <v>4.88377942109485</v>
      </c>
      <c r="I143" s="8" t="n">
        <v>10.8498985619906</v>
      </c>
      <c r="J143" s="8" t="n">
        <v>106.624082709753</v>
      </c>
      <c r="K143" s="8" t="n">
        <v>6.17640182160326</v>
      </c>
      <c r="L143" s="8" t="n">
        <v>99.4046630544031</v>
      </c>
      <c r="M143" s="8" t="n">
        <v>-7.9947393171137</v>
      </c>
      <c r="N143" s="8" t="n">
        <v>0.1</v>
      </c>
      <c r="O143" s="8" t="n">
        <v>0.01</v>
      </c>
      <c r="P143" s="8" t="n">
        <v>76.40333333333329</v>
      </c>
      <c r="Q143" s="8" t="n">
        <v>-30.0399841284376</v>
      </c>
      <c r="R143" s="10" t="n">
        <v>0</v>
      </c>
      <c r="S143" s="7" t="inlineStr">
        <is>
          <t>High_Quality_Observed</t>
        </is>
      </c>
    </row>
    <row r="144" ht="19" customHeight="1">
      <c r="A144" s="6" t="inlineStr">
        <is>
          <t>Indonesia</t>
        </is>
      </c>
      <c r="B144" s="10" t="n">
        <v>2015</v>
      </c>
      <c r="C144" s="10" t="n">
        <v>1</v>
      </c>
      <c r="D144" s="6" t="inlineStr">
        <is>
          <t>2015 Q1</t>
        </is>
      </c>
      <c r="E144" s="8" t="n">
        <v>98.39591666666669</v>
      </c>
      <c r="F144" s="10" t="n">
        <v>6.54298144609802</v>
      </c>
      <c r="G144" s="10" t="n">
        <v>1.69069869404364</v>
      </c>
      <c r="H144" s="8" t="n">
        <v>4.86159513594811</v>
      </c>
      <c r="I144" s="8" t="n">
        <v>9.587034701907729</v>
      </c>
      <c r="J144" s="8" t="n">
        <v>108.338102922705</v>
      </c>
      <c r="K144" s="8" t="n">
        <v>7.292554116694</v>
      </c>
      <c r="L144" s="8" t="n">
        <v>100.657732001964</v>
      </c>
      <c r="M144" s="8" t="n">
        <v>-8.4807283765489</v>
      </c>
      <c r="N144" s="8" t="n">
        <v>0.11</v>
      </c>
      <c r="O144" s="8" t="n">
        <v>0.01</v>
      </c>
      <c r="P144" s="8" t="n">
        <v>53.9166666666667</v>
      </c>
      <c r="Q144" s="8" t="n">
        <v>-50.1540832049307</v>
      </c>
      <c r="R144" s="10" t="n">
        <v>0</v>
      </c>
      <c r="S144" s="7" t="inlineStr">
        <is>
          <t>High_Quality_Observed</t>
        </is>
      </c>
    </row>
    <row r="145" ht="19" customHeight="1">
      <c r="A145" s="6" t="inlineStr">
        <is>
          <t>Indonesia</t>
        </is>
      </c>
      <c r="B145" s="10" t="n">
        <v>2015</v>
      </c>
      <c r="C145" s="10" t="n">
        <v>2</v>
      </c>
      <c r="D145" s="6" t="inlineStr">
        <is>
          <t>2015 Q2</t>
        </is>
      </c>
      <c r="E145" s="8" t="n">
        <v>99.24847333333329</v>
      </c>
      <c r="F145" s="10" t="n">
        <v>7.06500375047914</v>
      </c>
      <c r="G145" s="10" t="n">
        <v>0.866455332241944</v>
      </c>
      <c r="H145" s="8" t="n">
        <v>4.85861228715996</v>
      </c>
      <c r="I145" s="8" t="n">
        <v>8.84587162608261</v>
      </c>
      <c r="J145" s="8" t="n">
        <v>107.288911995918</v>
      </c>
      <c r="K145" s="8" t="n">
        <v>4.73785890174054</v>
      </c>
      <c r="L145" s="8" t="n">
        <v>96.8474817130345</v>
      </c>
      <c r="M145" s="8" t="n">
        <v>-13.1402513029193</v>
      </c>
      <c r="N145" s="8" t="n">
        <v>0.123333333333333</v>
      </c>
      <c r="O145" s="8" t="n">
        <v>0.0133333333333333</v>
      </c>
      <c r="P145" s="8" t="n">
        <v>61.6933333333333</v>
      </c>
      <c r="Q145" s="8" t="n">
        <v>-43.761774536615</v>
      </c>
      <c r="R145" s="10" t="n">
        <v>0</v>
      </c>
      <c r="S145" s="7" t="inlineStr">
        <is>
          <t>High_Quality_Observed</t>
        </is>
      </c>
    </row>
    <row r="146" ht="19" customHeight="1">
      <c r="A146" s="6" t="inlineStr">
        <is>
          <t>Indonesia</t>
        </is>
      </c>
      <c r="B146" s="10" t="n">
        <v>2015</v>
      </c>
      <c r="C146" s="10" t="n">
        <v>3</v>
      </c>
      <c r="D146" s="6" t="inlineStr">
        <is>
          <t>2015 Q3</t>
        </is>
      </c>
      <c r="E146" s="8" t="n">
        <v>100.939766666667</v>
      </c>
      <c r="F146" s="10" t="n">
        <v>7.08917324965539</v>
      </c>
      <c r="G146" s="10" t="n">
        <v>1.70410010001161</v>
      </c>
      <c r="H146" s="8" t="n">
        <v>4.87483087178886</v>
      </c>
      <c r="I146" s="8" t="n">
        <v>8.626408593327721</v>
      </c>
      <c r="J146" s="8" t="n">
        <v>104.801696297751</v>
      </c>
      <c r="K146" s="8" t="n">
        <v>1.50828998699397</v>
      </c>
      <c r="L146" s="8" t="n">
        <v>92.7459060049042</v>
      </c>
      <c r="M146" s="8" t="n">
        <v>-11.002156277164</v>
      </c>
      <c r="N146" s="8" t="n">
        <v>0.136666666666667</v>
      </c>
      <c r="O146" s="8" t="n">
        <v>0.0133333333333333</v>
      </c>
      <c r="P146" s="8" t="n">
        <v>50.2333333333333</v>
      </c>
      <c r="Q146" s="8" t="n">
        <v>-50.666186532229</v>
      </c>
      <c r="R146" s="10" t="n">
        <v>0</v>
      </c>
      <c r="S146" s="7" t="inlineStr">
        <is>
          <t>High_Quality_Observed</t>
        </is>
      </c>
    </row>
    <row r="147" ht="19" customHeight="1">
      <c r="A147" s="6" t="inlineStr">
        <is>
          <t>Indonesia</t>
        </is>
      </c>
      <c r="B147" s="10" t="n">
        <v>2015</v>
      </c>
      <c r="C147" s="10" t="n">
        <v>4</v>
      </c>
      <c r="D147" s="6" t="inlineStr">
        <is>
          <t>2015 Q4</t>
        </is>
      </c>
      <c r="E147" s="8" t="n">
        <v>101.415866666667</v>
      </c>
      <c r="F147" s="10" t="n">
        <v>4.81177155890076</v>
      </c>
      <c r="G147" s="10" t="n">
        <v>0.471667426745914</v>
      </c>
      <c r="H147" s="8" t="n">
        <v>4.91025090602472</v>
      </c>
      <c r="I147" s="8" t="n">
        <v>8.928645384194279</v>
      </c>
      <c r="J147" s="8" t="n">
        <v>107.077150048177</v>
      </c>
      <c r="K147" s="8" t="n">
        <v>0.42492026839438</v>
      </c>
      <c r="L147" s="8" t="n">
        <v>90.3005619231251</v>
      </c>
      <c r="M147" s="8" t="n">
        <v>-9.15862581446042</v>
      </c>
      <c r="N147" s="8" t="n">
        <v>0.16</v>
      </c>
      <c r="O147" s="8" t="n">
        <v>0.0233333333333333</v>
      </c>
      <c r="P147" s="8" t="n">
        <v>43.57</v>
      </c>
      <c r="Q147" s="8" t="n">
        <v>-42.9736922472842</v>
      </c>
      <c r="R147" s="10" t="n">
        <v>0</v>
      </c>
      <c r="S147" s="7" t="inlineStr">
        <is>
          <t>High_Quality_Observed</t>
        </is>
      </c>
    </row>
    <row r="148" ht="19" customHeight="1">
      <c r="A148" s="6" t="inlineStr">
        <is>
          <t>Indonesia</t>
        </is>
      </c>
      <c r="B148" s="10" t="n">
        <v>2016</v>
      </c>
      <c r="C148" s="10" t="n">
        <v>1</v>
      </c>
      <c r="D148" s="6" t="inlineStr">
        <is>
          <t>2016 Q1</t>
        </is>
      </c>
      <c r="E148" s="8" t="n">
        <v>102.661466666667</v>
      </c>
      <c r="F148" s="10" t="n">
        <v>4.33508843100705</v>
      </c>
      <c r="G148" s="10" t="n">
        <v>1.22821018144434</v>
      </c>
      <c r="H148" s="8" t="n">
        <v>4.96487242530073</v>
      </c>
      <c r="I148" s="8" t="n">
        <v>9.752582300913931</v>
      </c>
      <c r="J148" s="8" t="n">
        <v>109.866532019879</v>
      </c>
      <c r="K148" s="8" t="n">
        <v>1.41079551509664</v>
      </c>
      <c r="L148" s="8" t="n">
        <v>91.66230580090431</v>
      </c>
      <c r="M148" s="8" t="n">
        <v>-8.936647013747329</v>
      </c>
      <c r="N148" s="8" t="n">
        <v>0.36</v>
      </c>
      <c r="O148" s="8" t="n">
        <v>0.2</v>
      </c>
      <c r="P148" s="8" t="n">
        <v>33.6966666666667</v>
      </c>
      <c r="Q148" s="8" t="n">
        <v>-37.5023183925811</v>
      </c>
      <c r="R148" s="10" t="n">
        <v>0</v>
      </c>
      <c r="S148" s="7" t="inlineStr">
        <is>
          <t>High_Quality_Observed</t>
        </is>
      </c>
    </row>
    <row r="149" ht="19" customHeight="1">
      <c r="A149" s="6" t="inlineStr">
        <is>
          <t>Indonesia</t>
        </is>
      </c>
      <c r="B149" s="10" t="n">
        <v>2016</v>
      </c>
      <c r="C149" s="10" t="n">
        <v>2</v>
      </c>
      <c r="D149" s="6" t="inlineStr">
        <is>
          <t>2016 Q2</t>
        </is>
      </c>
      <c r="E149" s="8" t="n">
        <v>102.683633333333</v>
      </c>
      <c r="F149" s="10" t="n">
        <v>3.46117162776172</v>
      </c>
      <c r="G149" s="10" t="n">
        <v>0.0215920027118122</v>
      </c>
      <c r="H149" s="8" t="n">
        <v>5.01399971199979</v>
      </c>
      <c r="I149" s="8" t="n">
        <v>10.1925234938782</v>
      </c>
      <c r="J149" s="8" t="n">
        <v>108.609714207301</v>
      </c>
      <c r="K149" s="8" t="n">
        <v>1.23107056154421</v>
      </c>
      <c r="L149" s="8" t="n">
        <v>96.9846126235507</v>
      </c>
      <c r="M149" s="8" t="n">
        <v>0.141594709630688</v>
      </c>
      <c r="N149" s="8" t="n">
        <v>0.373333333333333</v>
      </c>
      <c r="O149" s="8" t="n">
        <v>0.0133333333333334</v>
      </c>
      <c r="P149" s="8" t="n">
        <v>45.5233333333333</v>
      </c>
      <c r="Q149" s="8" t="n">
        <v>-26.2102874432678</v>
      </c>
      <c r="R149" s="10" t="n">
        <v>0</v>
      </c>
      <c r="S149" s="7" t="inlineStr">
        <is>
          <t>High_Quality_Observed</t>
        </is>
      </c>
    </row>
    <row r="150" ht="19" customHeight="1">
      <c r="A150" s="6" t="inlineStr">
        <is>
          <t>Indonesia</t>
        </is>
      </c>
      <c r="B150" s="10" t="n">
        <v>2016</v>
      </c>
      <c r="C150" s="10" t="n">
        <v>3</v>
      </c>
      <c r="D150" s="6" t="inlineStr">
        <is>
          <t>2016 Q3</t>
        </is>
      </c>
      <c r="E150" s="8" t="n">
        <v>103.992933333333</v>
      </c>
      <c r="F150" s="10" t="n">
        <v>3.02474115751539</v>
      </c>
      <c r="G150" s="10" t="n">
        <v>1.27508148815665</v>
      </c>
      <c r="H150" s="8" t="n">
        <v>5.05763281525122</v>
      </c>
      <c r="I150" s="8" t="n">
        <v>10.2484694029952</v>
      </c>
      <c r="J150" s="8" t="n">
        <v>110.16495844208</v>
      </c>
      <c r="K150" s="8" t="n">
        <v>5.11753371728947</v>
      </c>
      <c r="L150" s="8" t="n">
        <v>100.864699533998</v>
      </c>
      <c r="M150" s="8" t="n">
        <v>8.75380259767431</v>
      </c>
      <c r="N150" s="8" t="n">
        <v>0.396666666666667</v>
      </c>
      <c r="O150" s="8" t="n">
        <v>0.0233333333333333</v>
      </c>
      <c r="P150" s="8" t="n">
        <v>45.7866666666667</v>
      </c>
      <c r="Q150" s="8" t="n">
        <v>-8.852023888520231</v>
      </c>
      <c r="R150" s="10" t="n">
        <v>0</v>
      </c>
      <c r="S150" s="7" t="inlineStr">
        <is>
          <t>High_Quality_Observed</t>
        </is>
      </c>
    </row>
    <row r="151" ht="19" customHeight="1">
      <c r="A151" s="6" t="inlineStr">
        <is>
          <t>Indonesia</t>
        </is>
      </c>
      <c r="B151" s="10" t="n">
        <v>2016</v>
      </c>
      <c r="C151" s="10" t="n">
        <v>4</v>
      </c>
      <c r="D151" s="6" t="inlineStr">
        <is>
          <t>2016 Q4</t>
        </is>
      </c>
      <c r="E151" s="8" t="n">
        <v>104.7652</v>
      </c>
      <c r="F151" s="10" t="n">
        <v>3.30257329885266</v>
      </c>
      <c r="G151" s="10" t="n">
        <v>0.74261456227156</v>
      </c>
      <c r="H151" s="8" t="n">
        <v>5.0957717786572</v>
      </c>
      <c r="I151" s="8" t="n">
        <v>9.92042008426222</v>
      </c>
      <c r="J151" s="8" t="n">
        <v>113.210845679749</v>
      </c>
      <c r="K151" s="8" t="n">
        <v>5.72829555961569</v>
      </c>
      <c r="L151" s="8" t="n">
        <v>101.835604997953</v>
      </c>
      <c r="M151" s="8" t="n">
        <v>12.7740545896579</v>
      </c>
      <c r="N151" s="8" t="n">
        <v>0.45</v>
      </c>
      <c r="O151" s="8" t="n">
        <v>0.0533333333333333</v>
      </c>
      <c r="P151" s="8" t="n">
        <v>49.1866666666667</v>
      </c>
      <c r="Q151" s="8" t="n">
        <v>12.8911330426134</v>
      </c>
      <c r="R151" s="10" t="n">
        <v>0</v>
      </c>
      <c r="S151" s="7" t="inlineStr">
        <is>
          <t>High_Quality_Observed</t>
        </is>
      </c>
    </row>
    <row r="152" ht="19" customHeight="1">
      <c r="A152" s="6" t="inlineStr">
        <is>
          <t>Indonesia</t>
        </is>
      </c>
      <c r="B152" s="10" t="n">
        <v>2017</v>
      </c>
      <c r="C152" s="10" t="n">
        <v>1</v>
      </c>
      <c r="D152" s="6" t="inlineStr">
        <is>
          <t>2017 Q1</t>
        </is>
      </c>
      <c r="E152" s="8" t="n">
        <v>106.4039</v>
      </c>
      <c r="F152" s="10" t="n">
        <v>3.64541191047338</v>
      </c>
      <c r="G152" s="10" t="n">
        <v>1.56416443628227</v>
      </c>
      <c r="H152" s="8" t="n">
        <v>5.12841664039779</v>
      </c>
      <c r="I152" s="8" t="n">
        <v>9.20837520957148</v>
      </c>
      <c r="J152" s="8" t="n">
        <v>114.288729897149</v>
      </c>
      <c r="K152" s="8" t="n">
        <v>4.02506368042084</v>
      </c>
      <c r="L152" s="8" t="n">
        <v>100.125779631695</v>
      </c>
      <c r="M152" s="8" t="n">
        <v>9.23331980015236</v>
      </c>
      <c r="N152" s="8" t="n">
        <v>0.7</v>
      </c>
      <c r="O152" s="8" t="n">
        <v>0.25</v>
      </c>
      <c r="P152" s="8" t="n">
        <v>53.68</v>
      </c>
      <c r="Q152" s="8" t="n">
        <v>59.30359085963</v>
      </c>
      <c r="R152" s="10" t="n">
        <v>0</v>
      </c>
      <c r="S152" s="7" t="inlineStr">
        <is>
          <t>High_Quality_Observed</t>
        </is>
      </c>
    </row>
    <row r="153" ht="19" customHeight="1">
      <c r="A153" s="6" t="inlineStr">
        <is>
          <t>Indonesia</t>
        </is>
      </c>
      <c r="B153" s="10" t="n">
        <v>2017</v>
      </c>
      <c r="C153" s="10" t="n">
        <v>2</v>
      </c>
      <c r="D153" s="6" t="inlineStr">
        <is>
          <t>2017 Q2</t>
        </is>
      </c>
      <c r="E153" s="8" t="n">
        <v>107.090366666667</v>
      </c>
      <c r="F153" s="10" t="n">
        <v>4.29156350460265</v>
      </c>
      <c r="G153" s="10" t="n">
        <v>0.645151791115417</v>
      </c>
      <c r="H153" s="8" t="n">
        <v>5.11802229896247</v>
      </c>
      <c r="I153" s="8" t="n">
        <v>8.55041873113203</v>
      </c>
      <c r="J153" s="8" t="n">
        <v>113.421366365721</v>
      </c>
      <c r="K153" s="8" t="n">
        <v>4.43022264954733</v>
      </c>
      <c r="L153" s="8" t="n">
        <v>99.4605526807123</v>
      </c>
      <c r="M153" s="8" t="n">
        <v>2.55292049963849</v>
      </c>
      <c r="N153" s="8" t="n">
        <v>0.95</v>
      </c>
      <c r="O153" s="8" t="n">
        <v>0.25</v>
      </c>
      <c r="P153" s="8" t="n">
        <v>49.67</v>
      </c>
      <c r="Q153" s="8" t="n">
        <v>9.10888189207</v>
      </c>
      <c r="R153" s="10" t="n">
        <v>0</v>
      </c>
      <c r="S153" s="7" t="inlineStr">
        <is>
          <t>High_Quality_Observed</t>
        </is>
      </c>
    </row>
    <row r="154" ht="19" customHeight="1">
      <c r="A154" s="6" t="inlineStr">
        <is>
          <t>Indonesia</t>
        </is>
      </c>
      <c r="B154" s="10" t="n">
        <v>2017</v>
      </c>
      <c r="C154" s="10" t="n">
        <v>3</v>
      </c>
      <c r="D154" s="6" t="inlineStr">
        <is>
          <t>2017 Q3</t>
        </is>
      </c>
      <c r="E154" s="8" t="n">
        <v>107.951233333333</v>
      </c>
      <c r="F154" s="10" t="n">
        <v>3.80631632662221</v>
      </c>
      <c r="G154" s="10" t="n">
        <v>0.803869380096756</v>
      </c>
      <c r="H154" s="8" t="n">
        <v>5.06458874398906</v>
      </c>
      <c r="I154" s="8" t="n">
        <v>7.94654999100543</v>
      </c>
      <c r="J154" s="8" t="n">
        <v>111.051760027838</v>
      </c>
      <c r="K154" s="8" t="n">
        <v>0.804976099749921</v>
      </c>
      <c r="L154" s="8" t="n">
        <v>102.480667511988</v>
      </c>
      <c r="M154" s="8" t="n">
        <v>1.60211450136303</v>
      </c>
      <c r="N154" s="8" t="n">
        <v>1.15333333333333</v>
      </c>
      <c r="O154" s="8" t="n">
        <v>0.203333333333333</v>
      </c>
      <c r="P154" s="8" t="n">
        <v>52.11</v>
      </c>
      <c r="Q154" s="8" t="n">
        <v>13.8104251601631</v>
      </c>
      <c r="R154" s="10" t="n">
        <v>0</v>
      </c>
      <c r="S154" s="7" t="inlineStr">
        <is>
          <t>High_Quality_Observed</t>
        </is>
      </c>
    </row>
    <row r="155" ht="19" customHeight="1">
      <c r="A155" s="6" t="inlineStr">
        <is>
          <t>Indonesia</t>
        </is>
      </c>
      <c r="B155" s="10" t="n">
        <v>2017</v>
      </c>
      <c r="C155" s="10" t="n">
        <v>4</v>
      </c>
      <c r="D155" s="6" t="inlineStr">
        <is>
          <t>2017 Q4</t>
        </is>
      </c>
      <c r="E155" s="8" t="n">
        <v>108.430066666667</v>
      </c>
      <c r="F155" s="10" t="n">
        <v>3.4981717847784</v>
      </c>
      <c r="G155" s="10" t="n">
        <v>0.443564486062686</v>
      </c>
      <c r="H155" s="8" t="n">
        <v>4.96811592200967</v>
      </c>
      <c r="I155" s="8" t="n">
        <v>7.39676838530369</v>
      </c>
      <c r="J155" s="8" t="n">
        <v>109.705911392754</v>
      </c>
      <c r="K155" s="8" t="n">
        <v>-3.09593508108801</v>
      </c>
      <c r="L155" s="8" t="n">
        <v>100.792675769869</v>
      </c>
      <c r="M155" s="8" t="n">
        <v>-1.0241302421728</v>
      </c>
      <c r="N155" s="8" t="n">
        <v>1.20333333333333</v>
      </c>
      <c r="O155" s="8" t="n">
        <v>0.05</v>
      </c>
      <c r="P155" s="8" t="n">
        <v>61.53</v>
      </c>
      <c r="Q155" s="8" t="n">
        <v>25.0948766603416</v>
      </c>
      <c r="R155" s="10" t="n">
        <v>0</v>
      </c>
      <c r="S155" s="7" t="inlineStr">
        <is>
          <t>High_Quality_Observed</t>
        </is>
      </c>
    </row>
    <row r="156" ht="19" customHeight="1">
      <c r="A156" s="6" t="inlineStr">
        <is>
          <t>Indonesia</t>
        </is>
      </c>
      <c r="B156" s="10" t="n">
        <v>2018</v>
      </c>
      <c r="C156" s="10" t="n">
        <v>1</v>
      </c>
      <c r="D156" s="6" t="inlineStr">
        <is>
          <t>2018 Q1</t>
        </is>
      </c>
      <c r="E156" s="8" t="n">
        <v>109.891666666667</v>
      </c>
      <c r="F156" s="10" t="n">
        <v>3.27785604349715</v>
      </c>
      <c r="G156" s="10" t="n">
        <v>1.34796560117703</v>
      </c>
      <c r="H156" s="8" t="n">
        <v>4.82860373656148</v>
      </c>
      <c r="I156" s="8" t="n">
        <v>6.90107336424564</v>
      </c>
      <c r="J156" s="8" t="n">
        <v>106.724717971135</v>
      </c>
      <c r="K156" s="8" t="n">
        <v>-6.61833579988234</v>
      </c>
      <c r="L156" s="8" t="n">
        <v>96.02404012089779</v>
      </c>
      <c r="M156" s="8" t="n">
        <v>-4.09658683895945</v>
      </c>
      <c r="N156" s="8" t="n">
        <v>1.44666666666667</v>
      </c>
      <c r="O156" s="8" t="n">
        <v>0.243333333333333</v>
      </c>
      <c r="P156" s="8" t="n">
        <v>66.8066666666667</v>
      </c>
      <c r="Q156" s="8" t="n">
        <v>24.4535519125683</v>
      </c>
      <c r="R156" s="10" t="n">
        <v>0</v>
      </c>
      <c r="S156" s="7" t="inlineStr">
        <is>
          <t>High_Quality_Observed</t>
        </is>
      </c>
    </row>
    <row r="157" ht="19" customHeight="1">
      <c r="A157" s="6" t="inlineStr">
        <is>
          <t>Indonesia</t>
        </is>
      </c>
      <c r="B157" s="10" t="n">
        <v>2018</v>
      </c>
      <c r="C157" s="10" t="n">
        <v>2</v>
      </c>
      <c r="D157" s="6" t="inlineStr">
        <is>
          <t>2018 Q2</t>
        </is>
      </c>
      <c r="E157" s="8" t="n">
        <v>110.575333333333</v>
      </c>
      <c r="F157" s="10" t="n">
        <v>3.25422983891175</v>
      </c>
      <c r="G157" s="10" t="n">
        <v>0.622127853188736</v>
      </c>
      <c r="H157" s="8" t="n">
        <v>4.91107392013289</v>
      </c>
      <c r="I157" s="8" t="n">
        <v>6.45848187560665</v>
      </c>
      <c r="J157" s="8" t="n">
        <v>105.946208799285</v>
      </c>
      <c r="K157" s="8" t="n">
        <v>-6.59060793037232</v>
      </c>
      <c r="L157" s="8" t="n">
        <v>96.1737638878632</v>
      </c>
      <c r="M157" s="8" t="n">
        <v>-3.30461545231933</v>
      </c>
      <c r="N157" s="8" t="n">
        <v>1.73666666666667</v>
      </c>
      <c r="O157" s="8" t="n">
        <v>0.29</v>
      </c>
      <c r="P157" s="8" t="n">
        <v>74.5</v>
      </c>
      <c r="Q157" s="8" t="n">
        <v>49.9899335615059</v>
      </c>
      <c r="R157" s="10" t="n">
        <v>0</v>
      </c>
      <c r="S157" s="7" t="inlineStr">
        <is>
          <t>High_Quality_Observed</t>
        </is>
      </c>
    </row>
    <row r="158" ht="19" customHeight="1">
      <c r="A158" s="6" t="inlineStr">
        <is>
          <t>Indonesia</t>
        </is>
      </c>
      <c r="B158" s="10" t="n">
        <v>2018</v>
      </c>
      <c r="C158" s="10" t="n">
        <v>3</v>
      </c>
      <c r="D158" s="6" t="inlineStr">
        <is>
          <t>2018 Q3</t>
        </is>
      </c>
      <c r="E158" s="8" t="n">
        <v>111.286733333333</v>
      </c>
      <c r="F158" s="10" t="n">
        <v>3.08982111366953</v>
      </c>
      <c r="G158" s="10" t="n">
        <v>0.643362292976724</v>
      </c>
      <c r="H158" s="8" t="n">
        <v>5.21552655522892</v>
      </c>
      <c r="I158" s="8" t="n">
        <v>6.06899347678964</v>
      </c>
      <c r="J158" s="8" t="n">
        <v>103.938345622621</v>
      </c>
      <c r="K158" s="8" t="n">
        <v>-6.40549452204393</v>
      </c>
      <c r="L158" s="8" t="n">
        <v>93.2694805076009</v>
      </c>
      <c r="M158" s="8" t="n">
        <v>-8.98821917149397</v>
      </c>
      <c r="N158" s="8" t="n">
        <v>1.92333333333333</v>
      </c>
      <c r="O158" s="8" t="n">
        <v>0.186666666666667</v>
      </c>
      <c r="P158" s="8" t="n">
        <v>75.2233333333333</v>
      </c>
      <c r="Q158" s="8" t="n">
        <v>44.3548902961683</v>
      </c>
      <c r="R158" s="10" t="n">
        <v>0</v>
      </c>
      <c r="S158" s="7" t="inlineStr">
        <is>
          <t>High_Quality_Observed</t>
        </is>
      </c>
    </row>
    <row r="159" ht="19" customHeight="1">
      <c r="A159" s="6" t="inlineStr">
        <is>
          <t>Indonesia</t>
        </is>
      </c>
      <c r="B159" s="10" t="n">
        <v>2018</v>
      </c>
      <c r="C159" s="10" t="n">
        <v>4</v>
      </c>
      <c r="D159" s="6" t="inlineStr">
        <is>
          <t>2018 Q4</t>
        </is>
      </c>
      <c r="E159" s="8" t="n">
        <v>111.870766666667</v>
      </c>
      <c r="F159" s="10" t="n">
        <v>3.17319734809103</v>
      </c>
      <c r="G159" s="10" t="n">
        <v>0.524800500329192</v>
      </c>
      <c r="H159" s="8" t="n">
        <v>5.7419619462532</v>
      </c>
      <c r="I159" s="8" t="n">
        <v>5.73260777830029</v>
      </c>
      <c r="J159" s="8" t="n">
        <v>104.354701002112</v>
      </c>
      <c r="K159" s="8" t="n">
        <v>-4.87777761718202</v>
      </c>
      <c r="L159" s="8" t="n">
        <v>90.7369363173618</v>
      </c>
      <c r="M159" s="8" t="n">
        <v>-9.976656910534739</v>
      </c>
      <c r="N159" s="8" t="n">
        <v>2.22</v>
      </c>
      <c r="O159" s="8" t="n">
        <v>0.296666666666667</v>
      </c>
      <c r="P159" s="8" t="n">
        <v>67.7133333333333</v>
      </c>
      <c r="Q159" s="8" t="n">
        <v>10.0492984452029</v>
      </c>
      <c r="R159" s="10" t="n">
        <v>0</v>
      </c>
      <c r="S159" s="7" t="inlineStr">
        <is>
          <t>High_Quality_Observed</t>
        </is>
      </c>
    </row>
    <row r="160" ht="19" customHeight="1">
      <c r="A160" s="6" t="inlineStr">
        <is>
          <t>Indonesia</t>
        </is>
      </c>
      <c r="B160" s="10" t="n">
        <v>2019</v>
      </c>
      <c r="C160" s="10" t="n">
        <v>1</v>
      </c>
      <c r="D160" s="6" t="inlineStr">
        <is>
          <t>2019 Q1</t>
        </is>
      </c>
      <c r="E160" s="8" t="n">
        <v>112.775933333333</v>
      </c>
      <c r="F160" s="10" t="n">
        <v>2.62464548418897</v>
      </c>
      <c r="G160" s="10" t="n">
        <v>0.809118140187337</v>
      </c>
      <c r="H160" s="8" t="n">
        <v>6.49038061970444</v>
      </c>
      <c r="I160" s="8" t="n">
        <v>5.44932444377251</v>
      </c>
      <c r="J160" s="8" t="n">
        <v>108.655234391625</v>
      </c>
      <c r="K160" s="8" t="n">
        <v>1.80887469856024</v>
      </c>
      <c r="L160" s="8" t="n">
        <v>93.8324987094736</v>
      </c>
      <c r="M160" s="8" t="n">
        <v>-2.2822841120463</v>
      </c>
      <c r="N160" s="8" t="n">
        <v>2.40333333333333</v>
      </c>
      <c r="O160" s="8" t="n">
        <v>0.183333333333333</v>
      </c>
      <c r="P160" s="8" t="n">
        <v>63.17</v>
      </c>
      <c r="Q160" s="8" t="n">
        <v>-5.4435685061371</v>
      </c>
      <c r="R160" s="10" t="n">
        <v>0</v>
      </c>
      <c r="S160" s="7" t="inlineStr">
        <is>
          <t>High_Quality_Observed</t>
        </is>
      </c>
    </row>
    <row r="161" ht="19" customHeight="1">
      <c r="A161" s="6" t="inlineStr">
        <is>
          <t>Indonesia</t>
        </is>
      </c>
      <c r="B161" s="10" t="n">
        <v>2019</v>
      </c>
      <c r="C161" s="10" t="n">
        <v>2</v>
      </c>
      <c r="D161" s="6" t="inlineStr">
        <is>
          <t>2019 Q2</t>
        </is>
      </c>
      <c r="E161" s="8" t="n">
        <v>114.052033333333</v>
      </c>
      <c r="F161" s="10" t="n">
        <v>3.14419129040233</v>
      </c>
      <c r="G161" s="10" t="n">
        <v>1.13153574728415</v>
      </c>
      <c r="H161" s="8" t="n">
        <v>6.20131116166554</v>
      </c>
      <c r="I161" s="8" t="n">
        <v>5.77244306276484</v>
      </c>
      <c r="J161" s="8" t="n">
        <v>109.128396260806</v>
      </c>
      <c r="K161" s="8" t="n">
        <v>3.003587856125</v>
      </c>
      <c r="L161" s="8" t="n">
        <v>94.8842784155444</v>
      </c>
      <c r="M161" s="8" t="n">
        <v>-1.34078715461562</v>
      </c>
      <c r="N161" s="8" t="n">
        <v>2.39666666666667</v>
      </c>
      <c r="O161" s="8" t="n">
        <v>-0.0066666666666668</v>
      </c>
      <c r="P161" s="8" t="n">
        <v>68.9233333333333</v>
      </c>
      <c r="Q161" s="8" t="n">
        <v>-7.48545861297539</v>
      </c>
      <c r="R161" s="10" t="n">
        <v>0</v>
      </c>
      <c r="S161" s="7" t="inlineStr">
        <is>
          <t>High_Quality_Observed</t>
        </is>
      </c>
    </row>
    <row r="162" ht="19" customHeight="1">
      <c r="A162" s="6" t="inlineStr">
        <is>
          <t>Indonesia</t>
        </is>
      </c>
      <c r="B162" s="10" t="n">
        <v>2019</v>
      </c>
      <c r="C162" s="10" t="n">
        <v>3</v>
      </c>
      <c r="D162" s="6" t="inlineStr">
        <is>
          <t>2019 Q3</t>
        </is>
      </c>
      <c r="E162" s="8" t="n">
        <v>115.070666666667</v>
      </c>
      <c r="F162" s="10" t="n">
        <v>3.4001656980976</v>
      </c>
      <c r="G162" s="10" t="n">
        <v>0.893130357751915</v>
      </c>
      <c r="H162" s="8" t="n">
        <v>4.87475328307813</v>
      </c>
      <c r="I162" s="8" t="n">
        <v>6.70196395842294</v>
      </c>
      <c r="J162" s="8" t="n">
        <v>111.113888239047</v>
      </c>
      <c r="K162" s="8" t="n">
        <v>6.90365290446213</v>
      </c>
      <c r="L162" s="8" t="n">
        <v>94.5983508132319</v>
      </c>
      <c r="M162" s="8" t="n">
        <v>1.42476434777905</v>
      </c>
      <c r="N162" s="8" t="n">
        <v>2.19</v>
      </c>
      <c r="O162" s="8" t="n">
        <v>-0.206666666666667</v>
      </c>
      <c r="P162" s="8" t="n">
        <v>61.93</v>
      </c>
      <c r="Q162" s="8" t="n">
        <v>-17.6718216865334</v>
      </c>
      <c r="R162" s="10" t="n">
        <v>0</v>
      </c>
      <c r="S162" s="7" t="inlineStr">
        <is>
          <t>High_Quality_Observed</t>
        </is>
      </c>
    </row>
    <row r="163" ht="19" customHeight="1">
      <c r="A163" s="6" t="inlineStr">
        <is>
          <t>Indonesia</t>
        </is>
      </c>
      <c r="B163" s="10" t="n">
        <v>2019</v>
      </c>
      <c r="C163" s="10" t="n">
        <v>4</v>
      </c>
      <c r="D163" s="6" t="inlineStr">
        <is>
          <t>2019 Q4</t>
        </is>
      </c>
      <c r="E163" s="8" t="n">
        <v>115.170333333333</v>
      </c>
      <c r="F163" s="10" t="n">
        <v>2.94944493989047</v>
      </c>
      <c r="G163" s="10" t="n">
        <v>0.086613443333361</v>
      </c>
      <c r="H163" s="8" t="n">
        <v>2.51070565739451</v>
      </c>
      <c r="I163" s="8" t="n">
        <v>8.23788806023297</v>
      </c>
      <c r="J163" s="8" t="n">
        <v>111.479790617269</v>
      </c>
      <c r="K163" s="8" t="n">
        <v>6.82776103686236</v>
      </c>
      <c r="L163" s="8" t="n">
        <v>98.5900431134575</v>
      </c>
      <c r="M163" s="8" t="n">
        <v>8.654807088293911</v>
      </c>
      <c r="N163" s="8" t="n">
        <v>1.64333333333333</v>
      </c>
      <c r="O163" s="8" t="n">
        <v>-0.546666666666667</v>
      </c>
      <c r="P163" s="8" t="n">
        <v>63.41</v>
      </c>
      <c r="Q163" s="8" t="n">
        <v>-6.35522299891701</v>
      </c>
      <c r="R163" s="10" t="n">
        <v>0</v>
      </c>
      <c r="S163" s="7" t="inlineStr">
        <is>
          <t>High_Quality_Observed</t>
        </is>
      </c>
    </row>
    <row r="164" ht="19" customHeight="1">
      <c r="A164" s="6" t="inlineStr">
        <is>
          <t>Indonesia</t>
        </is>
      </c>
      <c r="B164" s="10" t="n">
        <v>2020</v>
      </c>
      <c r="C164" s="10" t="n">
        <v>1</v>
      </c>
      <c r="D164" s="6" t="inlineStr">
        <is>
          <t>2020 Q1</t>
        </is>
      </c>
      <c r="E164" s="8" t="n">
        <v>116.069666666667</v>
      </c>
      <c r="F164" s="10" t="n">
        <v>2.92059948960741</v>
      </c>
      <c r="G164" s="10" t="n">
        <v>0.78087238901221</v>
      </c>
      <c r="H164" s="8" t="n">
        <v>-0.890834079423425</v>
      </c>
      <c r="I164" s="8" t="n">
        <v>10.3802169041525</v>
      </c>
      <c r="J164" s="8" t="n">
        <v>111.309392674559</v>
      </c>
      <c r="K164" s="8" t="n">
        <v>2.44273393527281</v>
      </c>
      <c r="L164" s="8" t="n">
        <v>101.264856657347</v>
      </c>
      <c r="M164" s="8" t="n">
        <v>7.92087821393919</v>
      </c>
      <c r="N164" s="8" t="n">
        <v>1.26</v>
      </c>
      <c r="O164" s="8" t="n">
        <v>-0.383333333333333</v>
      </c>
      <c r="P164" s="8" t="n">
        <v>50.44</v>
      </c>
      <c r="Q164" s="8" t="n">
        <v>-20.1519708722495</v>
      </c>
      <c r="R164" s="10" t="n">
        <v>0</v>
      </c>
      <c r="S164" s="7" t="inlineStr">
        <is>
          <t>High_Quality_Observed</t>
        </is>
      </c>
    </row>
    <row r="165" ht="19" customHeight="1">
      <c r="A165" s="6" t="inlineStr">
        <is>
          <t>Indonesia</t>
        </is>
      </c>
      <c r="B165" s="10" t="n">
        <v>2020</v>
      </c>
      <c r="C165" s="10" t="n">
        <v>2</v>
      </c>
      <c r="D165" s="6" t="inlineStr">
        <is>
          <t>2020 Q2</t>
        </is>
      </c>
      <c r="E165" s="8" t="n">
        <v>116.4619</v>
      </c>
      <c r="F165" s="10" t="n">
        <v>2.11295370738678</v>
      </c>
      <c r="G165" s="10" t="n">
        <v>0.337929232156542</v>
      </c>
      <c r="H165" s="8" t="n">
        <v>-2.72132031601471</v>
      </c>
      <c r="I165" s="8" t="n">
        <v>12.0985252121044</v>
      </c>
      <c r="J165" s="8" t="n">
        <v>107.801508102116</v>
      </c>
      <c r="K165" s="8" t="n">
        <v>-1.21589632410477</v>
      </c>
      <c r="L165" s="8" t="n">
        <v>94.2610802411244</v>
      </c>
      <c r="M165" s="8" t="n">
        <v>-0.656798138560644</v>
      </c>
      <c r="N165" s="8" t="n">
        <v>0.06</v>
      </c>
      <c r="O165" s="8" t="n">
        <v>-1.2</v>
      </c>
      <c r="P165" s="8" t="n">
        <v>29.3433333333333</v>
      </c>
      <c r="Q165" s="8" t="n">
        <v>-57.426125646854</v>
      </c>
      <c r="R165" s="10" t="n">
        <v>0</v>
      </c>
      <c r="S165" s="7" t="inlineStr">
        <is>
          <t>High_Quality_Observed</t>
        </is>
      </c>
    </row>
    <row r="166" ht="19" customHeight="1">
      <c r="A166" s="6" t="inlineStr">
        <is>
          <t>Indonesia</t>
        </is>
      </c>
      <c r="B166" s="10" t="n">
        <v>2020</v>
      </c>
      <c r="C166" s="10" t="n">
        <v>3</v>
      </c>
      <c r="D166" s="6" t="inlineStr">
        <is>
          <t>2020 Q3</t>
        </is>
      </c>
      <c r="E166" s="8" t="n">
        <v>116.4508</v>
      </c>
      <c r="F166" s="10" t="n">
        <v>1.19937893236619</v>
      </c>
      <c r="G166" s="10" t="n">
        <v>-0.0095310140054372</v>
      </c>
      <c r="H166" s="8" t="n">
        <v>-2.98075488276129</v>
      </c>
      <c r="I166" s="8" t="n">
        <v>13.3928147023938</v>
      </c>
      <c r="J166" s="8" t="n">
        <v>106.150979090589</v>
      </c>
      <c r="K166" s="8" t="n">
        <v>-4.46650659707045</v>
      </c>
      <c r="L166" s="8" t="n">
        <v>97.88852553233011</v>
      </c>
      <c r="M166" s="8" t="n">
        <v>3.47804659469599</v>
      </c>
      <c r="N166" s="8" t="n">
        <v>0.0933333333333333</v>
      </c>
      <c r="O166" s="8" t="n">
        <v>0.0333333333333333</v>
      </c>
      <c r="P166" s="8" t="n">
        <v>42.9633333333333</v>
      </c>
      <c r="Q166" s="8" t="n">
        <v>-30.6259755638086</v>
      </c>
      <c r="R166" s="10" t="n">
        <v>0</v>
      </c>
      <c r="S166" s="7" t="inlineStr">
        <is>
          <t>High_Quality_Observed</t>
        </is>
      </c>
    </row>
    <row r="167" ht="19" customHeight="1">
      <c r="A167" s="6" t="inlineStr">
        <is>
          <t>Indonesia</t>
        </is>
      </c>
      <c r="B167" s="10" t="n">
        <v>2020</v>
      </c>
      <c r="C167" s="10" t="n">
        <v>4</v>
      </c>
      <c r="D167" s="6" t="inlineStr">
        <is>
          <t>2020 Q4</t>
        </is>
      </c>
      <c r="E167" s="8" t="n">
        <v>116.861533333333</v>
      </c>
      <c r="F167" s="10" t="n">
        <v>1.46843371122771</v>
      </c>
      <c r="G167" s="10" t="n">
        <v>0.352709756681202</v>
      </c>
      <c r="H167" s="8" t="n">
        <v>-1.66913803918228</v>
      </c>
      <c r="I167" s="8" t="n">
        <v>14.2630866693458</v>
      </c>
      <c r="J167" s="8" t="n">
        <v>106.928084289912</v>
      </c>
      <c r="K167" s="8" t="n">
        <v>-4.08298786906022</v>
      </c>
      <c r="L167" s="8" t="n">
        <v>107.405441783652</v>
      </c>
      <c r="M167" s="8" t="n">
        <v>8.9414695356711</v>
      </c>
      <c r="N167" s="8" t="n">
        <v>0.09</v>
      </c>
      <c r="O167" s="8" t="n">
        <v>-0.0033333333333333</v>
      </c>
      <c r="P167" s="8" t="n">
        <v>44.29</v>
      </c>
      <c r="Q167" s="8" t="n">
        <v>-30.152972717237</v>
      </c>
      <c r="R167" s="10" t="n">
        <v>0</v>
      </c>
      <c r="S167" s="7" t="inlineStr">
        <is>
          <t>High_Quality_Observed</t>
        </is>
      </c>
    </row>
    <row r="168" ht="19" customHeight="1">
      <c r="A168" s="6" t="inlineStr">
        <is>
          <t>Indonesia</t>
        </is>
      </c>
      <c r="B168" s="10" t="n">
        <v>2021</v>
      </c>
      <c r="C168" s="10" t="n">
        <v>1</v>
      </c>
      <c r="D168" s="6" t="inlineStr">
        <is>
          <t>2021 Q1</t>
        </is>
      </c>
      <c r="E168" s="8" t="n">
        <v>117.7311</v>
      </c>
      <c r="F168" s="10" t="n">
        <v>1.43141044602524</v>
      </c>
      <c r="G168" s="10" t="n">
        <v>0.744099997546965</v>
      </c>
      <c r="H168" s="8" t="n">
        <v>1.21353152635758</v>
      </c>
      <c r="I168" s="8" t="n">
        <v>14.7093419831961</v>
      </c>
      <c r="J168" s="8" t="n">
        <v>107.257553279899</v>
      </c>
      <c r="K168" s="8" t="n">
        <v>-3.64015946660197</v>
      </c>
      <c r="L168" s="8" t="n">
        <v>106.418456967928</v>
      </c>
      <c r="M168" s="8" t="n">
        <v>5.08922886053087</v>
      </c>
      <c r="N168" s="8" t="n">
        <v>0.08</v>
      </c>
      <c r="O168" s="8" t="n">
        <v>-0.01</v>
      </c>
      <c r="P168" s="8" t="n">
        <v>60.82</v>
      </c>
      <c r="Q168" s="8" t="n">
        <v>20.578905630452</v>
      </c>
      <c r="R168" s="10" t="n">
        <v>0</v>
      </c>
      <c r="S168" s="7" t="inlineStr">
        <is>
          <t>High_Quality_Observed</t>
        </is>
      </c>
    </row>
    <row r="169" ht="19" customHeight="1">
      <c r="A169" s="6" t="inlineStr">
        <is>
          <t>Indonesia</t>
        </is>
      </c>
      <c r="B169" s="10" t="n">
        <v>2021</v>
      </c>
      <c r="C169" s="10" t="n">
        <v>2</v>
      </c>
      <c r="D169" s="6" t="inlineStr">
        <is>
          <t>2021 Q2</t>
        </is>
      </c>
      <c r="E169" s="8" t="n">
        <v>118.1826</v>
      </c>
      <c r="F169" s="10" t="n">
        <v>1.47747890082508</v>
      </c>
      <c r="G169" s="10" t="n">
        <v>0.383501046027757</v>
      </c>
      <c r="H169" s="8" t="n">
        <v>3.36233999233002</v>
      </c>
      <c r="I169" s="8" t="n">
        <v>14.590681617915</v>
      </c>
      <c r="J169" s="8" t="n">
        <v>105.611749595051</v>
      </c>
      <c r="K169" s="8" t="n">
        <v>-2.03128745192541</v>
      </c>
      <c r="L169" s="8" t="n">
        <v>114.551815876528</v>
      </c>
      <c r="M169" s="8" t="n">
        <v>21.5261013172124</v>
      </c>
      <c r="N169" s="8" t="n">
        <v>0.07000000000000001</v>
      </c>
      <c r="O169" s="8" t="n">
        <v>-0.01</v>
      </c>
      <c r="P169" s="8" t="n">
        <v>68.8333333333333</v>
      </c>
      <c r="Q169" s="8" t="n">
        <v>134.579120754288</v>
      </c>
      <c r="R169" s="10" t="n">
        <v>0</v>
      </c>
      <c r="S169" s="7" t="inlineStr">
        <is>
          <t>High_Quality_Observed</t>
        </is>
      </c>
    </row>
    <row r="170" ht="19" customHeight="1">
      <c r="A170" s="6" t="inlineStr">
        <is>
          <t>Indonesia</t>
        </is>
      </c>
      <c r="B170" s="10" t="n">
        <v>2021</v>
      </c>
      <c r="C170" s="10" t="n">
        <v>3</v>
      </c>
      <c r="D170" s="6" t="inlineStr">
        <is>
          <t>2021 Q3</t>
        </is>
      </c>
      <c r="E170" s="8" t="n">
        <v>118.2788</v>
      </c>
      <c r="F170" s="10" t="n">
        <v>1.56976165041374</v>
      </c>
      <c r="G170" s="10" t="n">
        <v>0.0813994615112668</v>
      </c>
      <c r="H170" s="8" t="n">
        <v>4.77728950751502</v>
      </c>
      <c r="I170" s="8" t="n">
        <v>13.9071054548686</v>
      </c>
      <c r="J170" s="8" t="n">
        <v>106.441997910802</v>
      </c>
      <c r="K170" s="8" t="n">
        <v>0.274155568517664</v>
      </c>
      <c r="L170" s="8" t="n">
        <v>116.298331246585</v>
      </c>
      <c r="M170" s="8" t="n">
        <v>18.8069087915464</v>
      </c>
      <c r="N170" s="8" t="n">
        <v>0.09</v>
      </c>
      <c r="O170" s="8" t="n">
        <v>0.02</v>
      </c>
      <c r="P170" s="8" t="n">
        <v>73.47</v>
      </c>
      <c r="Q170" s="8" t="n">
        <v>71.0062844285825</v>
      </c>
      <c r="R170" s="10" t="n">
        <v>0</v>
      </c>
      <c r="S170" s="7" t="inlineStr">
        <is>
          <t>High_Quality_Observed</t>
        </is>
      </c>
    </row>
    <row r="171" ht="19" customHeight="1">
      <c r="A171" s="6" t="inlineStr">
        <is>
          <t>Indonesia</t>
        </is>
      </c>
      <c r="B171" s="10" t="n">
        <v>2021</v>
      </c>
      <c r="C171" s="10" t="n">
        <v>4</v>
      </c>
      <c r="D171" s="6" t="inlineStr">
        <is>
          <t>2021 Q4</t>
        </is>
      </c>
      <c r="E171" s="8" t="n">
        <v>118.918933333333</v>
      </c>
      <c r="F171" s="10" t="n">
        <v>1.76054510095425</v>
      </c>
      <c r="G171" s="10" t="n">
        <v>0.541207159130241</v>
      </c>
      <c r="H171" s="8" t="n">
        <v>5.45838148688498</v>
      </c>
      <c r="I171" s="8" t="n">
        <v>12.6586128104341</v>
      </c>
      <c r="J171" s="8" t="n">
        <v>108.412669854822</v>
      </c>
      <c r="K171" s="8" t="n">
        <v>1.38839629903458</v>
      </c>
      <c r="L171" s="8" t="n">
        <v>122.679602624024</v>
      </c>
      <c r="M171" s="8" t="n">
        <v>14.2210306914792</v>
      </c>
      <c r="N171" s="8" t="n">
        <v>0.08</v>
      </c>
      <c r="O171" s="8" t="n">
        <v>-0.01</v>
      </c>
      <c r="P171" s="8" t="n">
        <v>79.5866666666667</v>
      </c>
      <c r="Q171" s="8" t="n">
        <v>79.69443817265</v>
      </c>
      <c r="R171" s="10" t="n">
        <v>0</v>
      </c>
      <c r="S171" s="7" t="inlineStr">
        <is>
          <t>High_Quality_Observed</t>
        </is>
      </c>
    </row>
    <row r="172" ht="19" customHeight="1">
      <c r="A172" s="6" t="inlineStr">
        <is>
          <t>Indonesia</t>
        </is>
      </c>
      <c r="B172" s="10" t="n">
        <v>2022</v>
      </c>
      <c r="C172" s="10" t="n">
        <v>1</v>
      </c>
      <c r="D172" s="6" t="inlineStr">
        <is>
          <t>2022 Q1</t>
        </is>
      </c>
      <c r="E172" s="8" t="n">
        <v>120.4287</v>
      </c>
      <c r="F172" s="10" t="n">
        <v>2.2913231932769</v>
      </c>
      <c r="G172" s="10" t="n">
        <v>1.26957636126346</v>
      </c>
      <c r="H172" s="8" t="n">
        <v>5.40561661151345</v>
      </c>
      <c r="I172" s="8" t="n">
        <v>10.8452024361399</v>
      </c>
      <c r="J172" s="8" t="n">
        <v>108.227468212291</v>
      </c>
      <c r="K172" s="8" t="n">
        <v>0.9042859013025371</v>
      </c>
      <c r="L172" s="8" t="n">
        <v>124.25343875034</v>
      </c>
      <c r="M172" s="8" t="n">
        <v>16.7592937264516</v>
      </c>
      <c r="N172" s="8" t="n">
        <v>0.12</v>
      </c>
      <c r="O172" s="8" t="n">
        <v>0.04</v>
      </c>
      <c r="P172" s="8" t="n">
        <v>100.296666666667</v>
      </c>
      <c r="Q172" s="8" t="n">
        <v>64.9073769593335</v>
      </c>
      <c r="R172" s="10" t="n">
        <v>0</v>
      </c>
      <c r="S172" s="7" t="inlineStr">
        <is>
          <t>High_Quality_Observed</t>
        </is>
      </c>
    </row>
    <row r="173" ht="19" customHeight="1">
      <c r="A173" s="6" t="inlineStr">
        <is>
          <t>Indonesia</t>
        </is>
      </c>
      <c r="B173" s="10" t="n">
        <v>2022</v>
      </c>
      <c r="C173" s="10" t="n">
        <v>2</v>
      </c>
      <c r="D173" s="6" t="inlineStr">
        <is>
          <t>2022 Q2</t>
        </is>
      </c>
      <c r="E173" s="8" t="n">
        <v>122.663733333333</v>
      </c>
      <c r="F173" s="10" t="n">
        <v>3.7917031215537</v>
      </c>
      <c r="G173" s="10" t="n">
        <v>1.85589758366014</v>
      </c>
      <c r="H173" s="8" t="n">
        <v>5.34514293842495</v>
      </c>
      <c r="I173" s="8" t="n">
        <v>9.123723185222129</v>
      </c>
      <c r="J173" s="8" t="n">
        <v>110.902477541566</v>
      </c>
      <c r="K173" s="8" t="n">
        <v>5.00960164640829</v>
      </c>
      <c r="L173" s="8" t="n">
        <v>134.351432934678</v>
      </c>
      <c r="M173" s="8" t="n">
        <v>17.2844200736996</v>
      </c>
      <c r="N173" s="8" t="n">
        <v>0.77</v>
      </c>
      <c r="O173" s="8" t="n">
        <v>0.65</v>
      </c>
      <c r="P173" s="8" t="n">
        <v>113.543333333333</v>
      </c>
      <c r="Q173" s="8" t="n">
        <v>64.95399515738499</v>
      </c>
      <c r="R173" s="10" t="n">
        <v>0</v>
      </c>
      <c r="S173" s="7" t="inlineStr">
        <is>
          <t>High_Quality_Observed</t>
        </is>
      </c>
    </row>
    <row r="174" ht="19" customHeight="1">
      <c r="A174" s="6" t="inlineStr">
        <is>
          <t>Indonesia</t>
        </is>
      </c>
      <c r="B174" s="10" t="n">
        <v>2022</v>
      </c>
      <c r="C174" s="10" t="n">
        <v>3</v>
      </c>
      <c r="D174" s="6" t="inlineStr">
        <is>
          <t>2022 Q3</t>
        </is>
      </c>
      <c r="E174" s="8" t="n">
        <v>124.4214</v>
      </c>
      <c r="F174" s="10" t="n">
        <v>5.19332289471994</v>
      </c>
      <c r="G174" s="10" t="n">
        <v>1.43291470013414</v>
      </c>
      <c r="H174" s="8" t="n">
        <v>5.27696040714458</v>
      </c>
      <c r="I174" s="8" t="n">
        <v>7.49417333617489</v>
      </c>
      <c r="J174" s="8" t="n">
        <v>112.722799417656</v>
      </c>
      <c r="K174" s="8" t="n">
        <v>5.90067983515075</v>
      </c>
      <c r="L174" s="8" t="n">
        <v>118.584751746656</v>
      </c>
      <c r="M174" s="8" t="n">
        <v>1.96599596534466</v>
      </c>
      <c r="N174" s="8" t="n">
        <v>2.19</v>
      </c>
      <c r="O174" s="8" t="n">
        <v>1.42</v>
      </c>
      <c r="P174" s="8" t="n">
        <v>100.713333333333</v>
      </c>
      <c r="Q174" s="8" t="n">
        <v>37.0808946962479</v>
      </c>
      <c r="R174" s="10" t="n">
        <v>0</v>
      </c>
      <c r="S174" s="7" t="inlineStr">
        <is>
          <t>High_Quality_Observed</t>
        </is>
      </c>
    </row>
    <row r="175" ht="19" customHeight="1">
      <c r="A175" s="6" t="inlineStr">
        <is>
          <t>Indonesia</t>
        </is>
      </c>
      <c r="B175" s="10" t="n">
        <v>2022</v>
      </c>
      <c r="C175" s="10" t="n">
        <v>4</v>
      </c>
      <c r="D175" s="6" t="inlineStr">
        <is>
          <t>2022 Q4</t>
        </is>
      </c>
      <c r="E175" s="8" t="n">
        <v>125.513033333333</v>
      </c>
      <c r="F175" s="10" t="n">
        <v>5.54503796423782</v>
      </c>
      <c r="G175" s="10" t="n">
        <v>0.877367826863651</v>
      </c>
      <c r="H175" s="8" t="n">
        <v>5.20106894948094</v>
      </c>
      <c r="I175" s="8" t="n">
        <v>5.95655125945665</v>
      </c>
      <c r="J175" s="8" t="n">
        <v>108.967836902893</v>
      </c>
      <c r="K175" s="8" t="n">
        <v>0.512086870302553</v>
      </c>
      <c r="L175" s="8" t="n">
        <v>115.210051245214</v>
      </c>
      <c r="M175" s="8" t="n">
        <v>-6.08866610181539</v>
      </c>
      <c r="N175" s="8" t="n">
        <v>3.65333333333333</v>
      </c>
      <c r="O175" s="8" t="n">
        <v>1.46333333333333</v>
      </c>
      <c r="P175" s="8" t="n">
        <v>88.5566666666667</v>
      </c>
      <c r="Q175" s="8" t="n">
        <v>11.2707321159323</v>
      </c>
      <c r="R175" s="10" t="n">
        <v>0</v>
      </c>
      <c r="S175" s="7" t="inlineStr">
        <is>
          <t>High_Quality_Observed</t>
        </is>
      </c>
    </row>
    <row r="176" ht="19" customHeight="1">
      <c r="A176" s="6" t="inlineStr">
        <is>
          <t>Indonesia</t>
        </is>
      </c>
      <c r="B176" s="10" t="n">
        <v>2023</v>
      </c>
      <c r="C176" s="10" t="n">
        <v>1</v>
      </c>
      <c r="D176" s="6" t="inlineStr">
        <is>
          <t>2023 Q1</t>
        </is>
      </c>
      <c r="E176" s="8" t="n">
        <v>126.737833333333</v>
      </c>
      <c r="F176" s="10" t="n">
        <v>5.23889515815859</v>
      </c>
      <c r="G176" s="10" t="n">
        <v>0.975834913293205</v>
      </c>
      <c r="H176" s="8" t="n">
        <v>5.11746848950299</v>
      </c>
      <c r="I176" s="8" t="n">
        <v>4.51085541744099</v>
      </c>
      <c r="J176" s="8" t="n">
        <v>107.160272312727</v>
      </c>
      <c r="K176" s="8" t="n">
        <v>-0.986067508731547</v>
      </c>
      <c r="L176" s="8" t="n">
        <v>114.034689515825</v>
      </c>
      <c r="M176" s="8" t="n">
        <v>-8.224117849203459</v>
      </c>
      <c r="N176" s="8" t="n">
        <v>4.51666666666667</v>
      </c>
      <c r="O176" s="8" t="n">
        <v>0.863333333333333</v>
      </c>
      <c r="P176" s="8" t="n">
        <v>81.1733333333333</v>
      </c>
      <c r="Q176" s="8" t="n">
        <v>-19.0667685865266</v>
      </c>
      <c r="R176" s="10" t="n">
        <v>0</v>
      </c>
      <c r="S176" s="7" t="inlineStr">
        <is>
          <t>High_Quality_Observed</t>
        </is>
      </c>
    </row>
    <row r="177" ht="19" customHeight="1">
      <c r="A177" s="6" t="inlineStr">
        <is>
          <t>Indonesia</t>
        </is>
      </c>
      <c r="B177" s="10" t="n">
        <v>2023</v>
      </c>
      <c r="C177" s="10" t="n">
        <v>2</v>
      </c>
      <c r="D177" s="6" t="inlineStr">
        <is>
          <t>2023 Q2</t>
        </is>
      </c>
      <c r="E177" s="8" t="n">
        <v>127.5075</v>
      </c>
      <c r="F177" s="10" t="n">
        <v>3.94881725432565</v>
      </c>
      <c r="G177" s="10" t="n">
        <v>0.607290377643066</v>
      </c>
      <c r="H177" s="8" t="n">
        <v>5.05657340933068</v>
      </c>
      <c r="I177" s="8" t="n">
        <v>3.52836637001981</v>
      </c>
      <c r="J177" s="8" t="n">
        <v>110.261343594388</v>
      </c>
      <c r="K177" s="8" t="n">
        <v>-0.578106063443928</v>
      </c>
      <c r="L177" s="8" t="n">
        <v>109.857789884183</v>
      </c>
      <c r="M177" s="8" t="n">
        <v>-18.2310247948031</v>
      </c>
      <c r="N177" s="8" t="n">
        <v>4.99</v>
      </c>
      <c r="O177" s="8" t="n">
        <v>0.473333333333334</v>
      </c>
      <c r="P177" s="8" t="n">
        <v>78.31666666666671</v>
      </c>
      <c r="Q177" s="8" t="n">
        <v>-31.0248656900449</v>
      </c>
      <c r="R177" s="10" t="n">
        <v>0</v>
      </c>
      <c r="S177" s="7" t="inlineStr">
        <is>
          <t>High_Quality_Observed</t>
        </is>
      </c>
    </row>
    <row r="178" ht="19" customHeight="1">
      <c r="A178" s="6" t="inlineStr">
        <is>
          <t>Indonesia</t>
        </is>
      </c>
      <c r="B178" s="10" t="n">
        <v>2023</v>
      </c>
      <c r="C178" s="10" t="n">
        <v>3</v>
      </c>
      <c r="D178" s="6" t="inlineStr">
        <is>
          <t>2023 Q3</t>
        </is>
      </c>
      <c r="E178" s="8" t="n">
        <v>127.996</v>
      </c>
      <c r="F178" s="10" t="n">
        <v>2.87297844261516</v>
      </c>
      <c r="G178" s="10" t="n">
        <v>0.383114718742039</v>
      </c>
      <c r="H178" s="8" t="n">
        <v>5.01838364801216</v>
      </c>
      <c r="I178" s="8" t="n">
        <v>3.00908313467095</v>
      </c>
      <c r="J178" s="8" t="n">
        <v>109.196741362267</v>
      </c>
      <c r="K178" s="8" t="n">
        <v>-3.12807885681092</v>
      </c>
      <c r="L178" s="8" t="n">
        <v>107.510614988168</v>
      </c>
      <c r="M178" s="8" t="n">
        <v>-9.338584088911441</v>
      </c>
      <c r="N178" s="8" t="n">
        <v>5.26</v>
      </c>
      <c r="O178" s="8" t="n">
        <v>0.27</v>
      </c>
      <c r="P178" s="8" t="n">
        <v>86.66</v>
      </c>
      <c r="Q178" s="8" t="n">
        <v>-13.9537962533925</v>
      </c>
      <c r="R178" s="10" t="n">
        <v>0</v>
      </c>
      <c r="S178" s="7" t="inlineStr">
        <is>
          <t>High_Quality_Observed</t>
        </is>
      </c>
    </row>
    <row r="179" ht="19" customHeight="1">
      <c r="A179" s="6" t="inlineStr">
        <is>
          <t>Indonesia</t>
        </is>
      </c>
      <c r="B179" s="10" t="n">
        <v>2023</v>
      </c>
      <c r="C179" s="10" t="n">
        <v>4</v>
      </c>
      <c r="D179" s="6" t="inlineStr">
        <is>
          <t>2023 Q4</t>
        </is>
      </c>
      <c r="E179" s="8" t="n">
        <v>128.876633333333</v>
      </c>
      <c r="F179" s="10" t="n">
        <v>2.67988105352139</v>
      </c>
      <c r="G179" s="10" t="n">
        <v>0.688016292175808</v>
      </c>
      <c r="H179" s="8" t="n">
        <v>5.0028991673625</v>
      </c>
      <c r="I179" s="8" t="n">
        <v>2.95300519214014</v>
      </c>
      <c r="J179" s="8" t="n">
        <v>107.525182091176</v>
      </c>
      <c r="K179" s="8" t="n">
        <v>-1.32392718137719</v>
      </c>
      <c r="L179" s="8" t="n">
        <v>105.339533846651</v>
      </c>
      <c r="M179" s="8" t="n">
        <v>-8.56740995414912</v>
      </c>
      <c r="N179" s="8" t="n">
        <v>5.33</v>
      </c>
      <c r="O179" s="8" t="n">
        <v>0.0700000000000003</v>
      </c>
      <c r="P179" s="8" t="n">
        <v>83.7233333333333</v>
      </c>
      <c r="Q179" s="8" t="n">
        <v>-5.45789889712802</v>
      </c>
      <c r="R179" s="10" t="n">
        <v>0</v>
      </c>
      <c r="S179" s="7" t="inlineStr">
        <is>
          <t>High_Quality_Observed</t>
        </is>
      </c>
    </row>
    <row r="180" ht="19" customHeight="1">
      <c r="A180" s="6" t="inlineStr">
        <is>
          <t>Indonesia</t>
        </is>
      </c>
      <c r="B180" s="10" t="n">
        <v>2024</v>
      </c>
      <c r="C180" s="10" t="n">
        <v>1</v>
      </c>
      <c r="D180" s="6" t="inlineStr">
        <is>
          <t>2024 Q1</t>
        </is>
      </c>
      <c r="E180" s="8" t="n">
        <v>129.9958</v>
      </c>
      <c r="F180" s="10" t="n">
        <v>2.57063465658109</v>
      </c>
      <c r="G180" s="10" t="n">
        <v>0.868401538525609</v>
      </c>
      <c r="H180" s="8" t="n">
        <v>5.01011995191923</v>
      </c>
      <c r="I180" s="8" t="n">
        <v>3.36013248633251</v>
      </c>
      <c r="J180" s="8" t="n">
        <v>107.182284989646</v>
      </c>
      <c r="K180" s="8" t="n">
        <v>0.0205418262229751</v>
      </c>
      <c r="L180" s="8" t="n">
        <v>102.582568583479</v>
      </c>
      <c r="M180" s="8" t="n">
        <v>-10.0426641936497</v>
      </c>
      <c r="N180" s="8" t="n">
        <v>5.33</v>
      </c>
      <c r="O180" s="8" t="n">
        <v>0</v>
      </c>
      <c r="P180" s="8" t="n">
        <v>83.0033333333333</v>
      </c>
      <c r="Q180" s="8" t="n">
        <v>2.25443495400788</v>
      </c>
      <c r="R180" s="10" t="n">
        <v>0</v>
      </c>
      <c r="S180" s="7" t="inlineStr">
        <is>
          <t>High_Quality_Observed</t>
        </is>
      </c>
    </row>
    <row r="181" ht="19" customHeight="1">
      <c r="A181" s="6" t="inlineStr">
        <is>
          <t>Indonesia</t>
        </is>
      </c>
      <c r="B181" s="10" t="n">
        <v>2024</v>
      </c>
      <c r="C181" s="10" t="n">
        <v>2</v>
      </c>
      <c r="D181" s="6" t="inlineStr">
        <is>
          <t>2024 Q2</t>
        </is>
      </c>
      <c r="E181" s="8" t="n">
        <v>130.877766666667</v>
      </c>
      <c r="F181" s="10" t="n">
        <v>2.64319092340974</v>
      </c>
      <c r="G181" s="10" t="n">
        <v>0.678457816842282</v>
      </c>
      <c r="H181" s="8" t="n">
        <v>5.02199018693656</v>
      </c>
      <c r="I181" s="8" t="n">
        <v>4.08273159715583</v>
      </c>
      <c r="J181" s="8" t="n">
        <v>105.189264314592</v>
      </c>
      <c r="K181" s="8" t="n">
        <v>-4.60005212566129</v>
      </c>
      <c r="L181" s="8" t="n">
        <v>104.519793640698</v>
      </c>
      <c r="M181" s="8" t="n">
        <v>-4.85900567371084</v>
      </c>
      <c r="N181" s="8" t="n">
        <v>5.33</v>
      </c>
      <c r="O181" s="8" t="n">
        <v>0</v>
      </c>
      <c r="P181" s="8" t="n">
        <v>84.6466666666667</v>
      </c>
      <c r="Q181" s="8" t="n">
        <v>8.082570759736109</v>
      </c>
      <c r="R181" s="10" t="n">
        <v>0</v>
      </c>
      <c r="S181" s="7" t="inlineStr">
        <is>
          <t>High_Quality_Observed</t>
        </is>
      </c>
    </row>
    <row r="182" ht="19" customHeight="1">
      <c r="A182" s="6" t="inlineStr">
        <is>
          <t>Indonesia</t>
        </is>
      </c>
      <c r="B182" s="10" t="n">
        <v>2024</v>
      </c>
      <c r="C182" s="10" t="n">
        <v>3</v>
      </c>
      <c r="D182" s="6" t="inlineStr">
        <is>
          <t>2024 Q3</t>
        </is>
      </c>
      <c r="E182" s="8" t="n">
        <v>130.479866666667</v>
      </c>
      <c r="F182" s="10" t="n">
        <v>1.94058147650447</v>
      </c>
      <c r="G182" s="10" t="n">
        <v>-0.304024136516201</v>
      </c>
      <c r="H182" s="8" t="n">
        <v>5.03850988426174</v>
      </c>
      <c r="I182" s="8" t="n">
        <v>5.12080324722909</v>
      </c>
      <c r="J182" s="8" t="n">
        <v>105.129273963533</v>
      </c>
      <c r="K182" s="8" t="n">
        <v>-3.72489814988125</v>
      </c>
      <c r="L182" s="8" t="n">
        <v>106.377099329068</v>
      </c>
      <c r="M182" s="8" t="n">
        <v>-1.05432906250624</v>
      </c>
      <c r="N182" s="8" t="n">
        <v>5.26333333333333</v>
      </c>
      <c r="O182" s="8" t="n">
        <v>-0.0666666666666664</v>
      </c>
      <c r="P182" s="8" t="n">
        <v>79.84333333333331</v>
      </c>
      <c r="Q182" s="8" t="n">
        <v>-7.86598969151473</v>
      </c>
      <c r="R182" s="10" t="n">
        <v>0</v>
      </c>
      <c r="S182" s="7" t="inlineStr">
        <is>
          <t>High_Quality_Observed</t>
        </is>
      </c>
    </row>
    <row r="183" ht="19" customHeight="1">
      <c r="A183" s="6" t="inlineStr">
        <is>
          <t>Indonesia</t>
        </is>
      </c>
      <c r="B183" s="10" t="n">
        <v>2024</v>
      </c>
      <c r="C183" s="10" t="n">
        <v>4</v>
      </c>
      <c r="D183" s="6" t="inlineStr">
        <is>
          <t>2024 Q4</t>
        </is>
      </c>
      <c r="E183" s="8" t="n">
        <v>130.914633333333</v>
      </c>
      <c r="F183" s="10" t="n">
        <v>1.5813572618155</v>
      </c>
      <c r="G183" s="10" t="n">
        <v>0.333205940328996</v>
      </c>
      <c r="H183" s="8" t="n">
        <v>5.0596790604339</v>
      </c>
      <c r="I183" s="8" t="n">
        <v>6.47434847462747</v>
      </c>
      <c r="J183" s="8" t="n">
        <v>106.555195075595</v>
      </c>
      <c r="K183" s="8" t="n">
        <v>-0.90210218361565</v>
      </c>
      <c r="L183" s="8" t="n">
        <v>110.645361455409</v>
      </c>
      <c r="M183" s="8" t="n">
        <v>5.03688161035707</v>
      </c>
      <c r="N183" s="8" t="n">
        <v>4.65</v>
      </c>
      <c r="O183" s="8" t="n">
        <v>-0.613333333333333</v>
      </c>
      <c r="P183" s="8" t="n">
        <v>74.6133333333333</v>
      </c>
      <c r="Q183" s="8" t="n">
        <v>-10.8810765616913</v>
      </c>
      <c r="R183" s="10" t="n">
        <v>0</v>
      </c>
      <c r="S183" s="7" t="inlineStr">
        <is>
          <t>High_Quality_Observed</t>
        </is>
      </c>
    </row>
    <row r="184" ht="19" customHeight="1">
      <c r="A184" s="6" t="inlineStr">
        <is>
          <t>Indonesia</t>
        </is>
      </c>
      <c r="B184" s="10" t="n">
        <v>2025</v>
      </c>
      <c r="C184" s="10" t="n">
        <v>1</v>
      </c>
      <c r="D184" s="6" t="inlineStr">
        <is>
          <t>2025 Q1</t>
        </is>
      </c>
      <c r="E184" s="8" t="n">
        <v>130.730066666667</v>
      </c>
      <c r="F184" s="10" t="n">
        <v>0.564838761457409</v>
      </c>
      <c r="G184" s="10" t="n">
        <v>-0.140982457015892</v>
      </c>
      <c r="H184" s="8" t="n">
        <v>5.08549773660975</v>
      </c>
      <c r="I184" s="8" t="n">
        <v>8.14336863289212</v>
      </c>
      <c r="J184" s="8" t="n">
        <v>102.946950846124</v>
      </c>
      <c r="K184" s="8" t="n">
        <v>-3.95152439970016</v>
      </c>
      <c r="L184" s="8" t="n">
        <v>108.711496383905</v>
      </c>
      <c r="M184" s="8" t="n">
        <v>5.97462891118643</v>
      </c>
      <c r="N184" s="8" t="n">
        <v>4.33</v>
      </c>
      <c r="O184" s="8" t="n">
        <v>-0.32</v>
      </c>
      <c r="P184" s="8" t="n">
        <v>75.8133333333333</v>
      </c>
      <c r="Q184" s="8" t="n">
        <v>-8.662302718766311</v>
      </c>
      <c r="R184" s="10" t="n">
        <v>0</v>
      </c>
      <c r="S184" s="7" t="inlineStr">
        <is>
          <t>High_Quality_Observed</t>
        </is>
      </c>
    </row>
    <row r="185" ht="19" customHeight="1">
      <c r="A185" s="6" t="inlineStr">
        <is>
          <t>Laos</t>
        </is>
      </c>
      <c r="B185" s="10" t="n">
        <v>2010</v>
      </c>
      <c r="C185" s="10" t="n">
        <v>1</v>
      </c>
      <c r="D185" s="6" t="inlineStr">
        <is>
          <t>2010 Q1</t>
        </is>
      </c>
      <c r="E185" s="8" t="n">
        <v>76.7363249860672</v>
      </c>
      <c r="F185" s="9" t="inlineStr"/>
      <c r="G185" s="9" t="inlineStr"/>
      <c r="H185" s="8" t="n">
        <v>8.64239724791101</v>
      </c>
      <c r="I185" s="8" t="n">
        <v>39.128963871411</v>
      </c>
      <c r="J185" s="8" t="n">
        <v>116.073385384143</v>
      </c>
      <c r="K185" s="9" t="inlineStr"/>
      <c r="L185" s="8" t="n">
        <v>99.24199528149821</v>
      </c>
      <c r="M185" s="9" t="inlineStr"/>
      <c r="N185" s="8" t="n">
        <v>0.133333333333333</v>
      </c>
      <c r="O185" s="9" t="inlineStr"/>
      <c r="P185" s="8" t="n">
        <v>76.25</v>
      </c>
      <c r="Q185" s="9" t="inlineStr"/>
      <c r="R185" s="10" t="n">
        <v>0</v>
      </c>
      <c r="S185" s="7" t="inlineStr">
        <is>
          <t>Baseline_Lag_Origin</t>
        </is>
      </c>
    </row>
    <row r="186" ht="19" customHeight="1">
      <c r="A186" s="6" t="inlineStr">
        <is>
          <t>Laos</t>
        </is>
      </c>
      <c r="B186" s="10" t="n">
        <v>2010</v>
      </c>
      <c r="C186" s="10" t="n">
        <v>2</v>
      </c>
      <c r="D186" s="6" t="inlineStr">
        <is>
          <t>2010 Q2</t>
        </is>
      </c>
      <c r="E186" s="8" t="n">
        <v>78.09207000000001</v>
      </c>
      <c r="F186" s="9" t="inlineStr"/>
      <c r="G186" s="10" t="n">
        <v>1.76675780887208</v>
      </c>
      <c r="H186" s="8" t="n">
        <v>8.5962005834275</v>
      </c>
      <c r="I186" s="8" t="n">
        <v>39.128963871411</v>
      </c>
      <c r="J186" s="8" t="n">
        <v>121.11001619704</v>
      </c>
      <c r="K186" s="9" t="inlineStr"/>
      <c r="L186" s="8" t="n">
        <v>96.4984622523225</v>
      </c>
      <c r="M186" s="9" t="inlineStr"/>
      <c r="N186" s="8" t="n">
        <v>0.193333333333333</v>
      </c>
      <c r="O186" s="8" t="n">
        <v>0.06</v>
      </c>
      <c r="P186" s="8" t="n">
        <v>78.51000000000001</v>
      </c>
      <c r="Q186" s="9" t="inlineStr"/>
      <c r="R186" s="10" t="n">
        <v>0</v>
      </c>
      <c r="S186" s="7" t="inlineStr">
        <is>
          <t>Baseline_Lag_Origin</t>
        </is>
      </c>
    </row>
    <row r="187" ht="19" customHeight="1">
      <c r="A187" s="6" t="inlineStr">
        <is>
          <t>Laos</t>
        </is>
      </c>
      <c r="B187" s="10" t="n">
        <v>2010</v>
      </c>
      <c r="C187" s="10" t="n">
        <v>3</v>
      </c>
      <c r="D187" s="6" t="inlineStr">
        <is>
          <t>2010 Q3</t>
        </is>
      </c>
      <c r="E187" s="8" t="n">
        <v>81.23267</v>
      </c>
      <c r="F187" s="9" t="inlineStr"/>
      <c r="G187" s="10" t="n">
        <v>4.02166314710315</v>
      </c>
      <c r="H187" s="8" t="n">
        <v>8.50380720825804</v>
      </c>
      <c r="I187" s="8" t="n">
        <v>39.128963871411</v>
      </c>
      <c r="J187" s="8" t="n">
        <v>123.709178025132</v>
      </c>
      <c r="K187" s="9" t="inlineStr"/>
      <c r="L187" s="8" t="n">
        <v>107.356970480027</v>
      </c>
      <c r="M187" s="9" t="inlineStr"/>
      <c r="N187" s="8" t="n">
        <v>0.186666666666667</v>
      </c>
      <c r="O187" s="8" t="n">
        <v>-0.0066666666666666</v>
      </c>
      <c r="P187" s="8" t="n">
        <v>76.81999999999999</v>
      </c>
      <c r="Q187" s="9" t="inlineStr"/>
      <c r="R187" s="10" t="n">
        <v>0</v>
      </c>
      <c r="S187" s="7" t="inlineStr">
        <is>
          <t>Baseline_Lag_Origin</t>
        </is>
      </c>
    </row>
    <row r="188" ht="19" customHeight="1">
      <c r="A188" s="6" t="inlineStr">
        <is>
          <t>Laos</t>
        </is>
      </c>
      <c r="B188" s="10" t="n">
        <v>2010</v>
      </c>
      <c r="C188" s="10" t="n">
        <v>4</v>
      </c>
      <c r="D188" s="6" t="inlineStr">
        <is>
          <t>2010 Q4</t>
        </is>
      </c>
      <c r="E188" s="8" t="n">
        <v>80.9801033333333</v>
      </c>
      <c r="F188" s="9" t="inlineStr"/>
      <c r="G188" s="10" t="n">
        <v>-0.310917598383342</v>
      </c>
      <c r="H188" s="8" t="n">
        <v>8.36521703001441</v>
      </c>
      <c r="I188" s="8" t="n">
        <v>39.128963871411</v>
      </c>
      <c r="J188" s="8" t="n">
        <v>120.634148914246</v>
      </c>
      <c r="K188" s="9" t="inlineStr"/>
      <c r="L188" s="8" t="n">
        <v>124.608736829891</v>
      </c>
      <c r="M188" s="9" t="inlineStr"/>
      <c r="N188" s="8" t="n">
        <v>0.186666666666667</v>
      </c>
      <c r="O188" s="8" t="n">
        <v>0</v>
      </c>
      <c r="P188" s="8" t="n">
        <v>86.4666666666667</v>
      </c>
      <c r="Q188" s="9" t="inlineStr"/>
      <c r="R188" s="10" t="n">
        <v>0</v>
      </c>
      <c r="S188" s="7" t="inlineStr">
        <is>
          <t>Baseline_Lag_Origin</t>
        </is>
      </c>
    </row>
    <row r="189" ht="19" customHeight="1">
      <c r="A189" s="6" t="inlineStr">
        <is>
          <t>Laos</t>
        </is>
      </c>
      <c r="B189" s="10" t="n">
        <v>2011</v>
      </c>
      <c r="C189" s="10" t="n">
        <v>1</v>
      </c>
      <c r="D189" s="6" t="inlineStr">
        <is>
          <t>2011 Q1</t>
        </is>
      </c>
      <c r="E189" s="11" t="n">
        <v>81.96196999999999</v>
      </c>
      <c r="F189" s="12" t="n">
        <v>6.80987135477442</v>
      </c>
      <c r="G189" s="10" t="n">
        <v>1.21247890068139</v>
      </c>
      <c r="H189" s="8" t="n">
        <v>8.180429910105479</v>
      </c>
      <c r="I189" s="11" t="n">
        <v>39.128963871411</v>
      </c>
      <c r="J189" s="11" t="n">
        <v>121.750951363481</v>
      </c>
      <c r="K189" s="8" t="n">
        <v>4.89135899719695</v>
      </c>
      <c r="L189" s="8" t="n">
        <v>121.875946057639</v>
      </c>
      <c r="M189" s="8" t="n">
        <v>22.8068276055313</v>
      </c>
      <c r="N189" s="8" t="n">
        <v>0.156666666666667</v>
      </c>
      <c r="O189" s="8" t="n">
        <v>-0.03</v>
      </c>
      <c r="P189" s="8" t="n">
        <v>104.96</v>
      </c>
      <c r="Q189" s="8" t="n">
        <v>37.6524590163934</v>
      </c>
      <c r="R189" s="10" t="n">
        <v>1</v>
      </c>
      <c r="S189" s="7" t="inlineStr">
        <is>
          <t>Minor_Imputation_1Var</t>
        </is>
      </c>
    </row>
    <row r="190" ht="19" customHeight="1">
      <c r="A190" s="6" t="inlineStr">
        <is>
          <t>Laos</t>
        </is>
      </c>
      <c r="B190" s="10" t="n">
        <v>2011</v>
      </c>
      <c r="C190" s="10" t="n">
        <v>2</v>
      </c>
      <c r="D190" s="6" t="inlineStr">
        <is>
          <t>2011 Q2</t>
        </is>
      </c>
      <c r="E190" s="11" t="n">
        <v>85.50985</v>
      </c>
      <c r="F190" s="12" t="n">
        <v>9.49876216624812</v>
      </c>
      <c r="G190" s="10" t="n">
        <v>4.32869048901583</v>
      </c>
      <c r="H190" s="8" t="n">
        <v>8.04980423008875</v>
      </c>
      <c r="I190" s="11" t="n">
        <v>39.128963871411</v>
      </c>
      <c r="J190" s="11" t="n">
        <v>121.53177982122</v>
      </c>
      <c r="K190" s="8" t="n">
        <v>0.348248342642243</v>
      </c>
      <c r="L190" s="8" t="n">
        <v>122.00081812372</v>
      </c>
      <c r="M190" s="8" t="n">
        <v>26.4277329152819</v>
      </c>
      <c r="N190" s="8" t="n">
        <v>0.0933333333333333</v>
      </c>
      <c r="O190" s="8" t="n">
        <v>-0.0633333333333333</v>
      </c>
      <c r="P190" s="8" t="n">
        <v>117.36</v>
      </c>
      <c r="Q190" s="8" t="n">
        <v>49.4841421474971</v>
      </c>
      <c r="R190" s="10" t="n">
        <v>1</v>
      </c>
      <c r="S190" s="7" t="inlineStr">
        <is>
          <t>Minor_Imputation_1Var</t>
        </is>
      </c>
    </row>
    <row r="191" ht="19" customHeight="1">
      <c r="A191" s="6" t="inlineStr">
        <is>
          <t>Laos</t>
        </is>
      </c>
      <c r="B191" s="10" t="n">
        <v>2011</v>
      </c>
      <c r="C191" s="10" t="n">
        <v>3</v>
      </c>
      <c r="D191" s="6" t="inlineStr">
        <is>
          <t>2011 Q3</t>
        </is>
      </c>
      <c r="E191" s="11" t="n">
        <v>86.57705666666671</v>
      </c>
      <c r="F191" s="12" t="n">
        <v>6.57910994020838</v>
      </c>
      <c r="G191" s="10" t="n">
        <v>1.24805115044251</v>
      </c>
      <c r="H191" s="8" t="n">
        <v>7.97333985933397</v>
      </c>
      <c r="I191" s="11" t="n">
        <v>39.128963871411</v>
      </c>
      <c r="J191" s="11" t="n">
        <v>122.524556919425</v>
      </c>
      <c r="K191" s="8" t="n">
        <v>-0.957585463438149</v>
      </c>
      <c r="L191" s="8" t="n">
        <v>118.888757234176</v>
      </c>
      <c r="M191" s="8" t="n">
        <v>10.7415351817278</v>
      </c>
      <c r="N191" s="8" t="n">
        <v>0.0833333333333333</v>
      </c>
      <c r="O191" s="8" t="n">
        <v>-0.01</v>
      </c>
      <c r="P191" s="8" t="n">
        <v>113.34</v>
      </c>
      <c r="Q191" s="8" t="n">
        <v>47.5397032022911</v>
      </c>
      <c r="R191" s="10" t="n">
        <v>1</v>
      </c>
      <c r="S191" s="7" t="inlineStr">
        <is>
          <t>Minor_Imputation_1Var</t>
        </is>
      </c>
    </row>
    <row r="192" ht="19" customHeight="1">
      <c r="A192" s="6" t="inlineStr">
        <is>
          <t>Laos</t>
        </is>
      </c>
      <c r="B192" s="10" t="n">
        <v>2011</v>
      </c>
      <c r="C192" s="10" t="n">
        <v>4</v>
      </c>
      <c r="D192" s="6" t="inlineStr">
        <is>
          <t>2011 Q4</t>
        </is>
      </c>
      <c r="E192" s="11" t="n">
        <v>86.9890966666667</v>
      </c>
      <c r="F192" s="12" t="n">
        <v>7.42033300278575</v>
      </c>
      <c r="G192" s="10" t="n">
        <v>0.475922855158273</v>
      </c>
      <c r="H192" s="8" t="n">
        <v>7.95103672139202</v>
      </c>
      <c r="I192" s="11" t="n">
        <v>39.128963871411</v>
      </c>
      <c r="J192" s="11" t="n">
        <v>127.404253685878</v>
      </c>
      <c r="K192" s="8" t="n">
        <v>5.61209643584808</v>
      </c>
      <c r="L192" s="8" t="n">
        <v>112.174119298219</v>
      </c>
      <c r="M192" s="8" t="n">
        <v>-9.978929124887189</v>
      </c>
      <c r="N192" s="8" t="n">
        <v>0.07333333333333331</v>
      </c>
      <c r="O192" s="8" t="n">
        <v>-0.01</v>
      </c>
      <c r="P192" s="8" t="n">
        <v>109.396666666667</v>
      </c>
      <c r="Q192" s="8" t="n">
        <v>26.5188897455667</v>
      </c>
      <c r="R192" s="10" t="n">
        <v>1</v>
      </c>
      <c r="S192" s="7" t="inlineStr">
        <is>
          <t>Minor_Imputation_1Var</t>
        </is>
      </c>
    </row>
    <row r="193" ht="19" customHeight="1">
      <c r="A193" s="6" t="inlineStr">
        <is>
          <t>Laos</t>
        </is>
      </c>
      <c r="B193" s="10" t="n">
        <v>2012</v>
      </c>
      <c r="C193" s="10" t="n">
        <v>1</v>
      </c>
      <c r="D193" s="6" t="inlineStr">
        <is>
          <t>2012 Q1</t>
        </is>
      </c>
      <c r="E193" s="11" t="n">
        <v>86.90788000000001</v>
      </c>
      <c r="F193" s="12" t="n">
        <v>6.03439619618711</v>
      </c>
      <c r="G193" s="10" t="n">
        <v>-0.0933641913513306</v>
      </c>
      <c r="H193" s="8" t="n">
        <v>7.98289479395035</v>
      </c>
      <c r="I193" s="11" t="n">
        <v>39.128963871411</v>
      </c>
      <c r="J193" s="11" t="n">
        <v>128.105204370981</v>
      </c>
      <c r="K193" s="8" t="n">
        <v>5.21905819736026</v>
      </c>
      <c r="L193" s="8" t="n">
        <v>112.921025549072</v>
      </c>
      <c r="M193" s="8" t="n">
        <v>-7.3475700482622</v>
      </c>
      <c r="N193" s="8" t="n">
        <v>0.103333333333333</v>
      </c>
      <c r="O193" s="8" t="n">
        <v>0.03</v>
      </c>
      <c r="P193" s="8" t="n">
        <v>118.49</v>
      </c>
      <c r="Q193" s="8" t="n">
        <v>12.890625</v>
      </c>
      <c r="R193" s="10" t="n">
        <v>1</v>
      </c>
      <c r="S193" s="7" t="inlineStr">
        <is>
          <t>Minor_Imputation_1Var</t>
        </is>
      </c>
    </row>
    <row r="194" ht="19" customHeight="1">
      <c r="A194" s="6" t="inlineStr">
        <is>
          <t>Laos</t>
        </is>
      </c>
      <c r="B194" s="10" t="n">
        <v>2012</v>
      </c>
      <c r="C194" s="10" t="n">
        <v>2</v>
      </c>
      <c r="D194" s="6" t="inlineStr">
        <is>
          <t>2012 Q2</t>
        </is>
      </c>
      <c r="E194" s="11" t="n">
        <v>88.8430266666667</v>
      </c>
      <c r="F194" s="12" t="n">
        <v>3.89800317351352</v>
      </c>
      <c r="G194" s="10" t="n">
        <v>2.22666421809696</v>
      </c>
      <c r="H194" s="8" t="n">
        <v>8.012919464409411</v>
      </c>
      <c r="I194" s="11" t="n">
        <v>39.128963871411</v>
      </c>
      <c r="J194" s="11" t="n">
        <v>130.391403311613</v>
      </c>
      <c r="K194" s="8" t="n">
        <v>7.28996440554517</v>
      </c>
      <c r="L194" s="8" t="n">
        <v>108.674540730789</v>
      </c>
      <c r="M194" s="8" t="n">
        <v>-10.9231049413272</v>
      </c>
      <c r="N194" s="8" t="n">
        <v>0.153333333333333</v>
      </c>
      <c r="O194" s="8" t="n">
        <v>0.05</v>
      </c>
      <c r="P194" s="8" t="n">
        <v>108.416666666667</v>
      </c>
      <c r="Q194" s="8" t="n">
        <v>-7.6204271756419</v>
      </c>
      <c r="R194" s="10" t="n">
        <v>1</v>
      </c>
      <c r="S194" s="7" t="inlineStr">
        <is>
          <t>Minor_Imputation_1Var</t>
        </is>
      </c>
    </row>
    <row r="195" ht="19" customHeight="1">
      <c r="A195" s="6" t="inlineStr">
        <is>
          <t>Laos</t>
        </is>
      </c>
      <c r="B195" s="10" t="n">
        <v>2012</v>
      </c>
      <c r="C195" s="10" t="n">
        <v>3</v>
      </c>
      <c r="D195" s="6" t="inlineStr">
        <is>
          <t>2012 Q3</t>
        </is>
      </c>
      <c r="E195" s="11" t="n">
        <v>89.4461366666667</v>
      </c>
      <c r="F195" s="12" t="n">
        <v>3.31390337170545</v>
      </c>
      <c r="G195" s="10" t="n">
        <v>0.678849002142656</v>
      </c>
      <c r="H195" s="8" t="n">
        <v>8.041110762797221</v>
      </c>
      <c r="I195" s="11" t="n">
        <v>39.128963871411</v>
      </c>
      <c r="J195" s="11" t="n">
        <v>131.013014323257</v>
      </c>
      <c r="K195" s="8" t="n">
        <v>6.92796417081867</v>
      </c>
      <c r="L195" s="8" t="n">
        <v>112.021404013206</v>
      </c>
      <c r="M195" s="8" t="n">
        <v>-5.77628480668088</v>
      </c>
      <c r="N195" s="8" t="n">
        <v>0.143333333333333</v>
      </c>
      <c r="O195" s="8" t="n">
        <v>-0.01</v>
      </c>
      <c r="P195" s="8" t="n">
        <v>109.613333333333</v>
      </c>
      <c r="Q195" s="8" t="n">
        <v>-3.28804187988943</v>
      </c>
      <c r="R195" s="10" t="n">
        <v>1</v>
      </c>
      <c r="S195" s="7" t="inlineStr">
        <is>
          <t>Minor_Imputation_1Var</t>
        </is>
      </c>
    </row>
    <row r="196" ht="19" customHeight="1">
      <c r="A196" s="6" t="inlineStr">
        <is>
          <t>Laos</t>
        </is>
      </c>
      <c r="B196" s="10" t="n">
        <v>2012</v>
      </c>
      <c r="C196" s="10" t="n">
        <v>4</v>
      </c>
      <c r="D196" s="6" t="inlineStr">
        <is>
          <t>2012 Q4</t>
        </is>
      </c>
      <c r="E196" s="11" t="n">
        <v>90.35253</v>
      </c>
      <c r="F196" s="12" t="n">
        <v>3.86649989736261</v>
      </c>
      <c r="G196" s="10" t="n">
        <v>1.01333983457681</v>
      </c>
      <c r="H196" s="8" t="n">
        <v>8.067468717308801</v>
      </c>
      <c r="I196" s="11" t="n">
        <v>39.128963871411</v>
      </c>
      <c r="J196" s="11" t="n">
        <v>130.012065762626</v>
      </c>
      <c r="K196" s="8" t="n">
        <v>2.04687991279926</v>
      </c>
      <c r="L196" s="8" t="n">
        <v>112.043606667623</v>
      </c>
      <c r="M196" s="8" t="n">
        <v>-0.116348255206267</v>
      </c>
      <c r="N196" s="8" t="n">
        <v>0.16</v>
      </c>
      <c r="O196" s="8" t="n">
        <v>0.0166666666666667</v>
      </c>
      <c r="P196" s="8" t="n">
        <v>110.086666666667</v>
      </c>
      <c r="Q196" s="8" t="n">
        <v>0.630732197812245</v>
      </c>
      <c r="R196" s="10" t="n">
        <v>1</v>
      </c>
      <c r="S196" s="7" t="inlineStr">
        <is>
          <t>Minor_Imputation_1Var</t>
        </is>
      </c>
    </row>
    <row r="197" ht="19" customHeight="1">
      <c r="A197" s="6" t="inlineStr">
        <is>
          <t>Laos</t>
        </is>
      </c>
      <c r="B197" s="10" t="n">
        <v>2013</v>
      </c>
      <c r="C197" s="10" t="n">
        <v>1</v>
      </c>
      <c r="D197" s="6" t="inlineStr">
        <is>
          <t>2013 Q1</t>
        </is>
      </c>
      <c r="E197" s="11" t="n">
        <v>91.98716</v>
      </c>
      <c r="F197" s="12" t="n">
        <v>5.84444126355401</v>
      </c>
      <c r="G197" s="10" t="n">
        <v>1.80916904042421</v>
      </c>
      <c r="H197" s="8" t="n">
        <v>8.09199335430087</v>
      </c>
      <c r="I197" s="11" t="n">
        <v>39.128963871411</v>
      </c>
      <c r="J197" s="11" t="n">
        <v>132.817536517934</v>
      </c>
      <c r="K197" s="8" t="n">
        <v>3.67848610842254</v>
      </c>
      <c r="L197" s="8" t="n">
        <v>112.344264317549</v>
      </c>
      <c r="M197" s="8" t="n">
        <v>-0.510765137598079</v>
      </c>
      <c r="N197" s="8" t="n">
        <v>0.143333333333333</v>
      </c>
      <c r="O197" s="8" t="n">
        <v>-0.0166666666666667</v>
      </c>
      <c r="P197" s="8" t="n">
        <v>112.493333333333</v>
      </c>
      <c r="Q197" s="8" t="n">
        <v>-5.06090528033308</v>
      </c>
      <c r="R197" s="10" t="n">
        <v>1</v>
      </c>
      <c r="S197" s="7" t="inlineStr">
        <is>
          <t>Minor_Imputation_1Var</t>
        </is>
      </c>
    </row>
    <row r="198" ht="19" customHeight="1">
      <c r="A198" s="6" t="inlineStr">
        <is>
          <t>Laos</t>
        </is>
      </c>
      <c r="B198" s="10" t="n">
        <v>2013</v>
      </c>
      <c r="C198" s="10" t="n">
        <v>2</v>
      </c>
      <c r="D198" s="6" t="inlineStr">
        <is>
          <t>2013 Q2</t>
        </is>
      </c>
      <c r="E198" s="11" t="n">
        <v>93.9995233333333</v>
      </c>
      <c r="F198" s="12" t="n">
        <v>5.80405335132661</v>
      </c>
      <c r="G198" s="10" t="n">
        <v>2.18765677006805</v>
      </c>
      <c r="H198" s="8" t="n">
        <v>8.07552597050443</v>
      </c>
      <c r="I198" s="11" t="n">
        <v>39.128963871411</v>
      </c>
      <c r="J198" s="11" t="n">
        <v>139.171160116821</v>
      </c>
      <c r="K198" s="8" t="n">
        <v>6.73338623730153</v>
      </c>
      <c r="L198" s="8" t="n">
        <v>111.205746192615</v>
      </c>
      <c r="M198" s="8" t="n">
        <v>2.32916140689856</v>
      </c>
      <c r="N198" s="8" t="n">
        <v>0.116666666666667</v>
      </c>
      <c r="O198" s="8" t="n">
        <v>-0.0266666666666667</v>
      </c>
      <c r="P198" s="8" t="n">
        <v>102.576666666667</v>
      </c>
      <c r="Q198" s="8" t="n">
        <v>-5.38662567255957</v>
      </c>
      <c r="R198" s="10" t="n">
        <v>1</v>
      </c>
      <c r="S198" s="7" t="inlineStr">
        <is>
          <t>Minor_Imputation_1Var</t>
        </is>
      </c>
    </row>
    <row r="199" ht="19" customHeight="1">
      <c r="A199" s="6" t="inlineStr">
        <is>
          <t>Laos</t>
        </is>
      </c>
      <c r="B199" s="10" t="n">
        <v>2013</v>
      </c>
      <c r="C199" s="10" t="n">
        <v>3</v>
      </c>
      <c r="D199" s="6" t="inlineStr">
        <is>
          <t>2013 Q3</t>
        </is>
      </c>
      <c r="E199" s="11" t="n">
        <v>95.7445366666667</v>
      </c>
      <c r="F199" s="12" t="n">
        <v>7.04155621999847</v>
      </c>
      <c r="G199" s="10" t="n">
        <v>1.8564065768135</v>
      </c>
      <c r="H199" s="8" t="n">
        <v>8.018066549457521</v>
      </c>
      <c r="I199" s="11" t="n">
        <v>39.128963871411</v>
      </c>
      <c r="J199" s="11" t="n">
        <v>141.457203953917</v>
      </c>
      <c r="K199" s="8" t="n">
        <v>7.97187186678339</v>
      </c>
      <c r="L199" s="8" t="n">
        <v>106.517639660823</v>
      </c>
      <c r="M199" s="8" t="n">
        <v>-4.91313637859304</v>
      </c>
      <c r="N199" s="8" t="n">
        <v>0.0833333333333333</v>
      </c>
      <c r="O199" s="8" t="n">
        <v>-0.0333333333333333</v>
      </c>
      <c r="P199" s="8" t="n">
        <v>110.27</v>
      </c>
      <c r="Q199" s="8" t="n">
        <v>0.599075538255689</v>
      </c>
      <c r="R199" s="10" t="n">
        <v>1</v>
      </c>
      <c r="S199" s="7" t="inlineStr">
        <is>
          <t>Minor_Imputation_1Var</t>
        </is>
      </c>
    </row>
    <row r="200" ht="19" customHeight="1">
      <c r="A200" s="6" t="inlineStr">
        <is>
          <t>Laos</t>
        </is>
      </c>
      <c r="B200" s="10" t="n">
        <v>2013</v>
      </c>
      <c r="C200" s="10" t="n">
        <v>4</v>
      </c>
      <c r="D200" s="6" t="inlineStr">
        <is>
          <t>2013 Q4</t>
        </is>
      </c>
      <c r="E200" s="11" t="n">
        <v>96.4719333333333</v>
      </c>
      <c r="F200" s="12" t="n">
        <v>6.77280794830353</v>
      </c>
      <c r="G200" s="10" t="n">
        <v>0.759726551499318</v>
      </c>
      <c r="H200" s="8" t="n">
        <v>7.91961503370144</v>
      </c>
      <c r="I200" s="11" t="n">
        <v>39.128963871411</v>
      </c>
      <c r="J200" s="11" t="n">
        <v>139.543719946047</v>
      </c>
      <c r="K200" s="8" t="n">
        <v>7.33136122982878</v>
      </c>
      <c r="L200" s="8" t="n">
        <v>108.042368791302</v>
      </c>
      <c r="M200" s="8" t="n">
        <v>-3.57114341043118</v>
      </c>
      <c r="N200" s="8" t="n">
        <v>0.0866666666666667</v>
      </c>
      <c r="O200" s="8" t="n">
        <v>0.0033333333333333</v>
      </c>
      <c r="P200" s="8" t="n">
        <v>109.21</v>
      </c>
      <c r="Q200" s="8" t="n">
        <v>-0.796342275782702</v>
      </c>
      <c r="R200" s="10" t="n">
        <v>1</v>
      </c>
      <c r="S200" s="7" t="inlineStr">
        <is>
          <t>Minor_Imputation_1Var</t>
        </is>
      </c>
    </row>
    <row r="201" ht="19" customHeight="1">
      <c r="A201" s="6" t="inlineStr">
        <is>
          <t>Laos</t>
        </is>
      </c>
      <c r="B201" s="10" t="n">
        <v>2014</v>
      </c>
      <c r="C201" s="10" t="n">
        <v>1</v>
      </c>
      <c r="D201" s="6" t="inlineStr">
        <is>
          <t>2014 Q1</t>
        </is>
      </c>
      <c r="E201" s="11" t="n">
        <v>97.18880666666669</v>
      </c>
      <c r="F201" s="12" t="n">
        <v>5.65475297494418</v>
      </c>
      <c r="G201" s="10" t="n">
        <v>0.743090045533101</v>
      </c>
      <c r="H201" s="8" t="n">
        <v>7.78017132479342</v>
      </c>
      <c r="I201" s="11" t="n">
        <v>39.128963871411</v>
      </c>
      <c r="J201" s="11" t="n">
        <v>140.597714118778</v>
      </c>
      <c r="K201" s="8" t="n">
        <v>5.85779393656631</v>
      </c>
      <c r="L201" s="8" t="n">
        <v>109.985285302654</v>
      </c>
      <c r="M201" s="8" t="n">
        <v>-2.09977699282194</v>
      </c>
      <c r="N201" s="8" t="n">
        <v>0.07333333333333331</v>
      </c>
      <c r="O201" s="8" t="n">
        <v>-0.0133333333333333</v>
      </c>
      <c r="P201" s="8" t="n">
        <v>108.166666666667</v>
      </c>
      <c r="Q201" s="8" t="n">
        <v>-3.84615384615383</v>
      </c>
      <c r="R201" s="10" t="n">
        <v>1</v>
      </c>
      <c r="S201" s="7" t="inlineStr">
        <is>
          <t>Minor_Imputation_1Var</t>
        </is>
      </c>
    </row>
    <row r="202" ht="19" customHeight="1">
      <c r="A202" s="6" t="inlineStr">
        <is>
          <t>Laos</t>
        </is>
      </c>
      <c r="B202" s="10" t="n">
        <v>2014</v>
      </c>
      <c r="C202" s="10" t="n">
        <v>2</v>
      </c>
      <c r="D202" s="6" t="inlineStr">
        <is>
          <t>2014 Q2</t>
        </is>
      </c>
      <c r="E202" s="11" t="n">
        <v>98.4577666666667</v>
      </c>
      <c r="F202" s="12" t="n">
        <v>4.74283610728949</v>
      </c>
      <c r="G202" s="10" t="n">
        <v>1.30566476070872</v>
      </c>
      <c r="H202" s="8" t="n">
        <v>7.65711074711729</v>
      </c>
      <c r="I202" s="11" t="n">
        <v>39.128963871411</v>
      </c>
      <c r="J202" s="11" t="n">
        <v>139.59080740912</v>
      </c>
      <c r="K202" s="8" t="n">
        <v>0.301533228541762</v>
      </c>
      <c r="L202" s="8" t="n">
        <v>111.498689744988</v>
      </c>
      <c r="M202" s="8" t="n">
        <v>0.26342483406061</v>
      </c>
      <c r="N202" s="8" t="n">
        <v>0.0933333333333333</v>
      </c>
      <c r="O202" s="8" t="n">
        <v>0.02</v>
      </c>
      <c r="P202" s="8" t="n">
        <v>109.7</v>
      </c>
      <c r="Q202" s="8" t="n">
        <v>6.94439931108439</v>
      </c>
      <c r="R202" s="10" t="n">
        <v>1</v>
      </c>
      <c r="S202" s="7" t="inlineStr">
        <is>
          <t>Minor_Imputation_1Var</t>
        </is>
      </c>
    </row>
    <row r="203" ht="19" customHeight="1">
      <c r="A203" s="6" t="inlineStr">
        <is>
          <t>Laos</t>
        </is>
      </c>
      <c r="B203" s="10" t="n">
        <v>2014</v>
      </c>
      <c r="C203" s="10" t="n">
        <v>3</v>
      </c>
      <c r="D203" s="6" t="inlineStr">
        <is>
          <t>2014 Q3</t>
        </is>
      </c>
      <c r="E203" s="11" t="n">
        <v>99.05127666666669</v>
      </c>
      <c r="F203" s="12" t="n">
        <v>3.45371142325579</v>
      </c>
      <c r="G203" s="10" t="n">
        <v>0.602806685641522</v>
      </c>
      <c r="H203" s="8" t="n">
        <v>7.55043317763597</v>
      </c>
      <c r="I203" s="11" t="n">
        <v>39.128963871411</v>
      </c>
      <c r="J203" s="11" t="n">
        <v>141.163185015967</v>
      </c>
      <c r="K203" s="8" t="n">
        <v>-0.207850098639328</v>
      </c>
      <c r="L203" s="8" t="n">
        <v>104.211407968198</v>
      </c>
      <c r="M203" s="8" t="n">
        <v>-2.16511715802957</v>
      </c>
      <c r="N203" s="8" t="n">
        <v>0.09</v>
      </c>
      <c r="O203" s="8" t="n">
        <v>-0.0033333333333333</v>
      </c>
      <c r="P203" s="8" t="n">
        <v>101.823333333333</v>
      </c>
      <c r="Q203" s="8" t="n">
        <v>-7.65998609473715</v>
      </c>
      <c r="R203" s="10" t="n">
        <v>1</v>
      </c>
      <c r="S203" s="7" t="inlineStr">
        <is>
          <t>Minor_Imputation_1Var</t>
        </is>
      </c>
    </row>
    <row r="204" ht="19" customHeight="1">
      <c r="A204" s="6" t="inlineStr">
        <is>
          <t>Laos</t>
        </is>
      </c>
      <c r="B204" s="10" t="n">
        <v>2014</v>
      </c>
      <c r="C204" s="10" t="n">
        <v>4</v>
      </c>
      <c r="D204" s="6" t="inlineStr">
        <is>
          <t>2014 Q4</t>
        </is>
      </c>
      <c r="E204" s="11" t="n">
        <v>99.12222666666671</v>
      </c>
      <c r="F204" s="12" t="n">
        <v>2.74721697986082</v>
      </c>
      <c r="G204" s="10" t="n">
        <v>0.0716295664101141</v>
      </c>
      <c r="H204" s="8" t="n">
        <v>7.46013850964773</v>
      </c>
      <c r="I204" s="11" t="n">
        <v>39.128963871411</v>
      </c>
      <c r="J204" s="11" t="n">
        <v>147.09207161131</v>
      </c>
      <c r="K204" s="8" t="n">
        <v>5.40930947532547</v>
      </c>
      <c r="L204" s="8" t="n">
        <v>99.4046630544031</v>
      </c>
      <c r="M204" s="8" t="n">
        <v>-7.9947393171137</v>
      </c>
      <c r="N204" s="8" t="n">
        <v>0.1</v>
      </c>
      <c r="O204" s="8" t="n">
        <v>0.01</v>
      </c>
      <c r="P204" s="8" t="n">
        <v>76.40333333333329</v>
      </c>
      <c r="Q204" s="8" t="n">
        <v>-30.0399841284376</v>
      </c>
      <c r="R204" s="10" t="n">
        <v>1</v>
      </c>
      <c r="S204" s="7" t="inlineStr">
        <is>
          <t>Minor_Imputation_1Var</t>
        </is>
      </c>
    </row>
    <row r="205" ht="19" customHeight="1">
      <c r="A205" s="6" t="inlineStr">
        <is>
          <t>Laos</t>
        </is>
      </c>
      <c r="B205" s="10" t="n">
        <v>2015</v>
      </c>
      <c r="C205" s="10" t="n">
        <v>1</v>
      </c>
      <c r="D205" s="6" t="inlineStr">
        <is>
          <t>2015 Q1</t>
        </is>
      </c>
      <c r="E205" s="11" t="n">
        <v>98.70072</v>
      </c>
      <c r="F205" s="12" t="n">
        <v>1.55564553695862</v>
      </c>
      <c r="G205" s="10" t="n">
        <v>-0.425239303878977</v>
      </c>
      <c r="H205" s="8" t="n">
        <v>7.38622665287953</v>
      </c>
      <c r="I205" s="11" t="n">
        <v>39.128963871411</v>
      </c>
      <c r="J205" s="11" t="n">
        <v>152.715911605448</v>
      </c>
      <c r="K205" s="8" t="n">
        <v>8.61905726037042</v>
      </c>
      <c r="L205" s="8" t="n">
        <v>100.657732001964</v>
      </c>
      <c r="M205" s="8" t="n">
        <v>-8.4807283765489</v>
      </c>
      <c r="N205" s="8" t="n">
        <v>0.11</v>
      </c>
      <c r="O205" s="8" t="n">
        <v>0.01</v>
      </c>
      <c r="P205" s="8" t="n">
        <v>53.9166666666667</v>
      </c>
      <c r="Q205" s="8" t="n">
        <v>-50.1540832049307</v>
      </c>
      <c r="R205" s="10" t="n">
        <v>1</v>
      </c>
      <c r="S205" s="7" t="inlineStr">
        <is>
          <t>Minor_Imputation_1Var</t>
        </is>
      </c>
    </row>
    <row r="206" ht="19" customHeight="1">
      <c r="A206" s="6" t="inlineStr">
        <is>
          <t>Laos</t>
        </is>
      </c>
      <c r="B206" s="10" t="n">
        <v>2015</v>
      </c>
      <c r="C206" s="10" t="n">
        <v>2</v>
      </c>
      <c r="D206" s="6" t="inlineStr">
        <is>
          <t>2015 Q2</t>
        </is>
      </c>
      <c r="E206" s="11" t="n">
        <v>99.6098833333333</v>
      </c>
      <c r="F206" s="12" t="n">
        <v>1.17016331537074</v>
      </c>
      <c r="G206" s="10" t="n">
        <v>0.921131409510823</v>
      </c>
      <c r="H206" s="8" t="n">
        <v>7.31019762473993</v>
      </c>
      <c r="I206" s="11" t="n">
        <v>39.128963871411</v>
      </c>
      <c r="J206" s="11" t="n">
        <v>154.848336134493</v>
      </c>
      <c r="K206" s="8" t="n">
        <v>10.9301815847053</v>
      </c>
      <c r="L206" s="8" t="n">
        <v>96.8474817130345</v>
      </c>
      <c r="M206" s="8" t="n">
        <v>-13.1402513029193</v>
      </c>
      <c r="N206" s="8" t="n">
        <v>0.123333333333333</v>
      </c>
      <c r="O206" s="8" t="n">
        <v>0.0133333333333333</v>
      </c>
      <c r="P206" s="8" t="n">
        <v>61.6933333333333</v>
      </c>
      <c r="Q206" s="8" t="n">
        <v>-43.761774536615</v>
      </c>
      <c r="R206" s="10" t="n">
        <v>1</v>
      </c>
      <c r="S206" s="7" t="inlineStr">
        <is>
          <t>Minor_Imputation_1Var</t>
        </is>
      </c>
    </row>
    <row r="207" ht="19" customHeight="1">
      <c r="A207" s="6" t="inlineStr">
        <is>
          <t>Laos</t>
        </is>
      </c>
      <c r="B207" s="10" t="n">
        <v>2015</v>
      </c>
      <c r="C207" s="10" t="n">
        <v>3</v>
      </c>
      <c r="D207" s="6" t="inlineStr">
        <is>
          <t>2015 Q3</t>
        </is>
      </c>
      <c r="E207" s="11" t="n">
        <v>100.268116666667</v>
      </c>
      <c r="F207" s="12" t="n">
        <v>1.22849501889308</v>
      </c>
      <c r="G207" s="10" t="n">
        <v>0.660811268225903</v>
      </c>
      <c r="H207" s="8" t="n">
        <v>7.23205134922082</v>
      </c>
      <c r="I207" s="11" t="n">
        <v>39.128963871411</v>
      </c>
      <c r="J207" s="11" t="n">
        <v>158.864907292338</v>
      </c>
      <c r="K207" s="8" t="n">
        <v>12.5399000273118</v>
      </c>
      <c r="L207" s="8" t="n">
        <v>92.7459060049042</v>
      </c>
      <c r="M207" s="8" t="n">
        <v>-11.002156277164</v>
      </c>
      <c r="N207" s="8" t="n">
        <v>0.136666666666667</v>
      </c>
      <c r="O207" s="8" t="n">
        <v>0.0133333333333333</v>
      </c>
      <c r="P207" s="8" t="n">
        <v>50.2333333333333</v>
      </c>
      <c r="Q207" s="8" t="n">
        <v>-50.666186532229</v>
      </c>
      <c r="R207" s="10" t="n">
        <v>1</v>
      </c>
      <c r="S207" s="7" t="inlineStr">
        <is>
          <t>Minor_Imputation_1Var</t>
        </is>
      </c>
    </row>
    <row r="208" ht="19" customHeight="1">
      <c r="A208" s="6" t="inlineStr">
        <is>
          <t>Laos</t>
        </is>
      </c>
      <c r="B208" s="10" t="n">
        <v>2015</v>
      </c>
      <c r="C208" s="10" t="n">
        <v>4</v>
      </c>
      <c r="D208" s="6" t="inlineStr">
        <is>
          <t>2015 Q4</t>
        </is>
      </c>
      <c r="E208" s="11" t="n">
        <v>100.27184</v>
      </c>
      <c r="F208" s="12" t="n">
        <v>1.15979369309298</v>
      </c>
      <c r="G208" s="10" t="n">
        <v>0.0037133771502828</v>
      </c>
      <c r="H208" s="8" t="n">
        <v>7.15178774815868</v>
      </c>
      <c r="I208" s="11" t="n">
        <v>39.128963871411</v>
      </c>
      <c r="J208" s="11" t="n">
        <v>161.942420519214</v>
      </c>
      <c r="K208" s="8" t="n">
        <v>10.0959546937007</v>
      </c>
      <c r="L208" s="8" t="n">
        <v>90.3005619231251</v>
      </c>
      <c r="M208" s="8" t="n">
        <v>-9.15862581446042</v>
      </c>
      <c r="N208" s="8" t="n">
        <v>0.16</v>
      </c>
      <c r="O208" s="8" t="n">
        <v>0.0233333333333333</v>
      </c>
      <c r="P208" s="8" t="n">
        <v>43.57</v>
      </c>
      <c r="Q208" s="8" t="n">
        <v>-42.9736922472842</v>
      </c>
      <c r="R208" s="10" t="n">
        <v>1</v>
      </c>
      <c r="S208" s="7" t="inlineStr">
        <is>
          <t>Minor_Imputation_1Var</t>
        </is>
      </c>
    </row>
    <row r="209" ht="19" customHeight="1">
      <c r="A209" s="6" t="inlineStr">
        <is>
          <t>Laos</t>
        </is>
      </c>
      <c r="B209" s="10" t="n">
        <v>2016</v>
      </c>
      <c r="C209" s="10" t="n">
        <v>1</v>
      </c>
      <c r="D209" s="6" t="inlineStr">
        <is>
          <t>2016 Q1</t>
        </is>
      </c>
      <c r="E209" s="11" t="n">
        <v>99.77977</v>
      </c>
      <c r="F209" s="12" t="n">
        <v>1.09325443623915</v>
      </c>
      <c r="G209" s="10" t="n">
        <v>-0.490735983302992</v>
      </c>
      <c r="H209" s="8" t="n">
        <v>7.06940674130232</v>
      </c>
      <c r="I209" s="11" t="n">
        <v>39.128963871411</v>
      </c>
      <c r="J209" s="11" t="n">
        <v>162.425190227477</v>
      </c>
      <c r="K209" s="8" t="n">
        <v>6.35773870578307</v>
      </c>
      <c r="L209" s="8" t="n">
        <v>91.66230580090431</v>
      </c>
      <c r="M209" s="8" t="n">
        <v>-8.936647013747329</v>
      </c>
      <c r="N209" s="8" t="n">
        <v>0.36</v>
      </c>
      <c r="O209" s="8" t="n">
        <v>0.2</v>
      </c>
      <c r="P209" s="8" t="n">
        <v>33.6966666666667</v>
      </c>
      <c r="Q209" s="8" t="n">
        <v>-37.5023183925811</v>
      </c>
      <c r="R209" s="10" t="n">
        <v>1</v>
      </c>
      <c r="S209" s="7" t="inlineStr">
        <is>
          <t>Minor_Imputation_1Var</t>
        </is>
      </c>
    </row>
    <row r="210" ht="19" customHeight="1">
      <c r="A210" s="6" t="inlineStr">
        <is>
          <t>Laos</t>
        </is>
      </c>
      <c r="B210" s="10" t="n">
        <v>2016</v>
      </c>
      <c r="C210" s="10" t="n">
        <v>2</v>
      </c>
      <c r="D210" s="6" t="inlineStr">
        <is>
          <t>2016 Q2</t>
        </is>
      </c>
      <c r="E210" s="11" t="n">
        <v>100.858703333333</v>
      </c>
      <c r="F210" s="12" t="n">
        <v>1.25371093531048</v>
      </c>
      <c r="G210" s="10" t="n">
        <v>1.08131471272517</v>
      </c>
      <c r="H210" s="8" t="n">
        <v>7.01782616674709</v>
      </c>
      <c r="I210" s="11" t="n">
        <v>39.128963871411</v>
      </c>
      <c r="J210" s="11" t="n">
        <v>159.9059300339</v>
      </c>
      <c r="K210" s="8" t="n">
        <v>3.26615966671642</v>
      </c>
      <c r="L210" s="8" t="n">
        <v>96.9846126235507</v>
      </c>
      <c r="M210" s="8" t="n">
        <v>0.141594709630688</v>
      </c>
      <c r="N210" s="8" t="n">
        <v>0.373333333333333</v>
      </c>
      <c r="O210" s="8" t="n">
        <v>0.0133333333333334</v>
      </c>
      <c r="P210" s="8" t="n">
        <v>45.5233333333333</v>
      </c>
      <c r="Q210" s="8" t="n">
        <v>-26.2102874432678</v>
      </c>
      <c r="R210" s="10" t="n">
        <v>1</v>
      </c>
      <c r="S210" s="7" t="inlineStr">
        <is>
          <t>Minor_Imputation_1Var</t>
        </is>
      </c>
    </row>
    <row r="211" ht="19" customHeight="1">
      <c r="A211" s="6" t="inlineStr">
        <is>
          <t>Laos</t>
        </is>
      </c>
      <c r="B211" s="10" t="n">
        <v>2016</v>
      </c>
      <c r="C211" s="10" t="n">
        <v>3</v>
      </c>
      <c r="D211" s="6" t="inlineStr">
        <is>
          <t>2016 Q3</t>
        </is>
      </c>
      <c r="E211" s="11" t="n">
        <v>102.15992</v>
      </c>
      <c r="F211" s="12" t="n">
        <v>1.88674465645193</v>
      </c>
      <c r="G211" s="10" t="n">
        <v>1.29013820687958</v>
      </c>
      <c r="H211" s="8" t="n">
        <v>6.99704597294189</v>
      </c>
      <c r="I211" s="11" t="n">
        <v>39.128963871411</v>
      </c>
      <c r="J211" s="11" t="n">
        <v>161.205305533476</v>
      </c>
      <c r="K211" s="8" t="n">
        <v>1.47320026872353</v>
      </c>
      <c r="L211" s="8" t="n">
        <v>100.864699533998</v>
      </c>
      <c r="M211" s="8" t="n">
        <v>8.75380259767431</v>
      </c>
      <c r="N211" s="8" t="n">
        <v>0.396666666666667</v>
      </c>
      <c r="O211" s="8" t="n">
        <v>0.0233333333333333</v>
      </c>
      <c r="P211" s="8" t="n">
        <v>45.7866666666667</v>
      </c>
      <c r="Q211" s="8" t="n">
        <v>-8.852023888520231</v>
      </c>
      <c r="R211" s="10" t="n">
        <v>1</v>
      </c>
      <c r="S211" s="7" t="inlineStr">
        <is>
          <t>Minor_Imputation_1Var</t>
        </is>
      </c>
    </row>
    <row r="212" ht="19" customHeight="1">
      <c r="A212" s="6" t="inlineStr">
        <is>
          <t>Laos</t>
        </is>
      </c>
      <c r="B212" s="10" t="n">
        <v>2016</v>
      </c>
      <c r="C212" s="10" t="n">
        <v>4</v>
      </c>
      <c r="D212" s="6" t="inlineStr">
        <is>
          <t>2016 Q4</t>
        </is>
      </c>
      <c r="E212" s="11" t="n">
        <v>102.421456666667</v>
      </c>
      <c r="F212" s="12" t="n">
        <v>2.14378899067442</v>
      </c>
      <c r="G212" s="10" t="n">
        <v>0.256007117729418</v>
      </c>
      <c r="H212" s="8" t="n">
        <v>7.00706613906479</v>
      </c>
      <c r="I212" s="11" t="n">
        <v>39.128963871411</v>
      </c>
      <c r="J212" s="11" t="n">
        <v>164.31033689507</v>
      </c>
      <c r="K212" s="8" t="n">
        <v>1.46219648209776</v>
      </c>
      <c r="L212" s="8" t="n">
        <v>101.835604997953</v>
      </c>
      <c r="M212" s="8" t="n">
        <v>12.7740545896579</v>
      </c>
      <c r="N212" s="8" t="n">
        <v>0.45</v>
      </c>
      <c r="O212" s="8" t="n">
        <v>0.0533333333333333</v>
      </c>
      <c r="P212" s="8" t="n">
        <v>49.1866666666667</v>
      </c>
      <c r="Q212" s="8" t="n">
        <v>12.8911330426134</v>
      </c>
      <c r="R212" s="10" t="n">
        <v>1</v>
      </c>
      <c r="S212" s="7" t="inlineStr">
        <is>
          <t>Minor_Imputation_1Var</t>
        </is>
      </c>
    </row>
    <row r="213" ht="19" customHeight="1">
      <c r="A213" s="6" t="inlineStr">
        <is>
          <t>Laos</t>
        </is>
      </c>
      <c r="B213" s="10" t="n">
        <v>2017</v>
      </c>
      <c r="C213" s="10" t="n">
        <v>1</v>
      </c>
      <c r="D213" s="6" t="inlineStr">
        <is>
          <t>2017 Q1</t>
        </is>
      </c>
      <c r="E213" s="11" t="n">
        <v>101.671143333333</v>
      </c>
      <c r="F213" s="12" t="n">
        <v>1.89554789847013</v>
      </c>
      <c r="G213" s="10" t="n">
        <v>-0.732574362592064</v>
      </c>
      <c r="H213" s="8" t="n">
        <v>7.0478866751705</v>
      </c>
      <c r="I213" s="11" t="n">
        <v>39.128963871411</v>
      </c>
      <c r="J213" s="11" t="n">
        <v>162.860067399009</v>
      </c>
      <c r="K213" s="8" t="n">
        <v>0.267739979817061</v>
      </c>
      <c r="L213" s="8" t="n">
        <v>100.125779631695</v>
      </c>
      <c r="M213" s="8" t="n">
        <v>9.23331980015236</v>
      </c>
      <c r="N213" s="8" t="n">
        <v>0.7</v>
      </c>
      <c r="O213" s="8" t="n">
        <v>0.25</v>
      </c>
      <c r="P213" s="8" t="n">
        <v>53.68</v>
      </c>
      <c r="Q213" s="8" t="n">
        <v>59.30359085963</v>
      </c>
      <c r="R213" s="10" t="n">
        <v>1</v>
      </c>
      <c r="S213" s="7" t="inlineStr">
        <is>
          <t>Minor_Imputation_1Var</t>
        </is>
      </c>
    </row>
    <row r="214" ht="19" customHeight="1">
      <c r="A214" s="6" t="inlineStr">
        <is>
          <t>Laos</t>
        </is>
      </c>
      <c r="B214" s="10" t="n">
        <v>2017</v>
      </c>
      <c r="C214" s="10" t="n">
        <v>2</v>
      </c>
      <c r="D214" s="6" t="inlineStr">
        <is>
          <t>2017 Q2</t>
        </is>
      </c>
      <c r="E214" s="11" t="n">
        <v>101.866443333333</v>
      </c>
      <c r="F214" s="12" t="n">
        <v>0.999160178244085</v>
      </c>
      <c r="G214" s="10" t="n">
        <v>0.192089902402004</v>
      </c>
      <c r="H214" s="8" t="n">
        <v>7.00207260018713</v>
      </c>
      <c r="I214" s="11" t="n">
        <v>39.128963871411</v>
      </c>
      <c r="J214" s="11" t="n">
        <v>158.608551402304</v>
      </c>
      <c r="K214" s="8" t="n">
        <v>-0.811338660999239</v>
      </c>
      <c r="L214" s="8" t="n">
        <v>99.4605526807123</v>
      </c>
      <c r="M214" s="8" t="n">
        <v>2.55292049963849</v>
      </c>
      <c r="N214" s="8" t="n">
        <v>0.95</v>
      </c>
      <c r="O214" s="8" t="n">
        <v>0.25</v>
      </c>
      <c r="P214" s="8" t="n">
        <v>49.67</v>
      </c>
      <c r="Q214" s="8" t="n">
        <v>9.10888189207</v>
      </c>
      <c r="R214" s="10" t="n">
        <v>1</v>
      </c>
      <c r="S214" s="7" t="inlineStr">
        <is>
          <t>Minor_Imputation_1Var</t>
        </is>
      </c>
    </row>
    <row r="215" ht="19" customHeight="1">
      <c r="A215" s="6" t="inlineStr">
        <is>
          <t>Laos</t>
        </is>
      </c>
      <c r="B215" s="10" t="n">
        <v>2017</v>
      </c>
      <c r="C215" s="10" t="n">
        <v>3</v>
      </c>
      <c r="D215" s="6" t="inlineStr">
        <is>
          <t>2017 Q3</t>
        </is>
      </c>
      <c r="E215" s="11" t="n">
        <v>102.309293333333</v>
      </c>
      <c r="F215" s="12" t="n">
        <v>0.146215201943534</v>
      </c>
      <c r="G215" s="10" t="n">
        <v>0.434735900762617</v>
      </c>
      <c r="H215" s="8" t="n">
        <v>6.86962386832588</v>
      </c>
      <c r="I215" s="11" t="n">
        <v>39.128963871411</v>
      </c>
      <c r="J215" s="11" t="n">
        <v>151.503083820774</v>
      </c>
      <c r="K215" s="8" t="n">
        <v>-6.01854987377423</v>
      </c>
      <c r="L215" s="8" t="n">
        <v>102.480667511988</v>
      </c>
      <c r="M215" s="8" t="n">
        <v>1.60211450136303</v>
      </c>
      <c r="N215" s="8" t="n">
        <v>1.15333333333333</v>
      </c>
      <c r="O215" s="8" t="n">
        <v>0.203333333333333</v>
      </c>
      <c r="P215" s="8" t="n">
        <v>52.11</v>
      </c>
      <c r="Q215" s="8" t="n">
        <v>13.8104251601631</v>
      </c>
      <c r="R215" s="10" t="n">
        <v>1</v>
      </c>
      <c r="S215" s="7" t="inlineStr">
        <is>
          <t>Minor_Imputation_1Var</t>
        </is>
      </c>
    </row>
    <row r="216" ht="19" customHeight="1">
      <c r="A216" s="6" t="inlineStr">
        <is>
          <t>Laos</t>
        </is>
      </c>
      <c r="B216" s="10" t="n">
        <v>2017</v>
      </c>
      <c r="C216" s="10" t="n">
        <v>4</v>
      </c>
      <c r="D216" s="6" t="inlineStr">
        <is>
          <t>2017 Q4</t>
        </is>
      </c>
      <c r="E216" s="11" t="n">
        <v>102.717976666667</v>
      </c>
      <c r="F216" s="12" t="n">
        <v>0.28950964929646</v>
      </c>
      <c r="G216" s="10" t="n">
        <v>0.399458661103047</v>
      </c>
      <c r="H216" s="8" t="n">
        <v>6.65054034710756</v>
      </c>
      <c r="I216" s="11" t="n">
        <v>39.128963871411</v>
      </c>
      <c r="J216" s="11" t="n">
        <v>150.52305248378</v>
      </c>
      <c r="K216" s="8" t="n">
        <v>-8.39100246023729</v>
      </c>
      <c r="L216" s="8" t="n">
        <v>100.792675769869</v>
      </c>
      <c r="M216" s="8" t="n">
        <v>-1.0241302421728</v>
      </c>
      <c r="N216" s="8" t="n">
        <v>1.20333333333333</v>
      </c>
      <c r="O216" s="8" t="n">
        <v>0.05</v>
      </c>
      <c r="P216" s="8" t="n">
        <v>61.53</v>
      </c>
      <c r="Q216" s="8" t="n">
        <v>25.0948766603416</v>
      </c>
      <c r="R216" s="10" t="n">
        <v>1</v>
      </c>
      <c r="S216" s="7" t="inlineStr">
        <is>
          <t>Minor_Imputation_1Var</t>
        </is>
      </c>
    </row>
    <row r="217" ht="19" customHeight="1">
      <c r="A217" s="6" t="inlineStr">
        <is>
          <t>Laos</t>
        </is>
      </c>
      <c r="B217" s="10" t="n">
        <v>2018</v>
      </c>
      <c r="C217" s="10" t="n">
        <v>1</v>
      </c>
      <c r="D217" s="6" t="inlineStr">
        <is>
          <t>2018 Q1</t>
        </is>
      </c>
      <c r="E217" s="11" t="n">
        <v>103.230106666667</v>
      </c>
      <c r="F217" s="12" t="n">
        <v>1.53333904018587</v>
      </c>
      <c r="G217" s="10" t="n">
        <v>0.498578746018286</v>
      </c>
      <c r="H217" s="8" t="n">
        <v>6.34482181746769</v>
      </c>
      <c r="I217" s="11" t="n">
        <v>39.128963871411</v>
      </c>
      <c r="J217" s="11" t="n">
        <v>146.338273001266</v>
      </c>
      <c r="K217" s="8" t="n">
        <v>-10.1447792952613</v>
      </c>
      <c r="L217" s="8" t="n">
        <v>96.02404012089779</v>
      </c>
      <c r="M217" s="8" t="n">
        <v>-4.09658683895945</v>
      </c>
      <c r="N217" s="8" t="n">
        <v>1.44666666666667</v>
      </c>
      <c r="O217" s="8" t="n">
        <v>0.243333333333333</v>
      </c>
      <c r="P217" s="8" t="n">
        <v>66.8066666666667</v>
      </c>
      <c r="Q217" s="8" t="n">
        <v>24.4535519125683</v>
      </c>
      <c r="R217" s="10" t="n">
        <v>1</v>
      </c>
      <c r="S217" s="7" t="inlineStr">
        <is>
          <t>Minor_Imputation_1Var</t>
        </is>
      </c>
    </row>
    <row r="218" ht="19" customHeight="1">
      <c r="A218" s="6" t="inlineStr">
        <is>
          <t>Laos</t>
        </is>
      </c>
      <c r="B218" s="10" t="n">
        <v>2018</v>
      </c>
      <c r="C218" s="10" t="n">
        <v>2</v>
      </c>
      <c r="D218" s="6" t="inlineStr">
        <is>
          <t>2018 Q2</t>
        </is>
      </c>
      <c r="E218" s="11" t="n">
        <v>103.914083333333</v>
      </c>
      <c r="F218" s="12" t="n">
        <v>2.0101222080559</v>
      </c>
      <c r="G218" s="10" t="n">
        <v>0.6625747940717019</v>
      </c>
      <c r="H218" s="8" t="n">
        <v>6.18378974769721</v>
      </c>
      <c r="I218" s="11" t="n">
        <v>39.128963871411</v>
      </c>
      <c r="J218" s="11" t="n">
        <v>148.146330198269</v>
      </c>
      <c r="K218" s="8" t="n">
        <v>-6.59625292049858</v>
      </c>
      <c r="L218" s="8" t="n">
        <v>96.1737638878632</v>
      </c>
      <c r="M218" s="8" t="n">
        <v>-3.30461545231933</v>
      </c>
      <c r="N218" s="8" t="n">
        <v>1.73666666666667</v>
      </c>
      <c r="O218" s="8" t="n">
        <v>0.29</v>
      </c>
      <c r="P218" s="8" t="n">
        <v>74.5</v>
      </c>
      <c r="Q218" s="8" t="n">
        <v>49.9899335615059</v>
      </c>
      <c r="R218" s="10" t="n">
        <v>1</v>
      </c>
      <c r="S218" s="7" t="inlineStr">
        <is>
          <t>Minor_Imputation_1Var</t>
        </is>
      </c>
    </row>
    <row r="219" ht="19" customHeight="1">
      <c r="A219" s="6" t="inlineStr">
        <is>
          <t>Laos</t>
        </is>
      </c>
      <c r="B219" s="10" t="n">
        <v>2018</v>
      </c>
      <c r="C219" s="10" t="n">
        <v>3</v>
      </c>
      <c r="D219" s="6" t="inlineStr">
        <is>
          <t>2018 Q3</t>
        </is>
      </c>
      <c r="E219" s="11" t="n">
        <v>105.063146666667</v>
      </c>
      <c r="F219" s="12" t="n">
        <v>2.69169421819875</v>
      </c>
      <c r="G219" s="10" t="n">
        <v>1.10578210043715</v>
      </c>
      <c r="H219" s="8" t="n">
        <v>6.16744397676037</v>
      </c>
      <c r="I219" s="11" t="n">
        <v>39.128963871411</v>
      </c>
      <c r="J219" s="11" t="n">
        <v>150.246960169516</v>
      </c>
      <c r="K219" s="8" t="n">
        <v>-0.829107645586924</v>
      </c>
      <c r="L219" s="8" t="n">
        <v>93.2694805076009</v>
      </c>
      <c r="M219" s="8" t="n">
        <v>-8.98821917149397</v>
      </c>
      <c r="N219" s="8" t="n">
        <v>1.92333333333333</v>
      </c>
      <c r="O219" s="8" t="n">
        <v>0.186666666666667</v>
      </c>
      <c r="P219" s="8" t="n">
        <v>75.2233333333333</v>
      </c>
      <c r="Q219" s="8" t="n">
        <v>44.3548902961683</v>
      </c>
      <c r="R219" s="10" t="n">
        <v>1</v>
      </c>
      <c r="S219" s="7" t="inlineStr">
        <is>
          <t>Minor_Imputation_1Var</t>
        </is>
      </c>
    </row>
    <row r="220" ht="19" customHeight="1">
      <c r="A220" s="6" t="inlineStr">
        <is>
          <t>Laos</t>
        </is>
      </c>
      <c r="B220" s="10" t="n">
        <v>2018</v>
      </c>
      <c r="C220" s="10" t="n">
        <v>4</v>
      </c>
      <c r="D220" s="6" t="inlineStr">
        <is>
          <t>2018 Q4</t>
        </is>
      </c>
      <c r="E220" s="11" t="n">
        <v>104.693846666667</v>
      </c>
      <c r="F220" s="12" t="n">
        <v>1.92358734480524</v>
      </c>
      <c r="G220" s="10" t="n">
        <v>-0.35150289299033</v>
      </c>
      <c r="H220" s="8" t="n">
        <v>6.29578448831366</v>
      </c>
      <c r="I220" s="11" t="n">
        <v>39.128963871411</v>
      </c>
      <c r="J220" s="11" t="n">
        <v>149.783195151236</v>
      </c>
      <c r="K220" s="8" t="n">
        <v>-0.491524268432941</v>
      </c>
      <c r="L220" s="8" t="n">
        <v>90.7369363173618</v>
      </c>
      <c r="M220" s="8" t="n">
        <v>-9.976656910534739</v>
      </c>
      <c r="N220" s="8" t="n">
        <v>2.22</v>
      </c>
      <c r="O220" s="8" t="n">
        <v>0.296666666666667</v>
      </c>
      <c r="P220" s="8" t="n">
        <v>67.7133333333333</v>
      </c>
      <c r="Q220" s="8" t="n">
        <v>10.0492984452029</v>
      </c>
      <c r="R220" s="10" t="n">
        <v>1</v>
      </c>
      <c r="S220" s="7" t="inlineStr">
        <is>
          <t>Minor_Imputation_1Var</t>
        </is>
      </c>
    </row>
    <row r="221" ht="19" customHeight="1">
      <c r="A221" s="6" t="inlineStr">
        <is>
          <t>Laos</t>
        </is>
      </c>
      <c r="B221" s="10" t="n">
        <v>2019</v>
      </c>
      <c r="C221" s="10" t="n">
        <v>1</v>
      </c>
      <c r="D221" s="6" t="inlineStr">
        <is>
          <t>2019 Q1</t>
        </is>
      </c>
      <c r="E221" s="11" t="n">
        <v>104.861023333333</v>
      </c>
      <c r="F221" s="12" t="n">
        <v>1.57988470546964</v>
      </c>
      <c r="G221" s="10" t="n">
        <v>0.15968146360974</v>
      </c>
      <c r="H221" s="8" t="n">
        <v>6.56881141070119</v>
      </c>
      <c r="I221" s="11" t="n">
        <v>39.128963871411</v>
      </c>
      <c r="J221" s="11" t="n">
        <v>148.154079105405</v>
      </c>
      <c r="K221" s="8" t="n">
        <v>1.24082788931308</v>
      </c>
      <c r="L221" s="8" t="n">
        <v>93.8324987094736</v>
      </c>
      <c r="M221" s="8" t="n">
        <v>-2.2822841120463</v>
      </c>
      <c r="N221" s="8" t="n">
        <v>2.40333333333333</v>
      </c>
      <c r="O221" s="8" t="n">
        <v>0.183333333333333</v>
      </c>
      <c r="P221" s="8" t="n">
        <v>63.17</v>
      </c>
      <c r="Q221" s="8" t="n">
        <v>-5.4435685061371</v>
      </c>
      <c r="R221" s="10" t="n">
        <v>1</v>
      </c>
      <c r="S221" s="7" t="inlineStr">
        <is>
          <t>Minor_Imputation_1Var</t>
        </is>
      </c>
    </row>
    <row r="222" ht="19" customHeight="1">
      <c r="A222" s="6" t="inlineStr">
        <is>
          <t>Laos</t>
        </is>
      </c>
      <c r="B222" s="10" t="n">
        <v>2019</v>
      </c>
      <c r="C222" s="10" t="n">
        <v>2</v>
      </c>
      <c r="D222" s="6" t="inlineStr">
        <is>
          <t>2019 Q2</t>
        </is>
      </c>
      <c r="E222" s="11" t="n">
        <v>106.419573333333</v>
      </c>
      <c r="F222" s="12" t="n">
        <v>2.41111687620141</v>
      </c>
      <c r="G222" s="10" t="n">
        <v>1.48630058190988</v>
      </c>
      <c r="H222" s="8" t="n">
        <v>6.23359188080736</v>
      </c>
      <c r="I222" s="11" t="n">
        <v>39.128963871411</v>
      </c>
      <c r="J222" s="11" t="n">
        <v>148.571776044607</v>
      </c>
      <c r="K222" s="8" t="n">
        <v>0.287179470303567</v>
      </c>
      <c r="L222" s="8" t="n">
        <v>94.8842784155444</v>
      </c>
      <c r="M222" s="8" t="n">
        <v>-1.34078715461562</v>
      </c>
      <c r="N222" s="8" t="n">
        <v>2.39666666666667</v>
      </c>
      <c r="O222" s="8" t="n">
        <v>-0.0066666666666668</v>
      </c>
      <c r="P222" s="8" t="n">
        <v>68.9233333333333</v>
      </c>
      <c r="Q222" s="8" t="n">
        <v>-7.48545861297539</v>
      </c>
      <c r="R222" s="10" t="n">
        <v>1</v>
      </c>
      <c r="S222" s="7" t="inlineStr">
        <is>
          <t>Minor_Imputation_1Var</t>
        </is>
      </c>
    </row>
    <row r="223" ht="19" customHeight="1">
      <c r="A223" s="6" t="inlineStr">
        <is>
          <t>Laos</t>
        </is>
      </c>
      <c r="B223" s="10" t="n">
        <v>2019</v>
      </c>
      <c r="C223" s="10" t="n">
        <v>3</v>
      </c>
      <c r="D223" s="6" t="inlineStr">
        <is>
          <t>2019 Q3</t>
        </is>
      </c>
      <c r="E223" s="11" t="n">
        <v>108.65835</v>
      </c>
      <c r="F223" s="12" t="n">
        <v>3.42194522760662</v>
      </c>
      <c r="G223" s="10" t="n">
        <v>2.10372640722234</v>
      </c>
      <c r="H223" s="8" t="n">
        <v>5.29012556340512</v>
      </c>
      <c r="I223" s="11" t="n">
        <v>39.128963871411</v>
      </c>
      <c r="J223" s="11" t="n">
        <v>147.191215571596</v>
      </c>
      <c r="K223" s="8" t="n">
        <v>-2.03381459063974</v>
      </c>
      <c r="L223" s="8" t="n">
        <v>94.5983508132319</v>
      </c>
      <c r="M223" s="8" t="n">
        <v>1.42476434777905</v>
      </c>
      <c r="N223" s="8" t="n">
        <v>2.19</v>
      </c>
      <c r="O223" s="8" t="n">
        <v>-0.206666666666667</v>
      </c>
      <c r="P223" s="8" t="n">
        <v>61.93</v>
      </c>
      <c r="Q223" s="8" t="n">
        <v>-17.6718216865334</v>
      </c>
      <c r="R223" s="10" t="n">
        <v>1</v>
      </c>
      <c r="S223" s="7" t="inlineStr">
        <is>
          <t>Minor_Imputation_1Var</t>
        </is>
      </c>
    </row>
    <row r="224" ht="19" customHeight="1">
      <c r="A224" s="6" t="inlineStr">
        <is>
          <t>Laos</t>
        </is>
      </c>
      <c r="B224" s="10" t="n">
        <v>2019</v>
      </c>
      <c r="C224" s="10" t="n">
        <v>4</v>
      </c>
      <c r="D224" s="6" t="inlineStr">
        <is>
          <t>2019 Q4</t>
        </is>
      </c>
      <c r="E224" s="11" t="n">
        <v>110.814023333333</v>
      </c>
      <c r="F224" s="12" t="n">
        <v>5.8457845055141</v>
      </c>
      <c r="G224" s="10" t="n">
        <v>1.98390030157216</v>
      </c>
      <c r="H224" s="8" t="n">
        <v>3.73841151503471</v>
      </c>
      <c r="I224" s="11" t="n">
        <v>39.128963871411</v>
      </c>
      <c r="J224" s="11" t="n">
        <v>147.529247410385</v>
      </c>
      <c r="K224" s="8" t="n">
        <v>-1.50480682333942</v>
      </c>
      <c r="L224" s="8" t="n">
        <v>98.5900431134575</v>
      </c>
      <c r="M224" s="8" t="n">
        <v>8.654807088293911</v>
      </c>
      <c r="N224" s="8" t="n">
        <v>1.64333333333333</v>
      </c>
      <c r="O224" s="8" t="n">
        <v>-0.546666666666667</v>
      </c>
      <c r="P224" s="8" t="n">
        <v>63.41</v>
      </c>
      <c r="Q224" s="8" t="n">
        <v>-6.35522299891701</v>
      </c>
      <c r="R224" s="10" t="n">
        <v>1</v>
      </c>
      <c r="S224" s="7" t="inlineStr">
        <is>
          <t>Minor_Imputation_1Var</t>
        </is>
      </c>
    </row>
    <row r="225" ht="19" customHeight="1">
      <c r="A225" s="6" t="inlineStr">
        <is>
          <t>Laos</t>
        </is>
      </c>
      <c r="B225" s="10" t="n">
        <v>2020</v>
      </c>
      <c r="C225" s="10" t="n">
        <v>1</v>
      </c>
      <c r="D225" s="6" t="inlineStr">
        <is>
          <t>2020 Q1</t>
        </is>
      </c>
      <c r="E225" s="11" t="n">
        <v>111.612376666667</v>
      </c>
      <c r="F225" s="12" t="n">
        <v>6.4383820782218</v>
      </c>
      <c r="G225" s="10" t="n">
        <v>0.720444316809843</v>
      </c>
      <c r="H225" s="8" t="n">
        <v>1.57844818398955</v>
      </c>
      <c r="I225" s="11" t="n">
        <v>39.128963871411</v>
      </c>
      <c r="J225" s="11" t="n">
        <v>151.862762065351</v>
      </c>
      <c r="K225" s="8" t="n">
        <v>2.5032607825181</v>
      </c>
      <c r="L225" s="8" t="n">
        <v>101.264856657347</v>
      </c>
      <c r="M225" s="8" t="n">
        <v>7.92087821393919</v>
      </c>
      <c r="N225" s="8" t="n">
        <v>1.26</v>
      </c>
      <c r="O225" s="8" t="n">
        <v>-0.383333333333333</v>
      </c>
      <c r="P225" s="8" t="n">
        <v>50.44</v>
      </c>
      <c r="Q225" s="8" t="n">
        <v>-20.1519708722495</v>
      </c>
      <c r="R225" s="10" t="n">
        <v>1</v>
      </c>
      <c r="S225" s="7" t="inlineStr">
        <is>
          <t>Minor_Imputation_1Var</t>
        </is>
      </c>
    </row>
    <row r="226" ht="19" customHeight="1">
      <c r="A226" s="6" t="inlineStr">
        <is>
          <t>Laos</t>
        </is>
      </c>
      <c r="B226" s="10" t="n">
        <v>2020</v>
      </c>
      <c r="C226" s="10" t="n">
        <v>2</v>
      </c>
      <c r="D226" s="6" t="inlineStr">
        <is>
          <t>2020 Q2</t>
        </is>
      </c>
      <c r="E226" s="11" t="n">
        <v>112.348476666667</v>
      </c>
      <c r="F226" s="12" t="n">
        <v>5.57125268183749</v>
      </c>
      <c r="G226" s="10" t="n">
        <v>0.659514672103434</v>
      </c>
      <c r="H226" s="8" t="n">
        <v>0.284296870070841</v>
      </c>
      <c r="I226" s="11" t="n">
        <v>39.128963871411</v>
      </c>
      <c r="J226" s="11" t="n">
        <v>154.972074494507</v>
      </c>
      <c r="K226" s="8" t="n">
        <v>4.30788311232062</v>
      </c>
      <c r="L226" s="8" t="n">
        <v>94.2610802411244</v>
      </c>
      <c r="M226" s="8" t="n">
        <v>-0.656798138560644</v>
      </c>
      <c r="N226" s="8" t="n">
        <v>0.06</v>
      </c>
      <c r="O226" s="8" t="n">
        <v>-1.2</v>
      </c>
      <c r="P226" s="8" t="n">
        <v>29.3433333333333</v>
      </c>
      <c r="Q226" s="8" t="n">
        <v>-57.426125646854</v>
      </c>
      <c r="R226" s="10" t="n">
        <v>1</v>
      </c>
      <c r="S226" s="7" t="inlineStr">
        <is>
          <t>Minor_Imputation_1Var</t>
        </is>
      </c>
    </row>
    <row r="227" ht="19" customHeight="1">
      <c r="A227" s="6" t="inlineStr">
        <is>
          <t>Laos</t>
        </is>
      </c>
      <c r="B227" s="10" t="n">
        <v>2020</v>
      </c>
      <c r="C227" s="10" t="n">
        <v>3</v>
      </c>
      <c r="D227" s="6" t="inlineStr">
        <is>
          <t>2020 Q3</t>
        </is>
      </c>
      <c r="E227" s="11" t="n">
        <v>114.350286666667</v>
      </c>
      <c r="F227" s="12" t="n">
        <v>5.23837944038967</v>
      </c>
      <c r="G227" s="10" t="n">
        <v>1.78178650872078</v>
      </c>
      <c r="H227" s="8" t="n">
        <v>-0.14404372084654</v>
      </c>
      <c r="I227" s="11" t="n">
        <v>39.128963871411</v>
      </c>
      <c r="J227" s="11" t="n">
        <v>147.497444036377</v>
      </c>
      <c r="K227" s="8" t="n">
        <v>0.208048057482424</v>
      </c>
      <c r="L227" s="8" t="n">
        <v>97.88852553233011</v>
      </c>
      <c r="M227" s="8" t="n">
        <v>3.47804659469599</v>
      </c>
      <c r="N227" s="8" t="n">
        <v>0.0933333333333333</v>
      </c>
      <c r="O227" s="8" t="n">
        <v>0.0333333333333333</v>
      </c>
      <c r="P227" s="8" t="n">
        <v>42.9633333333333</v>
      </c>
      <c r="Q227" s="8" t="n">
        <v>-30.6259755638086</v>
      </c>
      <c r="R227" s="10" t="n">
        <v>1</v>
      </c>
      <c r="S227" s="7" t="inlineStr">
        <is>
          <t>Minor_Imputation_1Var</t>
        </is>
      </c>
    </row>
    <row r="228" ht="19" customHeight="1">
      <c r="A228" s="6" t="inlineStr">
        <is>
          <t>Laos</t>
        </is>
      </c>
      <c r="B228" s="10" t="n">
        <v>2020</v>
      </c>
      <c r="C228" s="10" t="n">
        <v>4</v>
      </c>
      <c r="D228" s="6" t="inlineStr">
        <is>
          <t>2020 Q4</t>
        </is>
      </c>
      <c r="E228" s="11" t="n">
        <v>114.42779</v>
      </c>
      <c r="F228" s="12" t="n">
        <v>3.26110952202889</v>
      </c>
      <c r="G228" s="10" t="n">
        <v>0.0677771220279233</v>
      </c>
      <c r="H228" s="8" t="n">
        <v>0.293425982863218</v>
      </c>
      <c r="I228" s="11" t="n">
        <v>39.128963871411</v>
      </c>
      <c r="J228" s="11" t="n">
        <v>142.160071703334</v>
      </c>
      <c r="K228" s="8" t="n">
        <v>-3.63939747629488</v>
      </c>
      <c r="L228" s="8" t="n">
        <v>107.405441783652</v>
      </c>
      <c r="M228" s="8" t="n">
        <v>8.9414695356711</v>
      </c>
      <c r="N228" s="8" t="n">
        <v>0.09</v>
      </c>
      <c r="O228" s="8" t="n">
        <v>-0.0033333333333333</v>
      </c>
      <c r="P228" s="8" t="n">
        <v>44.29</v>
      </c>
      <c r="Q228" s="8" t="n">
        <v>-30.152972717237</v>
      </c>
      <c r="R228" s="10" t="n">
        <v>1</v>
      </c>
      <c r="S228" s="7" t="inlineStr">
        <is>
          <t>Minor_Imputation_1Var</t>
        </is>
      </c>
    </row>
    <row r="229" ht="19" customHeight="1">
      <c r="A229" s="6" t="inlineStr">
        <is>
          <t>Laos</t>
        </is>
      </c>
      <c r="B229" s="10" t="n">
        <v>2021</v>
      </c>
      <c r="C229" s="10" t="n">
        <v>1</v>
      </c>
      <c r="D229" s="6" t="inlineStr">
        <is>
          <t>2021 Q1</t>
        </is>
      </c>
      <c r="E229" s="11" t="n">
        <v>114.023433333333</v>
      </c>
      <c r="F229" s="12" t="n">
        <v>2.1602054706418</v>
      </c>
      <c r="G229" s="10" t="n">
        <v>-0.353372783540318</v>
      </c>
      <c r="H229" s="8" t="n">
        <v>1.59670641869024</v>
      </c>
      <c r="I229" s="11" t="n">
        <v>39.128963871411</v>
      </c>
      <c r="J229" s="11" t="n">
        <v>140.323890726339</v>
      </c>
      <c r="K229" s="8" t="n">
        <v>-7.59822301536078</v>
      </c>
      <c r="L229" s="8" t="n">
        <v>106.418456967928</v>
      </c>
      <c r="M229" s="8" t="n">
        <v>5.08922886053087</v>
      </c>
      <c r="N229" s="8" t="n">
        <v>0.08</v>
      </c>
      <c r="O229" s="8" t="n">
        <v>-0.01</v>
      </c>
      <c r="P229" s="8" t="n">
        <v>60.82</v>
      </c>
      <c r="Q229" s="8" t="n">
        <v>20.578905630452</v>
      </c>
      <c r="R229" s="10" t="n">
        <v>1</v>
      </c>
      <c r="S229" s="7" t="inlineStr">
        <is>
          <t>Minor_Imputation_1Var</t>
        </is>
      </c>
    </row>
    <row r="230" ht="19" customHeight="1">
      <c r="A230" s="6" t="inlineStr">
        <is>
          <t>Laos</t>
        </is>
      </c>
      <c r="B230" s="10" t="n">
        <v>2021</v>
      </c>
      <c r="C230" s="10" t="n">
        <v>2</v>
      </c>
      <c r="D230" s="6" t="inlineStr">
        <is>
          <t>2021 Q2</t>
        </is>
      </c>
      <c r="E230" s="11" t="n">
        <v>116.379966666667</v>
      </c>
      <c r="F230" s="12" t="n">
        <v>3.58837976233648</v>
      </c>
      <c r="G230" s="10" t="n">
        <v>2.06670967926768</v>
      </c>
      <c r="H230" s="8" t="n">
        <v>2.49067602144546</v>
      </c>
      <c r="I230" s="11" t="n">
        <v>39.128963871411</v>
      </c>
      <c r="J230" s="11" t="n">
        <v>142.427000703407</v>
      </c>
      <c r="K230" s="8" t="n">
        <v>-8.095054436110781</v>
      </c>
      <c r="L230" s="8" t="n">
        <v>114.551815876528</v>
      </c>
      <c r="M230" s="8" t="n">
        <v>21.5261013172124</v>
      </c>
      <c r="N230" s="8" t="n">
        <v>0.07000000000000001</v>
      </c>
      <c r="O230" s="8" t="n">
        <v>-0.01</v>
      </c>
      <c r="P230" s="8" t="n">
        <v>68.8333333333333</v>
      </c>
      <c r="Q230" s="8" t="n">
        <v>134.579120754288</v>
      </c>
      <c r="R230" s="10" t="n">
        <v>1</v>
      </c>
      <c r="S230" s="7" t="inlineStr">
        <is>
          <t>Minor_Imputation_1Var</t>
        </is>
      </c>
    </row>
    <row r="231" ht="19" customHeight="1">
      <c r="A231" s="6" t="inlineStr">
        <is>
          <t>Laos</t>
        </is>
      </c>
      <c r="B231" s="10" t="n">
        <v>2021</v>
      </c>
      <c r="C231" s="10" t="n">
        <v>3</v>
      </c>
      <c r="D231" s="6" t="inlineStr">
        <is>
          <t>2021 Q3</t>
        </is>
      </c>
      <c r="E231" s="11" t="n">
        <v>119.1797</v>
      </c>
      <c r="F231" s="12" t="n">
        <v>4.22335043847435</v>
      </c>
      <c r="G231" s="10" t="n">
        <v>2.40568322325807</v>
      </c>
      <c r="H231" s="8" t="n">
        <v>2.97533568506898</v>
      </c>
      <c r="I231" s="11" t="n">
        <v>39.128963871411</v>
      </c>
      <c r="J231" s="11" t="n">
        <v>144.085634413595</v>
      </c>
      <c r="K231" s="8" t="n">
        <v>-2.31313135293447</v>
      </c>
      <c r="L231" s="8" t="n">
        <v>116.298331246585</v>
      </c>
      <c r="M231" s="8" t="n">
        <v>18.8069087915464</v>
      </c>
      <c r="N231" s="8" t="n">
        <v>0.09</v>
      </c>
      <c r="O231" s="8" t="n">
        <v>0.02</v>
      </c>
      <c r="P231" s="8" t="n">
        <v>73.47</v>
      </c>
      <c r="Q231" s="8" t="n">
        <v>71.0062844285825</v>
      </c>
      <c r="R231" s="10" t="n">
        <v>1</v>
      </c>
      <c r="S231" s="7" t="inlineStr">
        <is>
          <t>Minor_Imputation_1Var</t>
        </is>
      </c>
    </row>
    <row r="232" ht="19" customHeight="1">
      <c r="A232" s="6" t="inlineStr">
        <is>
          <t>Laos</t>
        </is>
      </c>
      <c r="B232" s="10" t="n">
        <v>2021</v>
      </c>
      <c r="C232" s="10" t="n">
        <v>4</v>
      </c>
      <c r="D232" s="6" t="inlineStr">
        <is>
          <t>2021 Q4</t>
        </is>
      </c>
      <c r="E232" s="11" t="n">
        <v>120.158966666667</v>
      </c>
      <c r="F232" s="12" t="n">
        <v>5.00855313789306</v>
      </c>
      <c r="G232" s="10" t="n">
        <v>0.821672370937909</v>
      </c>
      <c r="H232" s="8" t="n">
        <v>3.05068589424845</v>
      </c>
      <c r="I232" s="11" t="n">
        <v>39.128963871411</v>
      </c>
      <c r="J232" s="11" t="n">
        <v>133.567363906585</v>
      </c>
      <c r="K232" s="8" t="n">
        <v>-6.04438904243199</v>
      </c>
      <c r="L232" s="8" t="n">
        <v>122.679602624024</v>
      </c>
      <c r="M232" s="8" t="n">
        <v>14.2210306914792</v>
      </c>
      <c r="N232" s="8" t="n">
        <v>0.08</v>
      </c>
      <c r="O232" s="8" t="n">
        <v>-0.01</v>
      </c>
      <c r="P232" s="8" t="n">
        <v>79.5866666666667</v>
      </c>
      <c r="Q232" s="8" t="n">
        <v>79.69443817265</v>
      </c>
      <c r="R232" s="10" t="n">
        <v>1</v>
      </c>
      <c r="S232" s="7" t="inlineStr">
        <is>
          <t>Minor_Imputation_1Var</t>
        </is>
      </c>
    </row>
    <row r="233" ht="19" customHeight="1">
      <c r="A233" s="6" t="inlineStr">
        <is>
          <t>Laos</t>
        </is>
      </c>
      <c r="B233" s="10" t="n">
        <v>2022</v>
      </c>
      <c r="C233" s="10" t="n">
        <v>1</v>
      </c>
      <c r="D233" s="6" t="inlineStr">
        <is>
          <t>2022 Q1</t>
        </is>
      </c>
      <c r="E233" s="11" t="n">
        <v>122.423366666667</v>
      </c>
      <c r="F233" s="12" t="n">
        <v>7.36684827650924</v>
      </c>
      <c r="G233" s="10" t="n">
        <v>1.88450355626115</v>
      </c>
      <c r="H233" s="8" t="n">
        <v>2.71672672432259</v>
      </c>
      <c r="I233" s="11" t="n">
        <v>39.128963871411</v>
      </c>
      <c r="J233" s="11" t="n">
        <v>126.964818193009</v>
      </c>
      <c r="K233" s="8" t="n">
        <v>-9.52016970466085</v>
      </c>
      <c r="L233" s="8" t="n">
        <v>124.25343875034</v>
      </c>
      <c r="M233" s="8" t="n">
        <v>16.7592937264516</v>
      </c>
      <c r="N233" s="8" t="n">
        <v>0.12</v>
      </c>
      <c r="O233" s="8" t="n">
        <v>0.04</v>
      </c>
      <c r="P233" s="8" t="n">
        <v>100.296666666667</v>
      </c>
      <c r="Q233" s="8" t="n">
        <v>64.9073769593335</v>
      </c>
      <c r="R233" s="10" t="n">
        <v>1</v>
      </c>
      <c r="S233" s="7" t="inlineStr">
        <is>
          <t>Minor_Imputation_1Var</t>
        </is>
      </c>
    </row>
    <row r="234" ht="19" customHeight="1">
      <c r="A234" s="6" t="inlineStr">
        <is>
          <t>Laos</t>
        </is>
      </c>
      <c r="B234" s="10" t="n">
        <v>2022</v>
      </c>
      <c r="C234" s="10" t="n">
        <v>2</v>
      </c>
      <c r="D234" s="6" t="inlineStr">
        <is>
          <t>2022 Q2</t>
        </is>
      </c>
      <c r="E234" s="11" t="n">
        <v>134.345866666667</v>
      </c>
      <c r="F234" s="12" t="n">
        <v>15.4372788672965</v>
      </c>
      <c r="G234" s="10" t="n">
        <v>9.738745408352051</v>
      </c>
      <c r="H234" s="8" t="n">
        <v>2.57942302618465</v>
      </c>
      <c r="I234" s="11" t="n">
        <v>39.128963871411</v>
      </c>
      <c r="J234" s="11" t="n">
        <v>122.253021901063</v>
      </c>
      <c r="K234" s="8" t="n">
        <v>-14.1644342032832</v>
      </c>
      <c r="L234" s="8" t="n">
        <v>134.351432934678</v>
      </c>
      <c r="M234" s="8" t="n">
        <v>17.2844200736996</v>
      </c>
      <c r="N234" s="8" t="n">
        <v>0.77</v>
      </c>
      <c r="O234" s="8" t="n">
        <v>0.65</v>
      </c>
      <c r="P234" s="8" t="n">
        <v>113.543333333333</v>
      </c>
      <c r="Q234" s="8" t="n">
        <v>64.95399515738499</v>
      </c>
      <c r="R234" s="10" t="n">
        <v>1</v>
      </c>
      <c r="S234" s="7" t="inlineStr">
        <is>
          <t>Minor_Imputation_1Var</t>
        </is>
      </c>
    </row>
    <row r="235" ht="19" customHeight="1">
      <c r="A235" s="6" t="inlineStr">
        <is>
          <t>Laos</t>
        </is>
      </c>
      <c r="B235" s="10" t="n">
        <v>2022</v>
      </c>
      <c r="C235" s="10" t="n">
        <v>3</v>
      </c>
      <c r="D235" s="6" t="inlineStr">
        <is>
          <t>2022 Q3</t>
        </is>
      </c>
      <c r="E235" s="11" t="n">
        <v>154.796733333333</v>
      </c>
      <c r="F235" s="12" t="n">
        <v>29.8851510226434</v>
      </c>
      <c r="G235" s="10" t="n">
        <v>15.2225499556369</v>
      </c>
      <c r="H235" s="8" t="n">
        <v>2.63877466253312</v>
      </c>
      <c r="I235" s="11" t="n">
        <v>39.128963871411</v>
      </c>
      <c r="J235" s="11" t="n">
        <v>122.674915177071</v>
      </c>
      <c r="K235" s="8" t="n">
        <v>-14.8597181972105</v>
      </c>
      <c r="L235" s="8" t="n">
        <v>118.584751746656</v>
      </c>
      <c r="M235" s="8" t="n">
        <v>1.96599596534466</v>
      </c>
      <c r="N235" s="8" t="n">
        <v>2.19</v>
      </c>
      <c r="O235" s="8" t="n">
        <v>1.42</v>
      </c>
      <c r="P235" s="8" t="n">
        <v>100.713333333333</v>
      </c>
      <c r="Q235" s="8" t="n">
        <v>37.0808946962479</v>
      </c>
      <c r="R235" s="10" t="n">
        <v>1</v>
      </c>
      <c r="S235" s="7" t="inlineStr">
        <is>
          <t>Minor_Imputation_1Var</t>
        </is>
      </c>
    </row>
    <row r="236" ht="19" customHeight="1">
      <c r="A236" s="6" t="inlineStr">
        <is>
          <t>Laos</t>
        </is>
      </c>
      <c r="B236" s="10" t="n">
        <v>2022</v>
      </c>
      <c r="C236" s="10" t="n">
        <v>4</v>
      </c>
      <c r="D236" s="6" t="inlineStr">
        <is>
          <t>2022 Q4</t>
        </is>
      </c>
      <c r="E236" s="11" t="n">
        <v>166.011166666667</v>
      </c>
      <c r="F236" s="12" t="n">
        <v>38.1596157756572</v>
      </c>
      <c r="G236" s="10" t="n">
        <v>7.24461885715932</v>
      </c>
      <c r="H236" s="8" t="n">
        <v>2.89478169270697</v>
      </c>
      <c r="I236" s="11" t="n">
        <v>39.128963871411</v>
      </c>
      <c r="J236" s="11" t="n">
        <v>120.053556815065</v>
      </c>
      <c r="K236" s="8" t="n">
        <v>-10.1175966166191</v>
      </c>
      <c r="L236" s="8" t="n">
        <v>115.210051245214</v>
      </c>
      <c r="M236" s="8" t="n">
        <v>-6.08866610181539</v>
      </c>
      <c r="N236" s="8" t="n">
        <v>3.65333333333333</v>
      </c>
      <c r="O236" s="8" t="n">
        <v>1.46333333333333</v>
      </c>
      <c r="P236" s="8" t="n">
        <v>88.5566666666667</v>
      </c>
      <c r="Q236" s="8" t="n">
        <v>11.2707321159323</v>
      </c>
      <c r="R236" s="10" t="n">
        <v>1</v>
      </c>
      <c r="S236" s="7" t="inlineStr">
        <is>
          <t>Minor_Imputation_1Var</t>
        </is>
      </c>
    </row>
    <row r="237" ht="19" customHeight="1">
      <c r="A237" s="6" t="inlineStr">
        <is>
          <t>Laos</t>
        </is>
      </c>
      <c r="B237" s="10" t="n">
        <v>2023</v>
      </c>
      <c r="C237" s="10" t="n">
        <v>1</v>
      </c>
      <c r="D237" s="6" t="inlineStr">
        <is>
          <t>2023 Q1</t>
        </is>
      </c>
      <c r="E237" s="11" t="n">
        <v>172.4292</v>
      </c>
      <c r="F237" s="12" t="n">
        <v>40.8466412049334</v>
      </c>
      <c r="G237" s="10" t="n">
        <v>3.86602507662637</v>
      </c>
      <c r="H237" s="8" t="n">
        <v>3.34744437270419</v>
      </c>
      <c r="I237" s="11" t="n">
        <v>39.128963871411</v>
      </c>
      <c r="J237" s="11" t="n">
        <v>122.955243387835</v>
      </c>
      <c r="K237" s="8" t="n">
        <v>-3.1580203573232</v>
      </c>
      <c r="L237" s="8" t="n">
        <v>114.034689515825</v>
      </c>
      <c r="M237" s="8" t="n">
        <v>-8.224117849203459</v>
      </c>
      <c r="N237" s="8" t="n">
        <v>4.51666666666667</v>
      </c>
      <c r="O237" s="8" t="n">
        <v>0.863333333333333</v>
      </c>
      <c r="P237" s="8" t="n">
        <v>81.1733333333333</v>
      </c>
      <c r="Q237" s="8" t="n">
        <v>-19.0667685865266</v>
      </c>
      <c r="R237" s="10" t="n">
        <v>1</v>
      </c>
      <c r="S237" s="7" t="inlineStr">
        <is>
          <t>Minor_Imputation_1Var</t>
        </is>
      </c>
    </row>
    <row r="238" ht="19" customHeight="1">
      <c r="A238" s="6" t="inlineStr">
        <is>
          <t>Laos</t>
        </is>
      </c>
      <c r="B238" s="10" t="n">
        <v>2023</v>
      </c>
      <c r="C238" s="10" t="n">
        <v>2</v>
      </c>
      <c r="D238" s="6" t="inlineStr">
        <is>
          <t>2023 Q2</t>
        </is>
      </c>
      <c r="E238" s="11" t="n">
        <v>182.066166666667</v>
      </c>
      <c r="F238" s="12" t="n">
        <v>35.5204824562274</v>
      </c>
      <c r="G238" s="10" t="n">
        <v>5.58894123887756</v>
      </c>
      <c r="H238" s="8" t="n">
        <v>3.6878040973156</v>
      </c>
      <c r="I238" s="11" t="n">
        <v>39.128963871411</v>
      </c>
      <c r="J238" s="11" t="n">
        <v>123.796561891172</v>
      </c>
      <c r="K238" s="8" t="n">
        <v>1.26257818915767</v>
      </c>
      <c r="L238" s="8" t="n">
        <v>109.857789884183</v>
      </c>
      <c r="M238" s="8" t="n">
        <v>-18.2310247948031</v>
      </c>
      <c r="N238" s="8" t="n">
        <v>4.99</v>
      </c>
      <c r="O238" s="8" t="n">
        <v>0.473333333333334</v>
      </c>
      <c r="P238" s="8" t="n">
        <v>78.31666666666671</v>
      </c>
      <c r="Q238" s="8" t="n">
        <v>-31.0248656900449</v>
      </c>
      <c r="R238" s="10" t="n">
        <v>1</v>
      </c>
      <c r="S238" s="7" t="inlineStr">
        <is>
          <t>Minor_Imputation_1Var</t>
        </is>
      </c>
    </row>
    <row r="239" ht="19" customHeight="1">
      <c r="A239" s="6" t="inlineStr">
        <is>
          <t>Laos</t>
        </is>
      </c>
      <c r="B239" s="10" t="n">
        <v>2023</v>
      </c>
      <c r="C239" s="10" t="n">
        <v>3</v>
      </c>
      <c r="D239" s="6" t="inlineStr">
        <is>
          <t>2023 Q3</t>
        </is>
      </c>
      <c r="E239" s="11" t="n">
        <v>195.7106</v>
      </c>
      <c r="F239" s="12" t="n">
        <v>26.4307041793733</v>
      </c>
      <c r="G239" s="10" t="n">
        <v>7.49421684607336</v>
      </c>
      <c r="H239" s="8" t="n">
        <v>3.91586120687685</v>
      </c>
      <c r="I239" s="11" t="n">
        <v>39.128963871411</v>
      </c>
      <c r="J239" s="11" t="n">
        <v>122.220637936048</v>
      </c>
      <c r="K239" s="8" t="n">
        <v>-0.370309806505542</v>
      </c>
      <c r="L239" s="8" t="n">
        <v>107.510614988168</v>
      </c>
      <c r="M239" s="8" t="n">
        <v>-9.338584088911441</v>
      </c>
      <c r="N239" s="8" t="n">
        <v>5.26</v>
      </c>
      <c r="O239" s="8" t="n">
        <v>0.27</v>
      </c>
      <c r="P239" s="8" t="n">
        <v>86.66</v>
      </c>
      <c r="Q239" s="8" t="n">
        <v>-13.9537962533925</v>
      </c>
      <c r="R239" s="10" t="n">
        <v>1</v>
      </c>
      <c r="S239" s="7" t="inlineStr">
        <is>
          <t>Minor_Imputation_1Var</t>
        </is>
      </c>
    </row>
    <row r="240" ht="19" customHeight="1">
      <c r="A240" s="6" t="inlineStr">
        <is>
          <t>Laos</t>
        </is>
      </c>
      <c r="B240" s="10" t="n">
        <v>2023</v>
      </c>
      <c r="C240" s="10" t="n">
        <v>4</v>
      </c>
      <c r="D240" s="6" t="inlineStr">
        <is>
          <t>2023 Q4</t>
        </is>
      </c>
      <c r="E240" s="11" t="n">
        <v>207.749266666667</v>
      </c>
      <c r="F240" s="12" t="n">
        <v>25.1417424731469</v>
      </c>
      <c r="G240" s="10" t="n">
        <v>6.15125939354673</v>
      </c>
      <c r="H240" s="8" t="n">
        <v>4.03161592943637</v>
      </c>
      <c r="I240" s="11" t="n">
        <v>39.128963871411</v>
      </c>
      <c r="J240" s="11" t="n">
        <v>124.677297903596</v>
      </c>
      <c r="K240" s="8" t="n">
        <v>3.85139866839062</v>
      </c>
      <c r="L240" s="8" t="n">
        <v>105.339533846651</v>
      </c>
      <c r="M240" s="8" t="n">
        <v>-8.56740995414912</v>
      </c>
      <c r="N240" s="8" t="n">
        <v>5.33</v>
      </c>
      <c r="O240" s="8" t="n">
        <v>0.0700000000000003</v>
      </c>
      <c r="P240" s="8" t="n">
        <v>83.7233333333333</v>
      </c>
      <c r="Q240" s="8" t="n">
        <v>-5.45789889712802</v>
      </c>
      <c r="R240" s="10" t="n">
        <v>1</v>
      </c>
      <c r="S240" s="7" t="inlineStr">
        <is>
          <t>Minor_Imputation_1Var</t>
        </is>
      </c>
    </row>
    <row r="241" ht="19" customHeight="1">
      <c r="A241" s="6" t="inlineStr">
        <is>
          <t>Laos</t>
        </is>
      </c>
      <c r="B241" s="10" t="n">
        <v>2024</v>
      </c>
      <c r="C241" s="10" t="n">
        <v>1</v>
      </c>
      <c r="D241" s="6" t="inlineStr">
        <is>
          <t>2024 Q1</t>
        </is>
      </c>
      <c r="E241" s="11" t="n">
        <v>215.415733333333</v>
      </c>
      <c r="F241" s="12" t="n">
        <v>24.9299615919655</v>
      </c>
      <c r="G241" s="10" t="n">
        <v>3.69024968880758</v>
      </c>
      <c r="H241" s="8" t="n">
        <v>4.03506838077906</v>
      </c>
      <c r="I241" s="11" t="n">
        <v>39.128963871411</v>
      </c>
      <c r="J241" s="11" t="n">
        <v>130.232567992751</v>
      </c>
      <c r="K241" s="8" t="n">
        <v>5.91867772727723</v>
      </c>
      <c r="L241" s="8" t="n">
        <v>102.582568583479</v>
      </c>
      <c r="M241" s="8" t="n">
        <v>-10.0426641936497</v>
      </c>
      <c r="N241" s="8" t="n">
        <v>5.33</v>
      </c>
      <c r="O241" s="8" t="n">
        <v>0</v>
      </c>
      <c r="P241" s="8" t="n">
        <v>83.0033333333333</v>
      </c>
      <c r="Q241" s="8" t="n">
        <v>2.25443495400788</v>
      </c>
      <c r="R241" s="10" t="n">
        <v>1</v>
      </c>
      <c r="S241" s="7" t="inlineStr">
        <is>
          <t>Minor_Imputation_1Var</t>
        </is>
      </c>
    </row>
    <row r="242" ht="19" customHeight="1">
      <c r="A242" s="6" t="inlineStr">
        <is>
          <t>Laos</t>
        </is>
      </c>
      <c r="B242" s="10" t="n">
        <v>2024</v>
      </c>
      <c r="C242" s="10" t="n">
        <v>2</v>
      </c>
      <c r="D242" s="6" t="inlineStr">
        <is>
          <t>2024 Q2</t>
        </is>
      </c>
      <c r="E242" s="11" t="n">
        <v>228.721433333333</v>
      </c>
      <c r="F242" s="12" t="n">
        <v>25.6254456941936</v>
      </c>
      <c r="G242" s="10" t="n">
        <v>6.17675403467897</v>
      </c>
      <c r="H242" s="8" t="n">
        <v>4.07449904344782</v>
      </c>
      <c r="I242" s="11" t="n">
        <v>39.128963871411</v>
      </c>
      <c r="J242" s="11" t="n">
        <v>133.888126743236</v>
      </c>
      <c r="K242" s="8" t="n">
        <v>8.151732728196089</v>
      </c>
      <c r="L242" s="8" t="n">
        <v>104.519793640698</v>
      </c>
      <c r="M242" s="8" t="n">
        <v>-4.85900567371084</v>
      </c>
      <c r="N242" s="8" t="n">
        <v>5.33</v>
      </c>
      <c r="O242" s="8" t="n">
        <v>0</v>
      </c>
      <c r="P242" s="8" t="n">
        <v>84.6466666666667</v>
      </c>
      <c r="Q242" s="8" t="n">
        <v>8.082570759736109</v>
      </c>
      <c r="R242" s="10" t="n">
        <v>1</v>
      </c>
      <c r="S242" s="7" t="inlineStr">
        <is>
          <t>Minor_Imputation_1Var</t>
        </is>
      </c>
    </row>
    <row r="243" ht="19" customHeight="1">
      <c r="A243" s="6" t="inlineStr">
        <is>
          <t>Laos</t>
        </is>
      </c>
      <c r="B243" s="10" t="n">
        <v>2024</v>
      </c>
      <c r="C243" s="10" t="n">
        <v>3</v>
      </c>
      <c r="D243" s="6" t="inlineStr">
        <is>
          <t>2024 Q3</t>
        </is>
      </c>
      <c r="E243" s="11" t="n">
        <v>242.6712</v>
      </c>
      <c r="F243" s="12" t="n">
        <v>23.9949190284021</v>
      </c>
      <c r="G243" s="10" t="n">
        <v>6.09902030752694</v>
      </c>
      <c r="H243" s="8" t="n">
        <v>4.14990795686948</v>
      </c>
      <c r="I243" s="11" t="n">
        <v>39.128963871411</v>
      </c>
      <c r="J243" s="11" t="n">
        <v>130.810317783145</v>
      </c>
      <c r="K243" s="8" t="n">
        <v>7.0280109743746</v>
      </c>
      <c r="L243" s="8" t="n">
        <v>106.377099329068</v>
      </c>
      <c r="M243" s="8" t="n">
        <v>-1.05432906250624</v>
      </c>
      <c r="N243" s="8" t="n">
        <v>5.26333333333333</v>
      </c>
      <c r="O243" s="8" t="n">
        <v>-0.0666666666666664</v>
      </c>
      <c r="P243" s="8" t="n">
        <v>79.84333333333331</v>
      </c>
      <c r="Q243" s="8" t="n">
        <v>-7.86598969151473</v>
      </c>
      <c r="R243" s="10" t="n">
        <v>1</v>
      </c>
      <c r="S243" s="7" t="inlineStr">
        <is>
          <t>Minor_Imputation_1Var</t>
        </is>
      </c>
    </row>
    <row r="244" ht="19" customHeight="1">
      <c r="A244" s="6" t="inlineStr">
        <is>
          <t>Laos</t>
        </is>
      </c>
      <c r="B244" s="10" t="n">
        <v>2024</v>
      </c>
      <c r="C244" s="10" t="n">
        <v>4</v>
      </c>
      <c r="D244" s="6" t="inlineStr">
        <is>
          <t>2024 Q4</t>
        </is>
      </c>
      <c r="E244" s="11" t="n">
        <v>246.466166666667</v>
      </c>
      <c r="F244" s="12" t="n">
        <v>18.6363594063228</v>
      </c>
      <c r="G244" s="10" t="n">
        <v>1.56383067569066</v>
      </c>
      <c r="H244" s="8" t="n">
        <v>4.26129519645931</v>
      </c>
      <c r="I244" s="11" t="n">
        <v>39.128963871411</v>
      </c>
      <c r="J244" s="11" t="n">
        <v>134.234748613367</v>
      </c>
      <c r="K244" s="8" t="n">
        <v>7.6657505981252</v>
      </c>
      <c r="L244" s="8" t="n">
        <v>110.645361455409</v>
      </c>
      <c r="M244" s="8" t="n">
        <v>5.03688161035707</v>
      </c>
      <c r="N244" s="8" t="n">
        <v>4.65</v>
      </c>
      <c r="O244" s="8" t="n">
        <v>-0.613333333333333</v>
      </c>
      <c r="P244" s="8" t="n">
        <v>74.6133333333333</v>
      </c>
      <c r="Q244" s="8" t="n">
        <v>-10.8810765616913</v>
      </c>
      <c r="R244" s="10" t="n">
        <v>1</v>
      </c>
      <c r="S244" s="7" t="inlineStr">
        <is>
          <t>Minor_Imputation_1Var</t>
        </is>
      </c>
    </row>
    <row r="245" ht="19" customHeight="1">
      <c r="A245" s="6" t="inlineStr">
        <is>
          <t>Laos</t>
        </is>
      </c>
      <c r="B245" s="10" t="n">
        <v>2025</v>
      </c>
      <c r="C245" s="10" t="n">
        <v>1</v>
      </c>
      <c r="D245" s="6" t="inlineStr">
        <is>
          <t>2025 Q1</t>
        </is>
      </c>
      <c r="E245" s="11" t="n">
        <v>243.6554</v>
      </c>
      <c r="F245" s="12" t="n">
        <v>13.1093798162684</v>
      </c>
      <c r="G245" s="10" t="n">
        <v>-1.14042698220242</v>
      </c>
      <c r="H245" s="8" t="n">
        <v>4.40866087359683</v>
      </c>
      <c r="I245" s="11" t="n">
        <v>39.128963871411</v>
      </c>
      <c r="J245" s="11" t="n">
        <v>136.506079984931</v>
      </c>
      <c r="K245" s="8" t="n">
        <v>4.81716062953612</v>
      </c>
      <c r="L245" s="8" t="n">
        <v>108.711496383905</v>
      </c>
      <c r="M245" s="8" t="n">
        <v>5.97462891118643</v>
      </c>
      <c r="N245" s="8" t="n">
        <v>4.33</v>
      </c>
      <c r="O245" s="8" t="n">
        <v>-0.32</v>
      </c>
      <c r="P245" s="8" t="n">
        <v>75.8133333333333</v>
      </c>
      <c r="Q245" s="8" t="n">
        <v>-8.662302718766311</v>
      </c>
      <c r="R245" s="10" t="n">
        <v>1</v>
      </c>
      <c r="S245" s="7" t="inlineStr">
        <is>
          <t>Minor_Imputation_1Var</t>
        </is>
      </c>
    </row>
    <row r="246" ht="19" customHeight="1">
      <c r="A246" s="6" t="inlineStr">
        <is>
          <t>Malaysia</t>
        </is>
      </c>
      <c r="B246" s="10" t="n">
        <v>2010</v>
      </c>
      <c r="C246" s="10" t="n">
        <v>1</v>
      </c>
      <c r="D246" s="6" t="inlineStr">
        <is>
          <t>2010 Q1</t>
        </is>
      </c>
      <c r="E246" s="8" t="n">
        <v>99.40000000000001</v>
      </c>
      <c r="F246" s="9" t="inlineStr"/>
      <c r="G246" s="9" t="inlineStr"/>
      <c r="H246" s="8" t="n">
        <v>7.9632684067353</v>
      </c>
      <c r="I246" s="8" t="n">
        <v>5.28235609685161</v>
      </c>
      <c r="J246" s="8" t="n">
        <v>99.822019547134</v>
      </c>
      <c r="K246" s="9" t="inlineStr"/>
      <c r="L246" s="8" t="n">
        <v>99.24199528149821</v>
      </c>
      <c r="M246" s="9" t="inlineStr"/>
      <c r="N246" s="8" t="n">
        <v>0.133333333333333</v>
      </c>
      <c r="O246" s="9" t="inlineStr"/>
      <c r="P246" s="8" t="n">
        <v>76.25</v>
      </c>
      <c r="Q246" s="9" t="inlineStr"/>
      <c r="R246" s="10" t="n">
        <v>0</v>
      </c>
      <c r="S246" s="7" t="inlineStr">
        <is>
          <t>Baseline_Lag_Origin</t>
        </is>
      </c>
    </row>
    <row r="247" ht="19" customHeight="1">
      <c r="A247" s="6" t="inlineStr">
        <is>
          <t>Malaysia</t>
        </is>
      </c>
      <c r="B247" s="10" t="n">
        <v>2010</v>
      </c>
      <c r="C247" s="10" t="n">
        <v>2</v>
      </c>
      <c r="D247" s="6" t="inlineStr">
        <is>
          <t>2010 Q2</t>
        </is>
      </c>
      <c r="E247" s="8" t="n">
        <v>99.56666666666671</v>
      </c>
      <c r="F247" s="9" t="inlineStr"/>
      <c r="G247" s="10" t="n">
        <v>0.167672702883959</v>
      </c>
      <c r="H247" s="8" t="n">
        <v>7.74790012656604</v>
      </c>
      <c r="I247" s="8" t="n">
        <v>6.10850758274527</v>
      </c>
      <c r="J247" s="8" t="n">
        <v>105.530502161132</v>
      </c>
      <c r="K247" s="9" t="inlineStr"/>
      <c r="L247" s="8" t="n">
        <v>96.4984622523225</v>
      </c>
      <c r="M247" s="9" t="inlineStr"/>
      <c r="N247" s="8" t="n">
        <v>0.193333333333333</v>
      </c>
      <c r="O247" s="8" t="n">
        <v>0.06</v>
      </c>
      <c r="P247" s="8" t="n">
        <v>78.51000000000001</v>
      </c>
      <c r="Q247" s="9" t="inlineStr"/>
      <c r="R247" s="10" t="n">
        <v>0</v>
      </c>
      <c r="S247" s="7" t="inlineStr">
        <is>
          <t>Baseline_Lag_Origin</t>
        </is>
      </c>
    </row>
    <row r="248" ht="19" customHeight="1">
      <c r="A248" s="6" t="inlineStr">
        <is>
          <t>Malaysia</t>
        </is>
      </c>
      <c r="B248" s="10" t="n">
        <v>2010</v>
      </c>
      <c r="C248" s="10" t="n">
        <v>3</v>
      </c>
      <c r="D248" s="6" t="inlineStr">
        <is>
          <t>2010 Q3</t>
        </is>
      </c>
      <c r="E248" s="8" t="n">
        <v>100.233333333333</v>
      </c>
      <c r="F248" s="9" t="inlineStr"/>
      <c r="G248" s="10" t="n">
        <v>0.669568128557096</v>
      </c>
      <c r="H248" s="8" t="n">
        <v>7.3171633508551</v>
      </c>
      <c r="I248" s="8" t="n">
        <v>7.76081138069063</v>
      </c>
      <c r="J248" s="8" t="n">
        <v>106.384385575019</v>
      </c>
      <c r="K248" s="9" t="inlineStr"/>
      <c r="L248" s="8" t="n">
        <v>107.356970480027</v>
      </c>
      <c r="M248" s="9" t="inlineStr"/>
      <c r="N248" s="8" t="n">
        <v>0.186666666666667</v>
      </c>
      <c r="O248" s="8" t="n">
        <v>-0.0066666666666666</v>
      </c>
      <c r="P248" s="8" t="n">
        <v>76.81999999999999</v>
      </c>
      <c r="Q248" s="9" t="inlineStr"/>
      <c r="R248" s="10" t="n">
        <v>0</v>
      </c>
      <c r="S248" s="7" t="inlineStr">
        <is>
          <t>Baseline_Lag_Origin</t>
        </is>
      </c>
    </row>
    <row r="249" ht="19" customHeight="1">
      <c r="A249" s="6" t="inlineStr">
        <is>
          <t>Malaysia</t>
        </is>
      </c>
      <c r="B249" s="10" t="n">
        <v>2010</v>
      </c>
      <c r="C249" s="10" t="n">
        <v>4</v>
      </c>
      <c r="D249" s="6" t="inlineStr">
        <is>
          <t>2010 Q4</t>
        </is>
      </c>
      <c r="E249" s="8" t="n">
        <v>100.866666666667</v>
      </c>
      <c r="F249" s="9" t="inlineStr"/>
      <c r="G249" s="10" t="n">
        <v>0.631858995676748</v>
      </c>
      <c r="H249" s="8" t="n">
        <v>6.6710576488972</v>
      </c>
      <c r="I249" s="8" t="n">
        <v>10.2392691429908</v>
      </c>
      <c r="J249" s="8" t="n">
        <v>104.615269047893</v>
      </c>
      <c r="K249" s="9" t="inlineStr"/>
      <c r="L249" s="8" t="n">
        <v>124.608736829891</v>
      </c>
      <c r="M249" s="9" t="inlineStr"/>
      <c r="N249" s="8" t="n">
        <v>0.186666666666667</v>
      </c>
      <c r="O249" s="8" t="n">
        <v>0</v>
      </c>
      <c r="P249" s="8" t="n">
        <v>86.4666666666667</v>
      </c>
      <c r="Q249" s="9" t="inlineStr"/>
      <c r="R249" s="10" t="n">
        <v>0</v>
      </c>
      <c r="S249" s="7" t="inlineStr">
        <is>
          <t>Baseline_Lag_Origin</t>
        </is>
      </c>
    </row>
    <row r="250" ht="19" customHeight="1">
      <c r="A250" s="6" t="inlineStr">
        <is>
          <t>Malaysia</t>
        </is>
      </c>
      <c r="B250" s="10" t="n">
        <v>2011</v>
      </c>
      <c r="C250" s="10" t="n">
        <v>1</v>
      </c>
      <c r="D250" s="6" t="inlineStr">
        <is>
          <t>2011 Q1</t>
        </is>
      </c>
      <c r="E250" s="8" t="n">
        <v>102.166666666667</v>
      </c>
      <c r="F250" s="10" t="n">
        <v>2.7833668678739</v>
      </c>
      <c r="G250" s="10" t="n">
        <v>1.2888301387971</v>
      </c>
      <c r="H250" s="8" t="n">
        <v>5.809582374566</v>
      </c>
      <c r="I250" s="8" t="n">
        <v>13.543883348114</v>
      </c>
      <c r="J250" s="8" t="n">
        <v>106.443270741147</v>
      </c>
      <c r="K250" s="8" t="n">
        <v>6.63305673843448</v>
      </c>
      <c r="L250" s="8" t="n">
        <v>121.875946057639</v>
      </c>
      <c r="M250" s="8" t="n">
        <v>22.8068276055313</v>
      </c>
      <c r="N250" s="8" t="n">
        <v>0.156666666666667</v>
      </c>
      <c r="O250" s="8" t="n">
        <v>-0.03</v>
      </c>
      <c r="P250" s="8" t="n">
        <v>104.96</v>
      </c>
      <c r="Q250" s="8" t="n">
        <v>37.6524590163934</v>
      </c>
      <c r="R250" s="10" t="n">
        <v>0</v>
      </c>
      <c r="S250" s="7" t="inlineStr">
        <is>
          <t>High_Quality_Observed</t>
        </is>
      </c>
    </row>
    <row r="251" ht="19" customHeight="1">
      <c r="A251" s="6" t="inlineStr">
        <is>
          <t>Malaysia</t>
        </is>
      </c>
      <c r="B251" s="10" t="n">
        <v>2011</v>
      </c>
      <c r="C251" s="10" t="n">
        <v>2</v>
      </c>
      <c r="D251" s="6" t="inlineStr">
        <is>
          <t>2011 Q2</t>
        </is>
      </c>
      <c r="E251" s="8" t="n">
        <v>102.9</v>
      </c>
      <c r="F251" s="10" t="n">
        <v>3.34784064278542</v>
      </c>
      <c r="G251" s="10" t="n">
        <v>0.7177814029363681</v>
      </c>
      <c r="H251" s="8" t="n">
        <v>5.25872469301815</v>
      </c>
      <c r="I251" s="8" t="n">
        <v>15.2993502824358</v>
      </c>
      <c r="J251" s="8" t="n">
        <v>105.26407622927</v>
      </c>
      <c r="K251" s="8" t="n">
        <v>-0.252463436073858</v>
      </c>
      <c r="L251" s="8" t="n">
        <v>122.00081812372</v>
      </c>
      <c r="M251" s="8" t="n">
        <v>26.4277329152819</v>
      </c>
      <c r="N251" s="8" t="n">
        <v>0.0933333333333333</v>
      </c>
      <c r="O251" s="8" t="n">
        <v>-0.0633333333333333</v>
      </c>
      <c r="P251" s="8" t="n">
        <v>117.36</v>
      </c>
      <c r="Q251" s="8" t="n">
        <v>49.4841421474971</v>
      </c>
      <c r="R251" s="10" t="n">
        <v>0</v>
      </c>
      <c r="S251" s="7" t="inlineStr">
        <is>
          <t>High_Quality_Observed</t>
        </is>
      </c>
    </row>
    <row r="252" ht="19" customHeight="1">
      <c r="A252" s="6" t="inlineStr">
        <is>
          <t>Malaysia</t>
        </is>
      </c>
      <c r="B252" s="10" t="n">
        <v>2011</v>
      </c>
      <c r="C252" s="10" t="n">
        <v>3</v>
      </c>
      <c r="D252" s="6" t="inlineStr">
        <is>
          <t>2011 Q3</t>
        </is>
      </c>
      <c r="E252" s="8" t="n">
        <v>103.6</v>
      </c>
      <c r="F252" s="10" t="n">
        <v>3.35882939807115</v>
      </c>
      <c r="G252" s="10" t="n">
        <v>0.680272108843516</v>
      </c>
      <c r="H252" s="8" t="n">
        <v>5.01848405343012</v>
      </c>
      <c r="I252" s="8" t="n">
        <v>15.5056717014273</v>
      </c>
      <c r="J252" s="8" t="n">
        <v>104.663537019912</v>
      </c>
      <c r="K252" s="8" t="n">
        <v>-1.61757625031641</v>
      </c>
      <c r="L252" s="8" t="n">
        <v>118.888757234176</v>
      </c>
      <c r="M252" s="8" t="n">
        <v>10.7415351817278</v>
      </c>
      <c r="N252" s="8" t="n">
        <v>0.0833333333333333</v>
      </c>
      <c r="O252" s="8" t="n">
        <v>-0.01</v>
      </c>
      <c r="P252" s="8" t="n">
        <v>113.34</v>
      </c>
      <c r="Q252" s="8" t="n">
        <v>47.5397032022911</v>
      </c>
      <c r="R252" s="10" t="n">
        <v>0</v>
      </c>
      <c r="S252" s="7" t="inlineStr">
        <is>
          <t>High_Quality_Observed</t>
        </is>
      </c>
    </row>
    <row r="253" ht="19" customHeight="1">
      <c r="A253" s="6" t="inlineStr">
        <is>
          <t>Malaysia</t>
        </is>
      </c>
      <c r="B253" s="10" t="n">
        <v>2011</v>
      </c>
      <c r="C253" s="10" t="n">
        <v>4</v>
      </c>
      <c r="D253" s="6" t="inlineStr">
        <is>
          <t>2011 Q4</t>
        </is>
      </c>
      <c r="E253" s="8" t="n">
        <v>104.1</v>
      </c>
      <c r="F253" s="10" t="n">
        <v>3.20555188367482</v>
      </c>
      <c r="G253" s="10" t="n">
        <v>0.482625482625476</v>
      </c>
      <c r="H253" s="8" t="n">
        <v>5.08886021550717</v>
      </c>
      <c r="I253" s="8" t="n">
        <v>14.1628478114335</v>
      </c>
      <c r="J253" s="8" t="n">
        <v>102.731698979332</v>
      </c>
      <c r="K253" s="8" t="n">
        <v>-1.80047337802886</v>
      </c>
      <c r="L253" s="8" t="n">
        <v>112.174119298219</v>
      </c>
      <c r="M253" s="8" t="n">
        <v>-9.978929124887189</v>
      </c>
      <c r="N253" s="8" t="n">
        <v>0.07333333333333331</v>
      </c>
      <c r="O253" s="8" t="n">
        <v>-0.01</v>
      </c>
      <c r="P253" s="8" t="n">
        <v>109.396666666667</v>
      </c>
      <c r="Q253" s="8" t="n">
        <v>26.5188897455667</v>
      </c>
      <c r="R253" s="10" t="n">
        <v>0</v>
      </c>
      <c r="S253" s="7" t="inlineStr">
        <is>
          <t>High_Quality_Observed</t>
        </is>
      </c>
    </row>
    <row r="254" ht="19" customHeight="1">
      <c r="A254" s="6" t="inlineStr">
        <is>
          <t>Malaysia</t>
        </is>
      </c>
      <c r="B254" s="10" t="n">
        <v>2012</v>
      </c>
      <c r="C254" s="10" t="n">
        <v>1</v>
      </c>
      <c r="D254" s="6" t="inlineStr">
        <is>
          <t>2012 Q1</t>
        </is>
      </c>
      <c r="E254" s="8" t="n">
        <v>104.5</v>
      </c>
      <c r="F254" s="10" t="n">
        <v>2.28384991843393</v>
      </c>
      <c r="G254" s="10" t="n">
        <v>0.384245917387127</v>
      </c>
      <c r="H254" s="8" t="n">
        <v>5.46985324965074</v>
      </c>
      <c r="I254" s="8" t="n">
        <v>11.2708772696359</v>
      </c>
      <c r="J254" s="8" t="n">
        <v>105.790516053725</v>
      </c>
      <c r="K254" s="8" t="n">
        <v>-0.613241854441393</v>
      </c>
      <c r="L254" s="8" t="n">
        <v>112.921025549072</v>
      </c>
      <c r="M254" s="8" t="n">
        <v>-7.3475700482622</v>
      </c>
      <c r="N254" s="8" t="n">
        <v>0.103333333333333</v>
      </c>
      <c r="O254" s="8" t="n">
        <v>0.03</v>
      </c>
      <c r="P254" s="8" t="n">
        <v>118.49</v>
      </c>
      <c r="Q254" s="8" t="n">
        <v>12.890625</v>
      </c>
      <c r="R254" s="10" t="n">
        <v>0</v>
      </c>
      <c r="S254" s="7" t="inlineStr">
        <is>
          <t>High_Quality_Observed</t>
        </is>
      </c>
    </row>
    <row r="255" ht="19" customHeight="1">
      <c r="A255" s="6" t="inlineStr">
        <is>
          <t>Malaysia</t>
        </is>
      </c>
      <c r="B255" s="10" t="n">
        <v>2012</v>
      </c>
      <c r="C255" s="10" t="n">
        <v>2</v>
      </c>
      <c r="D255" s="6" t="inlineStr">
        <is>
          <t>2012 Q2</t>
        </is>
      </c>
      <c r="E255" s="8" t="n">
        <v>104.666666666667</v>
      </c>
      <c r="F255" s="10" t="n">
        <v>1.71687722708131</v>
      </c>
      <c r="G255" s="10" t="n">
        <v>0.159489633173848</v>
      </c>
      <c r="H255" s="8" t="n">
        <v>5.62369078627821</v>
      </c>
      <c r="I255" s="8" t="n">
        <v>9.144147023482679</v>
      </c>
      <c r="J255" s="8" t="n">
        <v>104.775773037983</v>
      </c>
      <c r="K255" s="8" t="n">
        <v>-0.463883984715519</v>
      </c>
      <c r="L255" s="8" t="n">
        <v>108.674540730789</v>
      </c>
      <c r="M255" s="8" t="n">
        <v>-10.9231049413272</v>
      </c>
      <c r="N255" s="8" t="n">
        <v>0.153333333333333</v>
      </c>
      <c r="O255" s="8" t="n">
        <v>0.05</v>
      </c>
      <c r="P255" s="8" t="n">
        <v>108.416666666667</v>
      </c>
      <c r="Q255" s="8" t="n">
        <v>-7.6204271756419</v>
      </c>
      <c r="R255" s="10" t="n">
        <v>0</v>
      </c>
      <c r="S255" s="7" t="inlineStr">
        <is>
          <t>High_Quality_Observed</t>
        </is>
      </c>
    </row>
    <row r="256" ht="19" customHeight="1">
      <c r="A256" s="6" t="inlineStr">
        <is>
          <t>Malaysia</t>
        </is>
      </c>
      <c r="B256" s="10" t="n">
        <v>2012</v>
      </c>
      <c r="C256" s="10" t="n">
        <v>3</v>
      </c>
      <c r="D256" s="6" t="inlineStr">
        <is>
          <t>2012 Q3</t>
        </is>
      </c>
      <c r="E256" s="8" t="n">
        <v>105</v>
      </c>
      <c r="F256" s="10" t="n">
        <v>1.35135135135136</v>
      </c>
      <c r="G256" s="10" t="n">
        <v>0.318471337579607</v>
      </c>
      <c r="H256" s="8" t="n">
        <v>5.55037297917717</v>
      </c>
      <c r="I256" s="8" t="n">
        <v>7.78265494626786</v>
      </c>
      <c r="J256" s="8" t="n">
        <v>104.297388388786</v>
      </c>
      <c r="K256" s="8" t="n">
        <v>-0.349833993338533</v>
      </c>
      <c r="L256" s="8" t="n">
        <v>112.021404013206</v>
      </c>
      <c r="M256" s="8" t="n">
        <v>-5.77628480668088</v>
      </c>
      <c r="N256" s="8" t="n">
        <v>0.143333333333333</v>
      </c>
      <c r="O256" s="8" t="n">
        <v>-0.01</v>
      </c>
      <c r="P256" s="8" t="n">
        <v>109.613333333333</v>
      </c>
      <c r="Q256" s="8" t="n">
        <v>-3.28804187988943</v>
      </c>
      <c r="R256" s="10" t="n">
        <v>0</v>
      </c>
      <c r="S256" s="7" t="inlineStr">
        <is>
          <t>High_Quality_Observed</t>
        </is>
      </c>
    </row>
    <row r="257" ht="19" customHeight="1">
      <c r="A257" s="6" t="inlineStr">
        <is>
          <t>Malaysia</t>
        </is>
      </c>
      <c r="B257" s="10" t="n">
        <v>2012</v>
      </c>
      <c r="C257" s="10" t="n">
        <v>4</v>
      </c>
      <c r="D257" s="6" t="inlineStr">
        <is>
          <t>2012 Q4</t>
        </is>
      </c>
      <c r="E257" s="8" t="n">
        <v>105.466666666667</v>
      </c>
      <c r="F257" s="10" t="n">
        <v>1.31284021773936</v>
      </c>
      <c r="G257" s="10" t="n">
        <v>0.444444444444447</v>
      </c>
      <c r="H257" s="8" t="n">
        <v>5.24989975508079</v>
      </c>
      <c r="I257" s="8" t="n">
        <v>7.18639967646048</v>
      </c>
      <c r="J257" s="8" t="n">
        <v>105.56346390379</v>
      </c>
      <c r="K257" s="8" t="n">
        <v>2.75646655569075</v>
      </c>
      <c r="L257" s="8" t="n">
        <v>112.043606667623</v>
      </c>
      <c r="M257" s="8" t="n">
        <v>-0.116348255206267</v>
      </c>
      <c r="N257" s="8" t="n">
        <v>0.16</v>
      </c>
      <c r="O257" s="8" t="n">
        <v>0.0166666666666667</v>
      </c>
      <c r="P257" s="8" t="n">
        <v>110.086666666667</v>
      </c>
      <c r="Q257" s="8" t="n">
        <v>0.630732197812245</v>
      </c>
      <c r="R257" s="10" t="n">
        <v>0</v>
      </c>
      <c r="S257" s="7" t="inlineStr">
        <is>
          <t>High_Quality_Observed</t>
        </is>
      </c>
    </row>
    <row r="258" ht="19" customHeight="1">
      <c r="A258" s="6" t="inlineStr">
        <is>
          <t>Malaysia</t>
        </is>
      </c>
      <c r="B258" s="10" t="n">
        <v>2013</v>
      </c>
      <c r="C258" s="10" t="n">
        <v>1</v>
      </c>
      <c r="D258" s="6" t="inlineStr">
        <is>
          <t>2013 Q1</t>
        </is>
      </c>
      <c r="E258" s="8" t="n">
        <v>106.066666666667</v>
      </c>
      <c r="F258" s="10" t="n">
        <v>1.49920255183413</v>
      </c>
      <c r="G258" s="10" t="n">
        <v>0.568900126422256</v>
      </c>
      <c r="H258" s="8" t="n">
        <v>4.72227081350229</v>
      </c>
      <c r="I258" s="8" t="n">
        <v>7.35538061784867</v>
      </c>
      <c r="J258" s="8" t="n">
        <v>106.767381765714</v>
      </c>
      <c r="K258" s="8" t="n">
        <v>0.923396300943091</v>
      </c>
      <c r="L258" s="8" t="n">
        <v>112.344264317549</v>
      </c>
      <c r="M258" s="8" t="n">
        <v>-0.510765137598079</v>
      </c>
      <c r="N258" s="8" t="n">
        <v>0.143333333333333</v>
      </c>
      <c r="O258" s="8" t="n">
        <v>-0.0166666666666667</v>
      </c>
      <c r="P258" s="8" t="n">
        <v>112.493333333333</v>
      </c>
      <c r="Q258" s="8" t="n">
        <v>-5.06090528033308</v>
      </c>
      <c r="R258" s="10" t="n">
        <v>0</v>
      </c>
      <c r="S258" s="7" t="inlineStr">
        <is>
          <t>High_Quality_Observed</t>
        </is>
      </c>
    </row>
    <row r="259" ht="19" customHeight="1">
      <c r="A259" s="6" t="inlineStr">
        <is>
          <t>Malaysia</t>
        </is>
      </c>
      <c r="B259" s="10" t="n">
        <v>2013</v>
      </c>
      <c r="C259" s="10" t="n">
        <v>2</v>
      </c>
      <c r="D259" s="6" t="inlineStr">
        <is>
          <t>2013 Q2</t>
        </is>
      </c>
      <c r="E259" s="8" t="n">
        <v>106.533333333333</v>
      </c>
      <c r="F259" s="10" t="n">
        <v>1.78343949044586</v>
      </c>
      <c r="G259" s="10" t="n">
        <v>0.439974858579517</v>
      </c>
      <c r="H259" s="8" t="n">
        <v>4.49980000241404</v>
      </c>
      <c r="I259" s="8" t="n">
        <v>7.43978098643436</v>
      </c>
      <c r="J259" s="8" t="n">
        <v>109.484851096628</v>
      </c>
      <c r="K259" s="8" t="n">
        <v>4.49443408729349</v>
      </c>
      <c r="L259" s="8" t="n">
        <v>111.205746192615</v>
      </c>
      <c r="M259" s="8" t="n">
        <v>2.32916140689856</v>
      </c>
      <c r="N259" s="8" t="n">
        <v>0.116666666666667</v>
      </c>
      <c r="O259" s="8" t="n">
        <v>-0.0266666666666667</v>
      </c>
      <c r="P259" s="8" t="n">
        <v>102.576666666667</v>
      </c>
      <c r="Q259" s="8" t="n">
        <v>-5.38662567255957</v>
      </c>
      <c r="R259" s="10" t="n">
        <v>0</v>
      </c>
      <c r="S259" s="7" t="inlineStr">
        <is>
          <t>High_Quality_Observed</t>
        </is>
      </c>
    </row>
    <row r="260" ht="19" customHeight="1">
      <c r="A260" s="6" t="inlineStr">
        <is>
          <t>Malaysia</t>
        </is>
      </c>
      <c r="B260" s="10" t="n">
        <v>2013</v>
      </c>
      <c r="C260" s="10" t="n">
        <v>3</v>
      </c>
      <c r="D260" s="6" t="inlineStr">
        <is>
          <t>2013 Q3</t>
        </is>
      </c>
      <c r="E260" s="8" t="n">
        <v>107.266666666667</v>
      </c>
      <c r="F260" s="10" t="n">
        <v>2.15873015873016</v>
      </c>
      <c r="G260" s="10" t="n">
        <v>0.6883604505631969</v>
      </c>
      <c r="H260" s="8" t="n">
        <v>4.58248709935849</v>
      </c>
      <c r="I260" s="8" t="n">
        <v>7.43960086667152</v>
      </c>
      <c r="J260" s="8" t="n">
        <v>104.493294786101</v>
      </c>
      <c r="K260" s="8" t="n">
        <v>0.187834422646116</v>
      </c>
      <c r="L260" s="8" t="n">
        <v>106.517639660823</v>
      </c>
      <c r="M260" s="8" t="n">
        <v>-4.91313637859304</v>
      </c>
      <c r="N260" s="8" t="n">
        <v>0.0833333333333333</v>
      </c>
      <c r="O260" s="8" t="n">
        <v>-0.0333333333333333</v>
      </c>
      <c r="P260" s="8" t="n">
        <v>110.27</v>
      </c>
      <c r="Q260" s="8" t="n">
        <v>0.599075538255689</v>
      </c>
      <c r="R260" s="10" t="n">
        <v>0</v>
      </c>
      <c r="S260" s="7" t="inlineStr">
        <is>
          <t>High_Quality_Observed</t>
        </is>
      </c>
    </row>
    <row r="261" ht="19" customHeight="1">
      <c r="A261" s="6" t="inlineStr">
        <is>
          <t>Malaysia</t>
        </is>
      </c>
      <c r="B261" s="10" t="n">
        <v>2013</v>
      </c>
      <c r="C261" s="10" t="n">
        <v>4</v>
      </c>
      <c r="D261" s="6" t="inlineStr">
        <is>
          <t>2013 Q4</t>
        </is>
      </c>
      <c r="E261" s="8" t="n">
        <v>108.6</v>
      </c>
      <c r="F261" s="10" t="n">
        <v>2.97092288242731</v>
      </c>
      <c r="G261" s="10" t="n">
        <v>1.24300807955251</v>
      </c>
      <c r="H261" s="8" t="n">
        <v>4.97033218703723</v>
      </c>
      <c r="I261" s="8" t="n">
        <v>7.35484025834089</v>
      </c>
      <c r="J261" s="8" t="n">
        <v>105.49366386739</v>
      </c>
      <c r="K261" s="8" t="n">
        <v>-0.0661213963804697</v>
      </c>
      <c r="L261" s="8" t="n">
        <v>108.042368791302</v>
      </c>
      <c r="M261" s="8" t="n">
        <v>-3.57114341043118</v>
      </c>
      <c r="N261" s="8" t="n">
        <v>0.0866666666666667</v>
      </c>
      <c r="O261" s="8" t="n">
        <v>0.0033333333333333</v>
      </c>
      <c r="P261" s="8" t="n">
        <v>109.21</v>
      </c>
      <c r="Q261" s="8" t="n">
        <v>-0.796342275782702</v>
      </c>
      <c r="R261" s="10" t="n">
        <v>0</v>
      </c>
      <c r="S261" s="7" t="inlineStr">
        <is>
          <t>High_Quality_Observed</t>
        </is>
      </c>
    </row>
    <row r="262" ht="19" customHeight="1">
      <c r="A262" s="6" t="inlineStr">
        <is>
          <t>Malaysia</t>
        </is>
      </c>
      <c r="B262" s="10" t="n">
        <v>2014</v>
      </c>
      <c r="C262" s="10" t="n">
        <v>1</v>
      </c>
      <c r="D262" s="6" t="inlineStr">
        <is>
          <t>2014 Q1</t>
        </is>
      </c>
      <c r="E262" s="8" t="n">
        <v>109.733333333333</v>
      </c>
      <c r="F262" s="10" t="n">
        <v>3.45694531741043</v>
      </c>
      <c r="G262" s="10" t="n">
        <v>1.04358502148558</v>
      </c>
      <c r="H262" s="8" t="n">
        <v>5.66333565329278</v>
      </c>
      <c r="I262" s="8" t="n">
        <v>7.18549907669004</v>
      </c>
      <c r="J262" s="8" t="n">
        <v>104.228533621885</v>
      </c>
      <c r="K262" s="8" t="n">
        <v>-2.37792488852111</v>
      </c>
      <c r="L262" s="8" t="n">
        <v>109.985285302654</v>
      </c>
      <c r="M262" s="8" t="n">
        <v>-2.09977699282194</v>
      </c>
      <c r="N262" s="8" t="n">
        <v>0.07333333333333331</v>
      </c>
      <c r="O262" s="8" t="n">
        <v>-0.0133333333333333</v>
      </c>
      <c r="P262" s="8" t="n">
        <v>108.166666666667</v>
      </c>
      <c r="Q262" s="8" t="n">
        <v>-3.84615384615383</v>
      </c>
      <c r="R262" s="10" t="n">
        <v>0</v>
      </c>
      <c r="S262" s="7" t="inlineStr">
        <is>
          <t>High_Quality_Observed</t>
        </is>
      </c>
    </row>
    <row r="263" ht="19" customHeight="1">
      <c r="A263" s="6" t="inlineStr">
        <is>
          <t>Malaysia</t>
        </is>
      </c>
      <c r="B263" s="10" t="n">
        <v>2014</v>
      </c>
      <c r="C263" s="10" t="n">
        <v>2</v>
      </c>
      <c r="D263" s="6" t="inlineStr">
        <is>
          <t>2014 Q2</t>
        </is>
      </c>
      <c r="E263" s="8" t="n">
        <v>110.033333333333</v>
      </c>
      <c r="F263" s="10" t="n">
        <v>3.28535669586985</v>
      </c>
      <c r="G263" s="10" t="n">
        <v>0.273390036451993</v>
      </c>
      <c r="H263" s="8" t="n">
        <v>6.07789137727895</v>
      </c>
      <c r="I263" s="8" t="n">
        <v>6.76518244307459</v>
      </c>
      <c r="J263" s="8" t="n">
        <v>105.197031164187</v>
      </c>
      <c r="K263" s="8" t="n">
        <v>-3.91635910310193</v>
      </c>
      <c r="L263" s="8" t="n">
        <v>111.498689744988</v>
      </c>
      <c r="M263" s="8" t="n">
        <v>0.26342483406061</v>
      </c>
      <c r="N263" s="8" t="n">
        <v>0.0933333333333333</v>
      </c>
      <c r="O263" s="8" t="n">
        <v>0.02</v>
      </c>
      <c r="P263" s="8" t="n">
        <v>109.7</v>
      </c>
      <c r="Q263" s="8" t="n">
        <v>6.94439931108439</v>
      </c>
      <c r="R263" s="10" t="n">
        <v>0</v>
      </c>
      <c r="S263" s="7" t="inlineStr">
        <is>
          <t>High_Quality_Observed</t>
        </is>
      </c>
    </row>
    <row r="264" ht="19" customHeight="1">
      <c r="A264" s="6" t="inlineStr">
        <is>
          <t>Malaysia</t>
        </is>
      </c>
      <c r="B264" s="10" t="n">
        <v>2014</v>
      </c>
      <c r="C264" s="10" t="n">
        <v>3</v>
      </c>
      <c r="D264" s="6" t="inlineStr">
        <is>
          <t>2014 Q3</t>
        </is>
      </c>
      <c r="E264" s="8" t="n">
        <v>110.5</v>
      </c>
      <c r="F264" s="10" t="n">
        <v>3.01429459291485</v>
      </c>
      <c r="G264" s="10" t="n">
        <v>0.42411390487731</v>
      </c>
      <c r="H264" s="8" t="n">
        <v>6.21399977355922</v>
      </c>
      <c r="I264" s="8" t="n">
        <v>6.09388993717384</v>
      </c>
      <c r="J264" s="8" t="n">
        <v>107.801189067133</v>
      </c>
      <c r="K264" s="8" t="n">
        <v>3.1656521959643</v>
      </c>
      <c r="L264" s="8" t="n">
        <v>104.211407968198</v>
      </c>
      <c r="M264" s="8" t="n">
        <v>-2.16511715802957</v>
      </c>
      <c r="N264" s="8" t="n">
        <v>0.09</v>
      </c>
      <c r="O264" s="8" t="n">
        <v>-0.0033333333333333</v>
      </c>
      <c r="P264" s="8" t="n">
        <v>101.823333333333</v>
      </c>
      <c r="Q264" s="8" t="n">
        <v>-7.65998609473715</v>
      </c>
      <c r="R264" s="10" t="n">
        <v>0</v>
      </c>
      <c r="S264" s="7" t="inlineStr">
        <is>
          <t>High_Quality_Observed</t>
        </is>
      </c>
    </row>
    <row r="265" ht="19" customHeight="1">
      <c r="A265" s="6" t="inlineStr">
        <is>
          <t>Malaysia</t>
        </is>
      </c>
      <c r="B265" s="10" t="n">
        <v>2014</v>
      </c>
      <c r="C265" s="10" t="n">
        <v>4</v>
      </c>
      <c r="D265" s="6" t="inlineStr">
        <is>
          <t>2014 Q4</t>
        </is>
      </c>
      <c r="E265" s="8" t="n">
        <v>111.666666666667</v>
      </c>
      <c r="F265" s="10" t="n">
        <v>2.82381829343157</v>
      </c>
      <c r="G265" s="10" t="n">
        <v>1.05580693815988</v>
      </c>
      <c r="H265" s="8" t="n">
        <v>6.07166097819758</v>
      </c>
      <c r="I265" s="8" t="n">
        <v>5.17162088771972</v>
      </c>
      <c r="J265" s="8" t="n">
        <v>107.386121818974</v>
      </c>
      <c r="K265" s="8" t="n">
        <v>1.79390674492397</v>
      </c>
      <c r="L265" s="8" t="n">
        <v>99.4046630544031</v>
      </c>
      <c r="M265" s="8" t="n">
        <v>-7.9947393171137</v>
      </c>
      <c r="N265" s="8" t="n">
        <v>0.1</v>
      </c>
      <c r="O265" s="8" t="n">
        <v>0.01</v>
      </c>
      <c r="P265" s="8" t="n">
        <v>76.40333333333329</v>
      </c>
      <c r="Q265" s="8" t="n">
        <v>-30.0399841284376</v>
      </c>
      <c r="R265" s="10" t="n">
        <v>0</v>
      </c>
      <c r="S265" s="7" t="inlineStr">
        <is>
          <t>High_Quality_Observed</t>
        </is>
      </c>
    </row>
    <row r="266" ht="19" customHeight="1">
      <c r="A266" s="6" t="inlineStr">
        <is>
          <t>Malaysia</t>
        </is>
      </c>
      <c r="B266" s="10" t="n">
        <v>2015</v>
      </c>
      <c r="C266" s="10" t="n">
        <v>1</v>
      </c>
      <c r="D266" s="6" t="inlineStr">
        <is>
          <t>2015 Q1</t>
        </is>
      </c>
      <c r="E266" s="8" t="n">
        <v>110.466666666667</v>
      </c>
      <c r="F266" s="10" t="n">
        <v>0.668286755771574</v>
      </c>
      <c r="G266" s="10" t="n">
        <v>-1.07462686567165</v>
      </c>
      <c r="H266" s="8" t="n">
        <v>5.65087484895533</v>
      </c>
      <c r="I266" s="8" t="n">
        <v>3.99837437237156</v>
      </c>
      <c r="J266" s="8" t="n">
        <v>102.777497483045</v>
      </c>
      <c r="K266" s="8" t="n">
        <v>-1.39216785309839</v>
      </c>
      <c r="L266" s="8" t="n">
        <v>100.657732001964</v>
      </c>
      <c r="M266" s="8" t="n">
        <v>-8.4807283765489</v>
      </c>
      <c r="N266" s="8" t="n">
        <v>0.11</v>
      </c>
      <c r="O266" s="8" t="n">
        <v>0.01</v>
      </c>
      <c r="P266" s="8" t="n">
        <v>53.9166666666667</v>
      </c>
      <c r="Q266" s="8" t="n">
        <v>-50.1540832049307</v>
      </c>
      <c r="R266" s="10" t="n">
        <v>0</v>
      </c>
      <c r="S266" s="7" t="inlineStr">
        <is>
          <t>High_Quality_Observed</t>
        </is>
      </c>
    </row>
    <row r="267" ht="19" customHeight="1">
      <c r="A267" s="6" t="inlineStr">
        <is>
          <t>Malaysia</t>
        </is>
      </c>
      <c r="B267" s="10" t="n">
        <v>2015</v>
      </c>
      <c r="C267" s="10" t="n">
        <v>2</v>
      </c>
      <c r="D267" s="6" t="inlineStr">
        <is>
          <t>2015 Q2</t>
        </is>
      </c>
      <c r="E267" s="8" t="n">
        <v>112.4</v>
      </c>
      <c r="F267" s="10" t="n">
        <v>2.15086337473493</v>
      </c>
      <c r="G267" s="10" t="n">
        <v>1.75015087507544</v>
      </c>
      <c r="H267" s="8" t="n">
        <v>5.25882361940609</v>
      </c>
      <c r="I267" s="8" t="n">
        <v>3.14714046368297</v>
      </c>
      <c r="J267" s="8" t="n">
        <v>103.674975878358</v>
      </c>
      <c r="K267" s="8" t="n">
        <v>-1.44686144559858</v>
      </c>
      <c r="L267" s="8" t="n">
        <v>96.8474817130345</v>
      </c>
      <c r="M267" s="8" t="n">
        <v>-13.1402513029193</v>
      </c>
      <c r="N267" s="8" t="n">
        <v>0.123333333333333</v>
      </c>
      <c r="O267" s="8" t="n">
        <v>0.0133333333333333</v>
      </c>
      <c r="P267" s="8" t="n">
        <v>61.6933333333333</v>
      </c>
      <c r="Q267" s="8" t="n">
        <v>-43.761774536615</v>
      </c>
      <c r="R267" s="10" t="n">
        <v>0</v>
      </c>
      <c r="S267" s="7" t="inlineStr">
        <is>
          <t>High_Quality_Observed</t>
        </is>
      </c>
    </row>
    <row r="268" ht="19" customHeight="1">
      <c r="A268" s="6" t="inlineStr">
        <is>
          <t>Malaysia</t>
        </is>
      </c>
      <c r="B268" s="10" t="n">
        <v>2015</v>
      </c>
      <c r="C268" s="10" t="n">
        <v>3</v>
      </c>
      <c r="D268" s="6" t="inlineStr">
        <is>
          <t>2015 Q3</t>
        </is>
      </c>
      <c r="E268" s="8" t="n">
        <v>113.8</v>
      </c>
      <c r="F268" s="10" t="n">
        <v>2.9864253393665</v>
      </c>
      <c r="G268" s="10" t="n">
        <v>1.24555160142348</v>
      </c>
      <c r="H268" s="8" t="n">
        <v>4.89550689762666</v>
      </c>
      <c r="I268" s="8" t="n">
        <v>2.61791831033497</v>
      </c>
      <c r="J268" s="8" t="n">
        <v>96.34147451157131</v>
      </c>
      <c r="K268" s="8" t="n">
        <v>-10.6304157261428</v>
      </c>
      <c r="L268" s="8" t="n">
        <v>92.7459060049042</v>
      </c>
      <c r="M268" s="8" t="n">
        <v>-11.002156277164</v>
      </c>
      <c r="N268" s="8" t="n">
        <v>0.136666666666667</v>
      </c>
      <c r="O268" s="8" t="n">
        <v>0.0133333333333333</v>
      </c>
      <c r="P268" s="8" t="n">
        <v>50.2333333333333</v>
      </c>
      <c r="Q268" s="8" t="n">
        <v>-50.666186532229</v>
      </c>
      <c r="R268" s="10" t="n">
        <v>0</v>
      </c>
      <c r="S268" s="7" t="inlineStr">
        <is>
          <t>High_Quality_Observed</t>
        </is>
      </c>
    </row>
    <row r="269" ht="19" customHeight="1">
      <c r="A269" s="6" t="inlineStr">
        <is>
          <t>Malaysia</t>
        </is>
      </c>
      <c r="B269" s="10" t="n">
        <v>2015</v>
      </c>
      <c r="C269" s="10" t="n">
        <v>4</v>
      </c>
      <c r="D269" s="6" t="inlineStr">
        <is>
          <t>2015 Q4</t>
        </is>
      </c>
      <c r="E269" s="8" t="n">
        <v>114.566666666667</v>
      </c>
      <c r="F269" s="10" t="n">
        <v>2.59701492537312</v>
      </c>
      <c r="G269" s="10" t="n">
        <v>0.67369654364382</v>
      </c>
      <c r="H269" s="8" t="n">
        <v>4.56092432024064</v>
      </c>
      <c r="I269" s="8" t="n">
        <v>2.41070738311052</v>
      </c>
      <c r="J269" s="8" t="n">
        <v>92.03428241064481</v>
      </c>
      <c r="K269" s="8" t="n">
        <v>-14.2959249745592</v>
      </c>
      <c r="L269" s="8" t="n">
        <v>90.3005619231251</v>
      </c>
      <c r="M269" s="8" t="n">
        <v>-9.15862581446042</v>
      </c>
      <c r="N269" s="8" t="n">
        <v>0.16</v>
      </c>
      <c r="O269" s="8" t="n">
        <v>0.0233333333333333</v>
      </c>
      <c r="P269" s="8" t="n">
        <v>43.57</v>
      </c>
      <c r="Q269" s="8" t="n">
        <v>-42.9736922472842</v>
      </c>
      <c r="R269" s="10" t="n">
        <v>0</v>
      </c>
      <c r="S269" s="7" t="inlineStr">
        <is>
          <t>High_Quality_Observed</t>
        </is>
      </c>
    </row>
    <row r="270" ht="19" customHeight="1">
      <c r="A270" s="6" t="inlineStr">
        <is>
          <t>Malaysia</t>
        </is>
      </c>
      <c r="B270" s="10" t="n">
        <v>2016</v>
      </c>
      <c r="C270" s="10" t="n">
        <v>1</v>
      </c>
      <c r="D270" s="6" t="inlineStr">
        <is>
          <t>2016 Q1</t>
        </is>
      </c>
      <c r="E270" s="8" t="n">
        <v>114.266666666667</v>
      </c>
      <c r="F270" s="10" t="n">
        <v>3.43995171997586</v>
      </c>
      <c r="G270" s="10" t="n">
        <v>-0.261856270002903</v>
      </c>
      <c r="H270" s="8" t="n">
        <v>4.25507555267169</v>
      </c>
      <c r="I270" s="8" t="n">
        <v>2.52550747483262</v>
      </c>
      <c r="J270" s="8" t="n">
        <v>93.5516063927014</v>
      </c>
      <c r="K270" s="8" t="n">
        <v>-8.976567163318739</v>
      </c>
      <c r="L270" s="8" t="n">
        <v>91.66230580090431</v>
      </c>
      <c r="M270" s="8" t="n">
        <v>-8.936647013747329</v>
      </c>
      <c r="N270" s="8" t="n">
        <v>0.36</v>
      </c>
      <c r="O270" s="8" t="n">
        <v>0.2</v>
      </c>
      <c r="P270" s="8" t="n">
        <v>33.6966666666667</v>
      </c>
      <c r="Q270" s="8" t="n">
        <v>-37.5023183925811</v>
      </c>
      <c r="R270" s="10" t="n">
        <v>0</v>
      </c>
      <c r="S270" s="7" t="inlineStr">
        <is>
          <t>High_Quality_Observed</t>
        </is>
      </c>
    </row>
    <row r="271" ht="19" customHeight="1">
      <c r="A271" s="6" t="inlineStr">
        <is>
          <t>Malaysia</t>
        </is>
      </c>
      <c r="B271" s="10" t="n">
        <v>2016</v>
      </c>
      <c r="C271" s="10" t="n">
        <v>2</v>
      </c>
      <c r="D271" s="6" t="inlineStr">
        <is>
          <t>2016 Q2</t>
        </is>
      </c>
      <c r="E271" s="8" t="n">
        <v>114.566666666667</v>
      </c>
      <c r="F271" s="10" t="n">
        <v>1.92763938315539</v>
      </c>
      <c r="G271" s="10" t="n">
        <v>0.262543757292888</v>
      </c>
      <c r="H271" s="8" t="n">
        <v>4.21061837971032</v>
      </c>
      <c r="I271" s="8" t="n">
        <v>2.68167788041975</v>
      </c>
      <c r="J271" s="8" t="n">
        <v>95.6749814360342</v>
      </c>
      <c r="K271" s="8" t="n">
        <v>-7.71641794420147</v>
      </c>
      <c r="L271" s="8" t="n">
        <v>96.9846126235507</v>
      </c>
      <c r="M271" s="8" t="n">
        <v>0.141594709630688</v>
      </c>
      <c r="N271" s="8" t="n">
        <v>0.373333333333333</v>
      </c>
      <c r="O271" s="8" t="n">
        <v>0.0133333333333334</v>
      </c>
      <c r="P271" s="8" t="n">
        <v>45.5233333333333</v>
      </c>
      <c r="Q271" s="8" t="n">
        <v>-26.2102874432678</v>
      </c>
      <c r="R271" s="10" t="n">
        <v>0</v>
      </c>
      <c r="S271" s="7" t="inlineStr">
        <is>
          <t>High_Quality_Observed</t>
        </is>
      </c>
    </row>
    <row r="272" ht="19" customHeight="1">
      <c r="A272" s="6" t="inlineStr">
        <is>
          <t>Malaysia</t>
        </is>
      </c>
      <c r="B272" s="10" t="n">
        <v>2016</v>
      </c>
      <c r="C272" s="10" t="n">
        <v>3</v>
      </c>
      <c r="D272" s="6" t="inlineStr">
        <is>
          <t>2016 Q3</t>
        </is>
      </c>
      <c r="E272" s="8" t="n">
        <v>115.333333333333</v>
      </c>
      <c r="F272" s="10" t="n">
        <v>1.34739308728764</v>
      </c>
      <c r="G272" s="10" t="n">
        <v>0.6691882455629899</v>
      </c>
      <c r="H272" s="8" t="n">
        <v>4.42755275691635</v>
      </c>
      <c r="I272" s="8" t="n">
        <v>2.87921875601842</v>
      </c>
      <c r="J272" s="8" t="n">
        <v>94.61683258118769</v>
      </c>
      <c r="K272" s="8" t="n">
        <v>-1.79013445572348</v>
      </c>
      <c r="L272" s="8" t="n">
        <v>100.864699533998</v>
      </c>
      <c r="M272" s="8" t="n">
        <v>8.75380259767431</v>
      </c>
      <c r="N272" s="8" t="n">
        <v>0.396666666666667</v>
      </c>
      <c r="O272" s="8" t="n">
        <v>0.0233333333333333</v>
      </c>
      <c r="P272" s="8" t="n">
        <v>45.7866666666667</v>
      </c>
      <c r="Q272" s="8" t="n">
        <v>-8.852023888520231</v>
      </c>
      <c r="R272" s="10" t="n">
        <v>0</v>
      </c>
      <c r="S272" s="7" t="inlineStr">
        <is>
          <t>High_Quality_Observed</t>
        </is>
      </c>
    </row>
    <row r="273" ht="19" customHeight="1">
      <c r="A273" s="6" t="inlineStr">
        <is>
          <t>Malaysia</t>
        </is>
      </c>
      <c r="B273" s="10" t="n">
        <v>2016</v>
      </c>
      <c r="C273" s="10" t="n">
        <v>4</v>
      </c>
      <c r="D273" s="6" t="inlineStr">
        <is>
          <t>2016 Q4</t>
        </is>
      </c>
      <c r="E273" s="8" t="n">
        <v>116.5</v>
      </c>
      <c r="F273" s="10" t="n">
        <v>1.6875181844632</v>
      </c>
      <c r="G273" s="10" t="n">
        <v>1.01156069364163</v>
      </c>
      <c r="H273" s="8" t="n">
        <v>4.90587890117543</v>
      </c>
      <c r="I273" s="8" t="n">
        <v>3.11813029921527</v>
      </c>
      <c r="J273" s="8" t="n">
        <v>91.2855181702069</v>
      </c>
      <c r="K273" s="8" t="n">
        <v>-0.813571009438718</v>
      </c>
      <c r="L273" s="8" t="n">
        <v>101.835604997953</v>
      </c>
      <c r="M273" s="8" t="n">
        <v>12.7740545896579</v>
      </c>
      <c r="N273" s="8" t="n">
        <v>0.45</v>
      </c>
      <c r="O273" s="8" t="n">
        <v>0.0533333333333333</v>
      </c>
      <c r="P273" s="8" t="n">
        <v>49.1866666666667</v>
      </c>
      <c r="Q273" s="8" t="n">
        <v>12.8911330426134</v>
      </c>
      <c r="R273" s="10" t="n">
        <v>0</v>
      </c>
      <c r="S273" s="7" t="inlineStr">
        <is>
          <t>High_Quality_Observed</t>
        </is>
      </c>
    </row>
    <row r="274" ht="19" customHeight="1">
      <c r="A274" s="6" t="inlineStr">
        <is>
          <t>Malaysia</t>
        </is>
      </c>
      <c r="B274" s="10" t="n">
        <v>2017</v>
      </c>
      <c r="C274" s="10" t="n">
        <v>1</v>
      </c>
      <c r="D274" s="6" t="inlineStr">
        <is>
          <t>2017 Q1</t>
        </is>
      </c>
      <c r="E274" s="8" t="n">
        <v>119.166666666667</v>
      </c>
      <c r="F274" s="10" t="n">
        <v>4.28821470245042</v>
      </c>
      <c r="G274" s="10" t="n">
        <v>2.28898426323318</v>
      </c>
      <c r="H274" s="8" t="n">
        <v>5.64559729088166</v>
      </c>
      <c r="I274" s="8" t="n">
        <v>3.39841274886436</v>
      </c>
      <c r="J274" s="8" t="n">
        <v>91.0568449546969</v>
      </c>
      <c r="K274" s="8" t="n">
        <v>-2.66672218062435</v>
      </c>
      <c r="L274" s="8" t="n">
        <v>100.125779631695</v>
      </c>
      <c r="M274" s="8" t="n">
        <v>9.23331980015236</v>
      </c>
      <c r="N274" s="8" t="n">
        <v>0.7</v>
      </c>
      <c r="O274" s="8" t="n">
        <v>0.25</v>
      </c>
      <c r="P274" s="8" t="n">
        <v>53.68</v>
      </c>
      <c r="Q274" s="8" t="n">
        <v>59.30359085963</v>
      </c>
      <c r="R274" s="10" t="n">
        <v>0</v>
      </c>
      <c r="S274" s="7" t="inlineStr">
        <is>
          <t>High_Quality_Observed</t>
        </is>
      </c>
    </row>
    <row r="275" ht="19" customHeight="1">
      <c r="A275" s="6" t="inlineStr">
        <is>
          <t>Malaysia</t>
        </is>
      </c>
      <c r="B275" s="10" t="n">
        <v>2017</v>
      </c>
      <c r="C275" s="10" t="n">
        <v>2</v>
      </c>
      <c r="D275" s="6" t="inlineStr">
        <is>
          <t>2017 Q2</t>
        </is>
      </c>
      <c r="E275" s="8" t="n">
        <v>119.1</v>
      </c>
      <c r="F275" s="10" t="n">
        <v>3.95693919115507</v>
      </c>
      <c r="G275" s="10" t="n">
        <v>-0.0559440559440683</v>
      </c>
      <c r="H275" s="8" t="n">
        <v>6.00833455064477</v>
      </c>
      <c r="I275" s="8" t="n">
        <v>4.00901592823968</v>
      </c>
      <c r="J275" s="8" t="n">
        <v>92.02259700798621</v>
      </c>
      <c r="K275" s="8" t="n">
        <v>-3.8174916506149</v>
      </c>
      <c r="L275" s="8" t="n">
        <v>99.4605526807123</v>
      </c>
      <c r="M275" s="8" t="n">
        <v>2.55292049963849</v>
      </c>
      <c r="N275" s="8" t="n">
        <v>0.95</v>
      </c>
      <c r="O275" s="8" t="n">
        <v>0.25</v>
      </c>
      <c r="P275" s="8" t="n">
        <v>49.67</v>
      </c>
      <c r="Q275" s="8" t="n">
        <v>9.10888189207</v>
      </c>
      <c r="R275" s="10" t="n">
        <v>0</v>
      </c>
      <c r="S275" s="7" t="inlineStr">
        <is>
          <t>High_Quality_Observed</t>
        </is>
      </c>
    </row>
    <row r="276" ht="19" customHeight="1">
      <c r="A276" s="6" t="inlineStr">
        <is>
          <t>Malaysia</t>
        </is>
      </c>
      <c r="B276" s="10" t="n">
        <v>2017</v>
      </c>
      <c r="C276" s="10" t="n">
        <v>3</v>
      </c>
      <c r="D276" s="6" t="inlineStr">
        <is>
          <t>2017 Q3</t>
        </is>
      </c>
      <c r="E276" s="8" t="n">
        <v>119.666666666667</v>
      </c>
      <c r="F276" s="10" t="n">
        <v>3.75722543352601</v>
      </c>
      <c r="G276" s="10" t="n">
        <v>0.475790652113073</v>
      </c>
      <c r="H276" s="8" t="n">
        <v>5.99409104326931</v>
      </c>
      <c r="I276" s="8" t="n">
        <v>4.94994044791227</v>
      </c>
      <c r="J276" s="8" t="n">
        <v>91.9694464244723</v>
      </c>
      <c r="K276" s="8" t="n">
        <v>-2.79800758965773</v>
      </c>
      <c r="L276" s="8" t="n">
        <v>102.480667511988</v>
      </c>
      <c r="M276" s="8" t="n">
        <v>1.60211450136303</v>
      </c>
      <c r="N276" s="8" t="n">
        <v>1.15333333333333</v>
      </c>
      <c r="O276" s="8" t="n">
        <v>0.203333333333333</v>
      </c>
      <c r="P276" s="8" t="n">
        <v>52.11</v>
      </c>
      <c r="Q276" s="8" t="n">
        <v>13.8104251601631</v>
      </c>
      <c r="R276" s="10" t="n">
        <v>0</v>
      </c>
      <c r="S276" s="7" t="inlineStr">
        <is>
          <t>High_Quality_Observed</t>
        </is>
      </c>
    </row>
    <row r="277" ht="19" customHeight="1">
      <c r="A277" s="6" t="inlineStr">
        <is>
          <t>Malaysia</t>
        </is>
      </c>
      <c r="B277" s="10" t="n">
        <v>2017</v>
      </c>
      <c r="C277" s="10" t="n">
        <v>4</v>
      </c>
      <c r="D277" s="6" t="inlineStr">
        <is>
          <t>2017 Q4</t>
        </is>
      </c>
      <c r="E277" s="8" t="n">
        <v>120.566666666667</v>
      </c>
      <c r="F277" s="10" t="n">
        <v>3.49070100143061</v>
      </c>
      <c r="G277" s="10" t="n">
        <v>0.752089136490253</v>
      </c>
      <c r="H277" s="8" t="n">
        <v>5.60286675447875</v>
      </c>
      <c r="I277" s="8" t="n">
        <v>6.22118724879111</v>
      </c>
      <c r="J277" s="8" t="n">
        <v>94.3278663382565</v>
      </c>
      <c r="K277" s="8" t="n">
        <v>3.33278293099781</v>
      </c>
      <c r="L277" s="8" t="n">
        <v>100.792675769869</v>
      </c>
      <c r="M277" s="8" t="n">
        <v>-1.0241302421728</v>
      </c>
      <c r="N277" s="8" t="n">
        <v>1.20333333333333</v>
      </c>
      <c r="O277" s="8" t="n">
        <v>0.05</v>
      </c>
      <c r="P277" s="8" t="n">
        <v>61.53</v>
      </c>
      <c r="Q277" s="8" t="n">
        <v>25.0948766603416</v>
      </c>
      <c r="R277" s="10" t="n">
        <v>0</v>
      </c>
      <c r="S277" s="7" t="inlineStr">
        <is>
          <t>High_Quality_Observed</t>
        </is>
      </c>
    </row>
    <row r="278" ht="19" customHeight="1">
      <c r="A278" s="6" t="inlineStr">
        <is>
          <t>Malaysia</t>
        </is>
      </c>
      <c r="B278" s="10" t="n">
        <v>2018</v>
      </c>
      <c r="C278" s="10" t="n">
        <v>1</v>
      </c>
      <c r="D278" s="6" t="inlineStr">
        <is>
          <t>2018 Q1</t>
        </is>
      </c>
      <c r="E278" s="8" t="n">
        <v>121.166666666667</v>
      </c>
      <c r="F278" s="10" t="n">
        <v>1.67832167832167</v>
      </c>
      <c r="G278" s="10" t="n">
        <v>0.497649986176407</v>
      </c>
      <c r="H278" s="8" t="n">
        <v>4.83466129306</v>
      </c>
      <c r="I278" s="8" t="n">
        <v>7.82275760213973</v>
      </c>
      <c r="J278" s="8" t="n">
        <v>97.3391624711294</v>
      </c>
      <c r="K278" s="8" t="n">
        <v>6.89933581550972</v>
      </c>
      <c r="L278" s="8" t="n">
        <v>96.02404012089779</v>
      </c>
      <c r="M278" s="8" t="n">
        <v>-4.09658683895945</v>
      </c>
      <c r="N278" s="8" t="n">
        <v>1.44666666666667</v>
      </c>
      <c r="O278" s="8" t="n">
        <v>0.243333333333333</v>
      </c>
      <c r="P278" s="8" t="n">
        <v>66.8066666666667</v>
      </c>
      <c r="Q278" s="8" t="n">
        <v>24.4535519125683</v>
      </c>
      <c r="R278" s="10" t="n">
        <v>0</v>
      </c>
      <c r="S278" s="7" t="inlineStr">
        <is>
          <t>High_Quality_Observed</t>
        </is>
      </c>
    </row>
    <row r="279" ht="19" customHeight="1">
      <c r="A279" s="6" t="inlineStr">
        <is>
          <t>Malaysia</t>
        </is>
      </c>
      <c r="B279" s="10" t="n">
        <v>2018</v>
      </c>
      <c r="C279" s="10" t="n">
        <v>2</v>
      </c>
      <c r="D279" s="6" t="inlineStr">
        <is>
          <t>2018 Q2</t>
        </is>
      </c>
      <c r="E279" s="8" t="n">
        <v>120.533333333333</v>
      </c>
      <c r="F279" s="10" t="n">
        <v>1.2034704729919</v>
      </c>
      <c r="G279" s="10" t="n">
        <v>-0.522696011004131</v>
      </c>
      <c r="H279" s="8" t="n">
        <v>4.53074948732132</v>
      </c>
      <c r="I279" s="8" t="n">
        <v>8.40949207876595</v>
      </c>
      <c r="J279" s="8" t="n">
        <v>97.624992617685</v>
      </c>
      <c r="K279" s="8" t="n">
        <v>6.08806509689408</v>
      </c>
      <c r="L279" s="8" t="n">
        <v>96.1737638878632</v>
      </c>
      <c r="M279" s="8" t="n">
        <v>-3.30461545231933</v>
      </c>
      <c r="N279" s="8" t="n">
        <v>1.73666666666667</v>
      </c>
      <c r="O279" s="8" t="n">
        <v>0.29</v>
      </c>
      <c r="P279" s="8" t="n">
        <v>74.5</v>
      </c>
      <c r="Q279" s="8" t="n">
        <v>49.9899335615059</v>
      </c>
      <c r="R279" s="10" t="n">
        <v>0</v>
      </c>
      <c r="S279" s="7" t="inlineStr">
        <is>
          <t>High_Quality_Observed</t>
        </is>
      </c>
    </row>
    <row r="280" ht="19" customHeight="1">
      <c r="A280" s="6" t="inlineStr">
        <is>
          <t>Malaysia</t>
        </is>
      </c>
      <c r="B280" s="10" t="n">
        <v>2018</v>
      </c>
      <c r="C280" s="10" t="n">
        <v>3</v>
      </c>
      <c r="D280" s="6" t="inlineStr">
        <is>
          <t>2018 Q3</t>
        </is>
      </c>
      <c r="E280" s="8" t="n">
        <v>120.1</v>
      </c>
      <c r="F280" s="10" t="n">
        <v>0.362116991643435</v>
      </c>
      <c r="G280" s="10" t="n">
        <v>-0.359513274336287</v>
      </c>
      <c r="H280" s="8" t="n">
        <v>4.69113103339067</v>
      </c>
      <c r="I280" s="8" t="n">
        <v>7.9813912653337</v>
      </c>
      <c r="J280" s="8" t="n">
        <v>95.5855200757741</v>
      </c>
      <c r="K280" s="8" t="n">
        <v>3.9318206120458</v>
      </c>
      <c r="L280" s="8" t="n">
        <v>93.2694805076009</v>
      </c>
      <c r="M280" s="8" t="n">
        <v>-8.98821917149397</v>
      </c>
      <c r="N280" s="8" t="n">
        <v>1.92333333333333</v>
      </c>
      <c r="O280" s="8" t="n">
        <v>0.186666666666667</v>
      </c>
      <c r="P280" s="8" t="n">
        <v>75.2233333333333</v>
      </c>
      <c r="Q280" s="8" t="n">
        <v>44.3548902961683</v>
      </c>
      <c r="R280" s="10" t="n">
        <v>0</v>
      </c>
      <c r="S280" s="7" t="inlineStr">
        <is>
          <t>High_Quality_Observed</t>
        </is>
      </c>
    </row>
    <row r="281" ht="19" customHeight="1">
      <c r="A281" s="6" t="inlineStr">
        <is>
          <t>Malaysia</t>
        </is>
      </c>
      <c r="B281" s="10" t="n">
        <v>2018</v>
      </c>
      <c r="C281" s="10" t="n">
        <v>4</v>
      </c>
      <c r="D281" s="6" t="inlineStr">
        <is>
          <t>2018 Q4</t>
        </is>
      </c>
      <c r="E281" s="8" t="n">
        <v>120.933333333333</v>
      </c>
      <c r="F281" s="10" t="n">
        <v>0.304119435996686</v>
      </c>
      <c r="G281" s="10" t="n">
        <v>0.693866222592288</v>
      </c>
      <c r="H281" s="8" t="n">
        <v>5.31580609156613</v>
      </c>
      <c r="I281" s="8" t="n">
        <v>6.53845473379567</v>
      </c>
      <c r="J281" s="8" t="n">
        <v>94.7296667136137</v>
      </c>
      <c r="K281" s="8" t="n">
        <v>0.425961479841397</v>
      </c>
      <c r="L281" s="8" t="n">
        <v>90.7369363173618</v>
      </c>
      <c r="M281" s="8" t="n">
        <v>-9.976656910534739</v>
      </c>
      <c r="N281" s="8" t="n">
        <v>2.22</v>
      </c>
      <c r="O281" s="8" t="n">
        <v>0.296666666666667</v>
      </c>
      <c r="P281" s="8" t="n">
        <v>67.7133333333333</v>
      </c>
      <c r="Q281" s="8" t="n">
        <v>10.0492984452029</v>
      </c>
      <c r="R281" s="10" t="n">
        <v>0</v>
      </c>
      <c r="S281" s="7" t="inlineStr">
        <is>
          <t>High_Quality_Observed</t>
        </is>
      </c>
    </row>
    <row r="282" ht="19" customHeight="1">
      <c r="A282" s="6" t="inlineStr">
        <is>
          <t>Malaysia</t>
        </is>
      </c>
      <c r="B282" s="10" t="n">
        <v>2019</v>
      </c>
      <c r="C282" s="10" t="n">
        <v>1</v>
      </c>
      <c r="D282" s="6" t="inlineStr">
        <is>
          <t>2019 Q1</t>
        </is>
      </c>
      <c r="E282" s="8" t="n">
        <v>120.8</v>
      </c>
      <c r="F282" s="10" t="n">
        <v>-0.302613480055025</v>
      </c>
      <c r="G282" s="10" t="n">
        <v>-0.11025358324146</v>
      </c>
      <c r="H282" s="8" t="n">
        <v>6.40477528663785</v>
      </c>
      <c r="I282" s="8" t="n">
        <v>4.0806810411968</v>
      </c>
      <c r="J282" s="8" t="n">
        <v>95.40942656767849</v>
      </c>
      <c r="K282" s="8" t="n">
        <v>-1.98248665230015</v>
      </c>
      <c r="L282" s="8" t="n">
        <v>93.8324987094736</v>
      </c>
      <c r="M282" s="8" t="n">
        <v>-2.2822841120463</v>
      </c>
      <c r="N282" s="8" t="n">
        <v>2.40333333333333</v>
      </c>
      <c r="O282" s="8" t="n">
        <v>0.183333333333333</v>
      </c>
      <c r="P282" s="8" t="n">
        <v>63.17</v>
      </c>
      <c r="Q282" s="8" t="n">
        <v>-5.4435685061371</v>
      </c>
      <c r="R282" s="10" t="n">
        <v>0</v>
      </c>
      <c r="S282" s="7" t="inlineStr">
        <is>
          <t>High_Quality_Observed</t>
        </is>
      </c>
    </row>
    <row r="283" ht="19" customHeight="1">
      <c r="A283" s="6" t="inlineStr">
        <is>
          <t>Malaysia</t>
        </is>
      </c>
      <c r="B283" s="10" t="n">
        <v>2019</v>
      </c>
      <c r="C283" s="10" t="n">
        <v>2</v>
      </c>
      <c r="D283" s="6" t="inlineStr">
        <is>
          <t>2019 Q2</t>
        </is>
      </c>
      <c r="E283" s="8" t="n">
        <v>121.3</v>
      </c>
      <c r="F283" s="10" t="n">
        <v>0.6360619469026439</v>
      </c>
      <c r="G283" s="10" t="n">
        <v>0.413907284768222</v>
      </c>
      <c r="H283" s="8" t="n">
        <v>6.04372814403864</v>
      </c>
      <c r="I283" s="8" t="n">
        <v>2.53518795772236</v>
      </c>
      <c r="J283" s="8" t="n">
        <v>94.7469448170425</v>
      </c>
      <c r="K283" s="8" t="n">
        <v>-2.94806455137301</v>
      </c>
      <c r="L283" s="8" t="n">
        <v>94.8842784155444</v>
      </c>
      <c r="M283" s="8" t="n">
        <v>-1.34078715461562</v>
      </c>
      <c r="N283" s="8" t="n">
        <v>2.39666666666667</v>
      </c>
      <c r="O283" s="8" t="n">
        <v>-0.0066666666666668</v>
      </c>
      <c r="P283" s="8" t="n">
        <v>68.9233333333333</v>
      </c>
      <c r="Q283" s="8" t="n">
        <v>-7.48545861297539</v>
      </c>
      <c r="R283" s="10" t="n">
        <v>0</v>
      </c>
      <c r="S283" s="7" t="inlineStr">
        <is>
          <t>High_Quality_Observed</t>
        </is>
      </c>
    </row>
    <row r="284" ht="19" customHeight="1">
      <c r="A284" s="6" t="inlineStr">
        <is>
          <t>Malaysia</t>
        </is>
      </c>
      <c r="B284" s="10" t="n">
        <v>2019</v>
      </c>
      <c r="C284" s="10" t="n">
        <v>3</v>
      </c>
      <c r="D284" s="6" t="inlineStr">
        <is>
          <t>2019 Q3</t>
        </is>
      </c>
      <c r="E284" s="8" t="n">
        <v>121.7</v>
      </c>
      <c r="F284" s="10" t="n">
        <v>1.3322231473772</v>
      </c>
      <c r="G284" s="10" t="n">
        <v>0.329760923330591</v>
      </c>
      <c r="H284" s="8" t="n">
        <v>4.2326643027504</v>
      </c>
      <c r="I284" s="8" t="n">
        <v>1.90197393788587</v>
      </c>
      <c r="J284" s="8" t="n">
        <v>94.66656595636719</v>
      </c>
      <c r="K284" s="8" t="n">
        <v>-0.961394695219997</v>
      </c>
      <c r="L284" s="8" t="n">
        <v>94.5983508132319</v>
      </c>
      <c r="M284" s="8" t="n">
        <v>1.42476434777905</v>
      </c>
      <c r="N284" s="8" t="n">
        <v>2.19</v>
      </c>
      <c r="O284" s="8" t="n">
        <v>-0.206666666666667</v>
      </c>
      <c r="P284" s="8" t="n">
        <v>61.93</v>
      </c>
      <c r="Q284" s="8" t="n">
        <v>-17.6718216865334</v>
      </c>
      <c r="R284" s="10" t="n">
        <v>0</v>
      </c>
      <c r="S284" s="7" t="inlineStr">
        <is>
          <t>High_Quality_Observed</t>
        </is>
      </c>
    </row>
    <row r="285" ht="19" customHeight="1">
      <c r="A285" s="6" t="inlineStr">
        <is>
          <t>Malaysia</t>
        </is>
      </c>
      <c r="B285" s="10" t="n">
        <v>2019</v>
      </c>
      <c r="C285" s="10" t="n">
        <v>4</v>
      </c>
      <c r="D285" s="6" t="inlineStr">
        <is>
          <t>2019 Q4</t>
        </is>
      </c>
      <c r="E285" s="8" t="n">
        <v>122.133333333333</v>
      </c>
      <c r="F285" s="10" t="n">
        <v>0.992282249173093</v>
      </c>
      <c r="G285" s="10" t="n">
        <v>0.356066831005197</v>
      </c>
      <c r="H285" s="8" t="n">
        <v>0.971581951710769</v>
      </c>
      <c r="I285" s="8" t="n">
        <v>2.18103834847199</v>
      </c>
      <c r="J285" s="8" t="n">
        <v>94.21122538665431</v>
      </c>
      <c r="K285" s="8" t="n">
        <v>-0.5472850744073</v>
      </c>
      <c r="L285" s="8" t="n">
        <v>98.5900431134575</v>
      </c>
      <c r="M285" s="8" t="n">
        <v>8.654807088293911</v>
      </c>
      <c r="N285" s="8" t="n">
        <v>1.64333333333333</v>
      </c>
      <c r="O285" s="8" t="n">
        <v>-0.546666666666667</v>
      </c>
      <c r="P285" s="8" t="n">
        <v>63.41</v>
      </c>
      <c r="Q285" s="8" t="n">
        <v>-6.35522299891701</v>
      </c>
      <c r="R285" s="10" t="n">
        <v>0</v>
      </c>
      <c r="S285" s="7" t="inlineStr">
        <is>
          <t>High_Quality_Observed</t>
        </is>
      </c>
    </row>
    <row r="286" ht="19" customHeight="1">
      <c r="A286" s="6" t="inlineStr">
        <is>
          <t>Malaysia</t>
        </is>
      </c>
      <c r="B286" s="10" t="n">
        <v>2020</v>
      </c>
      <c r="C286" s="10" t="n">
        <v>1</v>
      </c>
      <c r="D286" s="6" t="inlineStr">
        <is>
          <t>2020 Q1</t>
        </is>
      </c>
      <c r="E286" s="8" t="n">
        <v>121.9</v>
      </c>
      <c r="F286" s="10" t="n">
        <v>0.910596026490063</v>
      </c>
      <c r="G286" s="10" t="n">
        <v>-0.191048034934482</v>
      </c>
      <c r="H286" s="8" t="n">
        <v>-3.73952217014739</v>
      </c>
      <c r="I286" s="8" t="n">
        <v>3.37238146853838</v>
      </c>
      <c r="J286" s="8" t="n">
        <v>93.8842945282348</v>
      </c>
      <c r="K286" s="8" t="n">
        <v>-1.59851295025012</v>
      </c>
      <c r="L286" s="8" t="n">
        <v>101.264856657347</v>
      </c>
      <c r="M286" s="8" t="n">
        <v>7.92087821393919</v>
      </c>
      <c r="N286" s="8" t="n">
        <v>1.26</v>
      </c>
      <c r="O286" s="8" t="n">
        <v>-0.383333333333333</v>
      </c>
      <c r="P286" s="8" t="n">
        <v>50.44</v>
      </c>
      <c r="Q286" s="8" t="n">
        <v>-20.1519708722495</v>
      </c>
      <c r="R286" s="10" t="n">
        <v>0</v>
      </c>
      <c r="S286" s="7" t="inlineStr">
        <is>
          <t>High_Quality_Observed</t>
        </is>
      </c>
    </row>
    <row r="287" ht="19" customHeight="1">
      <c r="A287" s="6" t="inlineStr">
        <is>
          <t>Malaysia</t>
        </is>
      </c>
      <c r="B287" s="10" t="n">
        <v>2020</v>
      </c>
      <c r="C287" s="10" t="n">
        <v>2</v>
      </c>
      <c r="D287" s="6" t="inlineStr">
        <is>
          <t>2020 Q2</t>
        </is>
      </c>
      <c r="E287" s="8" t="n">
        <v>118.2</v>
      </c>
      <c r="F287" s="10" t="n">
        <v>-2.55564715581204</v>
      </c>
      <c r="G287" s="10" t="n">
        <v>-3.03527481542248</v>
      </c>
      <c r="H287" s="8" t="n">
        <v>-6.31089251286022</v>
      </c>
      <c r="I287" s="8" t="n">
        <v>4.33726475171064</v>
      </c>
      <c r="J287" s="8" t="n">
        <v>89.70669091294791</v>
      </c>
      <c r="K287" s="8" t="n">
        <v>-5.31970071840033</v>
      </c>
      <c r="L287" s="8" t="n">
        <v>94.2610802411244</v>
      </c>
      <c r="M287" s="8" t="n">
        <v>-0.656798138560644</v>
      </c>
      <c r="N287" s="8" t="n">
        <v>0.06</v>
      </c>
      <c r="O287" s="8" t="n">
        <v>-1.2</v>
      </c>
      <c r="P287" s="8" t="n">
        <v>29.3433333333333</v>
      </c>
      <c r="Q287" s="8" t="n">
        <v>-57.426125646854</v>
      </c>
      <c r="R287" s="10" t="n">
        <v>0</v>
      </c>
      <c r="S287" s="7" t="inlineStr">
        <is>
          <t>High_Quality_Observed</t>
        </is>
      </c>
    </row>
    <row r="288" ht="19" customHeight="1">
      <c r="A288" s="6" t="inlineStr">
        <is>
          <t>Malaysia</t>
        </is>
      </c>
      <c r="B288" s="10" t="n">
        <v>2020</v>
      </c>
      <c r="C288" s="10" t="n">
        <v>3</v>
      </c>
      <c r="D288" s="6" t="inlineStr">
        <is>
          <t>2020 Q3</t>
        </is>
      </c>
      <c r="E288" s="8" t="n">
        <v>120.033333333333</v>
      </c>
      <c r="F288" s="10" t="n">
        <v>-1.36948781155848</v>
      </c>
      <c r="G288" s="10" t="n">
        <v>1.55104342921601</v>
      </c>
      <c r="H288" s="8" t="n">
        <v>-6.7425316476696</v>
      </c>
      <c r="I288" s="8" t="n">
        <v>5.07568916278353</v>
      </c>
      <c r="J288" s="8" t="n">
        <v>91.03573415812301</v>
      </c>
      <c r="K288" s="8" t="n">
        <v>-3.83538978261619</v>
      </c>
      <c r="L288" s="8" t="n">
        <v>97.88852553233011</v>
      </c>
      <c r="M288" s="8" t="n">
        <v>3.47804659469599</v>
      </c>
      <c r="N288" s="8" t="n">
        <v>0.0933333333333333</v>
      </c>
      <c r="O288" s="8" t="n">
        <v>0.0333333333333333</v>
      </c>
      <c r="P288" s="8" t="n">
        <v>42.9633333333333</v>
      </c>
      <c r="Q288" s="8" t="n">
        <v>-30.6259755638086</v>
      </c>
      <c r="R288" s="10" t="n">
        <v>0</v>
      </c>
      <c r="S288" s="7" t="inlineStr">
        <is>
          <t>High_Quality_Observed</t>
        </is>
      </c>
    </row>
    <row r="289" ht="19" customHeight="1">
      <c r="A289" s="6" t="inlineStr">
        <is>
          <t>Malaysia</t>
        </is>
      </c>
      <c r="B289" s="10" t="n">
        <v>2020</v>
      </c>
      <c r="C289" s="10" t="n">
        <v>4</v>
      </c>
      <c r="D289" s="6" t="inlineStr">
        <is>
          <t>2020 Q4</t>
        </is>
      </c>
      <c r="E289" s="8" t="n">
        <v>120.266666666667</v>
      </c>
      <c r="F289" s="10" t="n">
        <v>-1.52838427947598</v>
      </c>
      <c r="G289" s="10" t="n">
        <v>0.194390447098036</v>
      </c>
      <c r="H289" s="8" t="n">
        <v>-5.03444000635455</v>
      </c>
      <c r="I289" s="8" t="n">
        <v>5.58765544034321</v>
      </c>
      <c r="J289" s="8" t="n">
        <v>91.24080447308739</v>
      </c>
      <c r="K289" s="8" t="n">
        <v>-3.15293735048658</v>
      </c>
      <c r="L289" s="8" t="n">
        <v>107.405441783652</v>
      </c>
      <c r="M289" s="8" t="n">
        <v>8.9414695356711</v>
      </c>
      <c r="N289" s="8" t="n">
        <v>0.09</v>
      </c>
      <c r="O289" s="8" t="n">
        <v>-0.0033333333333333</v>
      </c>
      <c r="P289" s="8" t="n">
        <v>44.29</v>
      </c>
      <c r="Q289" s="8" t="n">
        <v>-30.152972717237</v>
      </c>
      <c r="R289" s="10" t="n">
        <v>0</v>
      </c>
      <c r="S289" s="7" t="inlineStr">
        <is>
          <t>High_Quality_Observed</t>
        </is>
      </c>
    </row>
    <row r="290" ht="19" customHeight="1">
      <c r="A290" s="6" t="inlineStr">
        <is>
          <t>Malaysia</t>
        </is>
      </c>
      <c r="B290" s="10" t="n">
        <v>2021</v>
      </c>
      <c r="C290" s="10" t="n">
        <v>1</v>
      </c>
      <c r="D290" s="6" t="inlineStr">
        <is>
          <t>2021 Q1</t>
        </is>
      </c>
      <c r="E290" s="8" t="n">
        <v>122.5</v>
      </c>
      <c r="F290" s="10" t="n">
        <v>0.492206726825262</v>
      </c>
      <c r="G290" s="10" t="n">
        <v>1.8569844789357</v>
      </c>
      <c r="H290" s="8" t="n">
        <v>-1.18661588076898</v>
      </c>
      <c r="I290" s="8" t="n">
        <v>5.87316409622642</v>
      </c>
      <c r="J290" s="8" t="n">
        <v>92.3310340099567</v>
      </c>
      <c r="K290" s="8" t="n">
        <v>-1.65444127378614</v>
      </c>
      <c r="L290" s="8" t="n">
        <v>106.418456967928</v>
      </c>
      <c r="M290" s="8" t="n">
        <v>5.08922886053087</v>
      </c>
      <c r="N290" s="8" t="n">
        <v>0.08</v>
      </c>
      <c r="O290" s="8" t="n">
        <v>-0.01</v>
      </c>
      <c r="P290" s="8" t="n">
        <v>60.82</v>
      </c>
      <c r="Q290" s="8" t="n">
        <v>20.578905630452</v>
      </c>
      <c r="R290" s="10" t="n">
        <v>0</v>
      </c>
      <c r="S290" s="7" t="inlineStr">
        <is>
          <t>High_Quality_Observed</t>
        </is>
      </c>
    </row>
    <row r="291" ht="19" customHeight="1">
      <c r="A291" s="6" t="inlineStr">
        <is>
          <t>Malaysia</t>
        </is>
      </c>
      <c r="B291" s="10" t="n">
        <v>2021</v>
      </c>
      <c r="C291" s="10" t="n">
        <v>2</v>
      </c>
      <c r="D291" s="6" t="inlineStr">
        <is>
          <t>2021 Q2</t>
        </is>
      </c>
      <c r="E291" s="8" t="n">
        <v>123.133333333333</v>
      </c>
      <c r="F291" s="10" t="n">
        <v>4.17371686407217</v>
      </c>
      <c r="G291" s="10" t="n">
        <v>0.517006802721087</v>
      </c>
      <c r="H291" s="8" t="n">
        <v>2.15329832021367</v>
      </c>
      <c r="I291" s="8" t="n">
        <v>5.86171559308929</v>
      </c>
      <c r="J291" s="8" t="n">
        <v>91.3143229883238</v>
      </c>
      <c r="K291" s="8" t="n">
        <v>1.79209829168252</v>
      </c>
      <c r="L291" s="8" t="n">
        <v>114.551815876528</v>
      </c>
      <c r="M291" s="8" t="n">
        <v>21.5261013172124</v>
      </c>
      <c r="N291" s="8" t="n">
        <v>0.07000000000000001</v>
      </c>
      <c r="O291" s="8" t="n">
        <v>-0.01</v>
      </c>
      <c r="P291" s="8" t="n">
        <v>68.8333333333333</v>
      </c>
      <c r="Q291" s="8" t="n">
        <v>134.579120754288</v>
      </c>
      <c r="R291" s="10" t="n">
        <v>0</v>
      </c>
      <c r="S291" s="7" t="inlineStr">
        <is>
          <t>High_Quality_Observed</t>
        </is>
      </c>
    </row>
    <row r="292" ht="19" customHeight="1">
      <c r="A292" s="6" t="inlineStr">
        <is>
          <t>Malaysia</t>
        </is>
      </c>
      <c r="B292" s="10" t="n">
        <v>2021</v>
      </c>
      <c r="C292" s="10" t="n">
        <v>3</v>
      </c>
      <c r="D292" s="6" t="inlineStr">
        <is>
          <t>2021 Q3</t>
        </is>
      </c>
      <c r="E292" s="8" t="n">
        <v>122.6</v>
      </c>
      <c r="F292" s="10" t="n">
        <v>2.13829491807831</v>
      </c>
      <c r="G292" s="10" t="n">
        <v>-0.433134813210612</v>
      </c>
      <c r="H292" s="8" t="n">
        <v>4.98530593646775</v>
      </c>
      <c r="I292" s="8" t="n">
        <v>5.55330991951024</v>
      </c>
      <c r="J292" s="8" t="n">
        <v>89.66964938932399</v>
      </c>
      <c r="K292" s="8" t="n">
        <v>-1.50060279233455</v>
      </c>
      <c r="L292" s="8" t="n">
        <v>116.298331246585</v>
      </c>
      <c r="M292" s="8" t="n">
        <v>18.8069087915464</v>
      </c>
      <c r="N292" s="8" t="n">
        <v>0.09</v>
      </c>
      <c r="O292" s="8" t="n">
        <v>0.02</v>
      </c>
      <c r="P292" s="8" t="n">
        <v>73.47</v>
      </c>
      <c r="Q292" s="8" t="n">
        <v>71.0062844285825</v>
      </c>
      <c r="R292" s="10" t="n">
        <v>0</v>
      </c>
      <c r="S292" s="7" t="inlineStr">
        <is>
          <t>High_Quality_Observed</t>
        </is>
      </c>
    </row>
    <row r="293" ht="19" customHeight="1">
      <c r="A293" s="6" t="inlineStr">
        <is>
          <t>Malaysia</t>
        </is>
      </c>
      <c r="B293" s="10" t="n">
        <v>2021</v>
      </c>
      <c r="C293" s="10" t="n">
        <v>4</v>
      </c>
      <c r="D293" s="6" t="inlineStr">
        <is>
          <t>2021 Q4</t>
        </is>
      </c>
      <c r="E293" s="8" t="n">
        <v>124.066666666667</v>
      </c>
      <c r="F293" s="10" t="n">
        <v>3.15964523281596</v>
      </c>
      <c r="G293" s="10" t="n">
        <v>1.1963023382273</v>
      </c>
      <c r="H293" s="8" t="n">
        <v>7.30940980001118</v>
      </c>
      <c r="I293" s="8" t="n">
        <v>4.94794676703945</v>
      </c>
      <c r="J293" s="8" t="n">
        <v>90.8399963137184</v>
      </c>
      <c r="K293" s="8" t="n">
        <v>-0.439286086618407</v>
      </c>
      <c r="L293" s="8" t="n">
        <v>122.679602624024</v>
      </c>
      <c r="M293" s="8" t="n">
        <v>14.2210306914792</v>
      </c>
      <c r="N293" s="8" t="n">
        <v>0.08</v>
      </c>
      <c r="O293" s="8" t="n">
        <v>-0.01</v>
      </c>
      <c r="P293" s="8" t="n">
        <v>79.5866666666667</v>
      </c>
      <c r="Q293" s="8" t="n">
        <v>79.69443817265</v>
      </c>
      <c r="R293" s="10" t="n">
        <v>0</v>
      </c>
      <c r="S293" s="7" t="inlineStr">
        <is>
          <t>High_Quality_Observed</t>
        </is>
      </c>
    </row>
    <row r="294" ht="19" customHeight="1">
      <c r="A294" s="6" t="inlineStr">
        <is>
          <t>Malaysia</t>
        </is>
      </c>
      <c r="B294" s="10" t="n">
        <v>2022</v>
      </c>
      <c r="C294" s="10" t="n">
        <v>1</v>
      </c>
      <c r="D294" s="6" t="inlineStr">
        <is>
          <t>2022 Q1</t>
        </is>
      </c>
      <c r="E294" s="8" t="n">
        <v>125.233333333333</v>
      </c>
      <c r="F294" s="10" t="n">
        <v>2.2312925170068</v>
      </c>
      <c r="G294" s="10" t="n">
        <v>0.9403546480386989</v>
      </c>
      <c r="H294" s="8" t="n">
        <v>9.1256122348862</v>
      </c>
      <c r="I294" s="8" t="n">
        <v>4.04562553034242</v>
      </c>
      <c r="J294" s="8" t="n">
        <v>90.60589435099619</v>
      </c>
      <c r="K294" s="8" t="n">
        <v>-1.86842883052136</v>
      </c>
      <c r="L294" s="8" t="n">
        <v>124.25343875034</v>
      </c>
      <c r="M294" s="8" t="n">
        <v>16.7592937264516</v>
      </c>
      <c r="N294" s="8" t="n">
        <v>0.12</v>
      </c>
      <c r="O294" s="8" t="n">
        <v>0.04</v>
      </c>
      <c r="P294" s="8" t="n">
        <v>100.296666666667</v>
      </c>
      <c r="Q294" s="8" t="n">
        <v>64.9073769593335</v>
      </c>
      <c r="R294" s="10" t="n">
        <v>0</v>
      </c>
      <c r="S294" s="7" t="inlineStr">
        <is>
          <t>High_Quality_Observed</t>
        </is>
      </c>
    </row>
    <row r="295" ht="19" customHeight="1">
      <c r="A295" s="6" t="inlineStr">
        <is>
          <t>Malaysia</t>
        </is>
      </c>
      <c r="B295" s="10" t="n">
        <v>2022</v>
      </c>
      <c r="C295" s="10" t="n">
        <v>2</v>
      </c>
      <c r="D295" s="6" t="inlineStr">
        <is>
          <t>2022 Q2</t>
        </is>
      </c>
      <c r="E295" s="8" t="n">
        <v>126.633333333333</v>
      </c>
      <c r="F295" s="10" t="n">
        <v>2.84244721169464</v>
      </c>
      <c r="G295" s="10" t="n">
        <v>1.11791322863988</v>
      </c>
      <c r="H295" s="8" t="n">
        <v>9.81454297533028</v>
      </c>
      <c r="I295" s="8" t="n">
        <v>3.66525292758574</v>
      </c>
      <c r="J295" s="8" t="n">
        <v>90.00557529717069</v>
      </c>
      <c r="K295" s="8" t="n">
        <v>-1.43323374507235</v>
      </c>
      <c r="L295" s="8" t="n">
        <v>134.351432934678</v>
      </c>
      <c r="M295" s="8" t="n">
        <v>17.2844200736996</v>
      </c>
      <c r="N295" s="8" t="n">
        <v>0.77</v>
      </c>
      <c r="O295" s="8" t="n">
        <v>0.65</v>
      </c>
      <c r="P295" s="8" t="n">
        <v>113.543333333333</v>
      </c>
      <c r="Q295" s="8" t="n">
        <v>64.95399515738499</v>
      </c>
      <c r="R295" s="10" t="n">
        <v>0</v>
      </c>
      <c r="S295" s="7" t="inlineStr">
        <is>
          <t>High_Quality_Observed</t>
        </is>
      </c>
    </row>
    <row r="296" ht="19" customHeight="1">
      <c r="A296" s="6" t="inlineStr">
        <is>
          <t>Malaysia</t>
        </is>
      </c>
      <c r="B296" s="10" t="n">
        <v>2022</v>
      </c>
      <c r="C296" s="10" t="n">
        <v>3</v>
      </c>
      <c r="D296" s="6" t="inlineStr">
        <is>
          <t>2022 Q3</t>
        </is>
      </c>
      <c r="E296" s="8" t="n">
        <v>128.133333333333</v>
      </c>
      <c r="F296" s="10" t="n">
        <v>4.51332245785754</v>
      </c>
      <c r="G296" s="10" t="n">
        <v>1.18452224269543</v>
      </c>
      <c r="H296" s="8" t="n">
        <v>9.376202710224041</v>
      </c>
      <c r="I296" s="8" t="n">
        <v>3.80682857847977</v>
      </c>
      <c r="J296" s="8" t="n">
        <v>90.2640678657512</v>
      </c>
      <c r="K296" s="8" t="n">
        <v>0.662898182914007</v>
      </c>
      <c r="L296" s="8" t="n">
        <v>118.584751746656</v>
      </c>
      <c r="M296" s="8" t="n">
        <v>1.96599596534466</v>
      </c>
      <c r="N296" s="8" t="n">
        <v>2.19</v>
      </c>
      <c r="O296" s="8" t="n">
        <v>1.42</v>
      </c>
      <c r="P296" s="8" t="n">
        <v>100.713333333333</v>
      </c>
      <c r="Q296" s="8" t="n">
        <v>37.0808946962479</v>
      </c>
      <c r="R296" s="10" t="n">
        <v>0</v>
      </c>
      <c r="S296" s="7" t="inlineStr">
        <is>
          <t>High_Quality_Observed</t>
        </is>
      </c>
    </row>
    <row r="297" ht="19" customHeight="1">
      <c r="A297" s="6" t="inlineStr">
        <is>
          <t>Malaysia</t>
        </is>
      </c>
      <c r="B297" s="10" t="n">
        <v>2022</v>
      </c>
      <c r="C297" s="10" t="n">
        <v>4</v>
      </c>
      <c r="D297" s="6" t="inlineStr">
        <is>
          <t>2022 Q4</t>
        </is>
      </c>
      <c r="E297" s="8" t="n">
        <v>128.933333333333</v>
      </c>
      <c r="F297" s="10" t="n">
        <v>3.92262224610425</v>
      </c>
      <c r="G297" s="10" t="n">
        <v>0.624349635796051</v>
      </c>
      <c r="H297" s="8" t="n">
        <v>7.81059100120743</v>
      </c>
      <c r="I297" s="8" t="n">
        <v>4.47035262455805</v>
      </c>
      <c r="J297" s="8" t="n">
        <v>88.6413054871576</v>
      </c>
      <c r="K297" s="8" t="n">
        <v>-2.4203995109903</v>
      </c>
      <c r="L297" s="8" t="n">
        <v>115.210051245214</v>
      </c>
      <c r="M297" s="8" t="n">
        <v>-6.08866610181539</v>
      </c>
      <c r="N297" s="8" t="n">
        <v>3.65333333333333</v>
      </c>
      <c r="O297" s="8" t="n">
        <v>1.46333333333333</v>
      </c>
      <c r="P297" s="8" t="n">
        <v>88.5566666666667</v>
      </c>
      <c r="Q297" s="8" t="n">
        <v>11.2707321159323</v>
      </c>
      <c r="R297" s="10" t="n">
        <v>0</v>
      </c>
      <c r="S297" s="7" t="inlineStr">
        <is>
          <t>High_Quality_Observed</t>
        </is>
      </c>
    </row>
    <row r="298" ht="19" customHeight="1">
      <c r="A298" s="6" t="inlineStr">
        <is>
          <t>Malaysia</t>
        </is>
      </c>
      <c r="B298" s="10" t="n">
        <v>2023</v>
      </c>
      <c r="C298" s="10" t="n">
        <v>1</v>
      </c>
      <c r="D298" s="6" t="inlineStr">
        <is>
          <t>2023 Q1</t>
        </is>
      </c>
      <c r="E298" s="8" t="n">
        <v>129.733333333333</v>
      </c>
      <c r="F298" s="10" t="n">
        <v>3.59329252062817</v>
      </c>
      <c r="G298" s="10" t="n">
        <v>0.620475698035161</v>
      </c>
      <c r="H298" s="8" t="n">
        <v>5.11770628262755</v>
      </c>
      <c r="I298" s="8" t="n">
        <v>5.65582572935345</v>
      </c>
      <c r="J298" s="8" t="n">
        <v>88.9130309466845</v>
      </c>
      <c r="K298" s="8" t="n">
        <v>-1.86838109864442</v>
      </c>
      <c r="L298" s="8" t="n">
        <v>114.034689515825</v>
      </c>
      <c r="M298" s="8" t="n">
        <v>-8.224117849203459</v>
      </c>
      <c r="N298" s="8" t="n">
        <v>4.51666666666667</v>
      </c>
      <c r="O298" s="8" t="n">
        <v>0.863333333333333</v>
      </c>
      <c r="P298" s="8" t="n">
        <v>81.1733333333333</v>
      </c>
      <c r="Q298" s="8" t="n">
        <v>-19.0667685865266</v>
      </c>
      <c r="R298" s="10" t="n">
        <v>0</v>
      </c>
      <c r="S298" s="7" t="inlineStr">
        <is>
          <t>High_Quality_Observed</t>
        </is>
      </c>
    </row>
    <row r="299" ht="19" customHeight="1">
      <c r="A299" s="6" t="inlineStr">
        <is>
          <t>Malaysia</t>
        </is>
      </c>
      <c r="B299" s="10" t="n">
        <v>2023</v>
      </c>
      <c r="C299" s="10" t="n">
        <v>2</v>
      </c>
      <c r="D299" s="6" t="inlineStr">
        <is>
          <t>2023 Q2</t>
        </is>
      </c>
      <c r="E299" s="8" t="n">
        <v>130.2</v>
      </c>
      <c r="F299" s="10" t="n">
        <v>2.81653066596472</v>
      </c>
      <c r="G299" s="10" t="n">
        <v>0.359712230215803</v>
      </c>
      <c r="H299" s="8" t="n">
        <v>3.40829616017238</v>
      </c>
      <c r="I299" s="8" t="n">
        <v>6.20016485971577</v>
      </c>
      <c r="J299" s="8" t="n">
        <v>86.5057585979978</v>
      </c>
      <c r="K299" s="8" t="n">
        <v>-3.88844434093962</v>
      </c>
      <c r="L299" s="8" t="n">
        <v>109.857789884183</v>
      </c>
      <c r="M299" s="8" t="n">
        <v>-18.2310247948031</v>
      </c>
      <c r="N299" s="8" t="n">
        <v>4.99</v>
      </c>
      <c r="O299" s="8" t="n">
        <v>0.473333333333334</v>
      </c>
      <c r="P299" s="8" t="n">
        <v>78.31666666666671</v>
      </c>
      <c r="Q299" s="8" t="n">
        <v>-31.0248656900449</v>
      </c>
      <c r="R299" s="10" t="n">
        <v>0</v>
      </c>
      <c r="S299" s="7" t="inlineStr">
        <is>
          <t>High_Quality_Observed</t>
        </is>
      </c>
    </row>
    <row r="300" ht="19" customHeight="1">
      <c r="A300" s="6" t="inlineStr">
        <is>
          <t>Malaysia</t>
        </is>
      </c>
      <c r="B300" s="10" t="n">
        <v>2023</v>
      </c>
      <c r="C300" s="10" t="n">
        <v>3</v>
      </c>
      <c r="D300" s="6" t="inlineStr">
        <is>
          <t>2023 Q3</t>
        </is>
      </c>
      <c r="E300" s="8" t="n">
        <v>130.666666666667</v>
      </c>
      <c r="F300" s="10" t="n">
        <v>1.97710718002082</v>
      </c>
      <c r="G300" s="10" t="n">
        <v>0.358422939068093</v>
      </c>
      <c r="H300" s="8" t="n">
        <v>2.68235892435485</v>
      </c>
      <c r="I300" s="8" t="n">
        <v>6.10337055997564</v>
      </c>
      <c r="J300" s="8" t="n">
        <v>85.3547755451647</v>
      </c>
      <c r="K300" s="8" t="n">
        <v>-5.43881129741242</v>
      </c>
      <c r="L300" s="8" t="n">
        <v>107.510614988168</v>
      </c>
      <c r="M300" s="8" t="n">
        <v>-9.338584088911441</v>
      </c>
      <c r="N300" s="8" t="n">
        <v>5.26</v>
      </c>
      <c r="O300" s="8" t="n">
        <v>0.27</v>
      </c>
      <c r="P300" s="8" t="n">
        <v>86.66</v>
      </c>
      <c r="Q300" s="8" t="n">
        <v>-13.9537962533925</v>
      </c>
      <c r="R300" s="10" t="n">
        <v>0</v>
      </c>
      <c r="S300" s="7" t="inlineStr">
        <is>
          <t>High_Quality_Observed</t>
        </is>
      </c>
    </row>
    <row r="301" ht="19" customHeight="1">
      <c r="A301" s="6" t="inlineStr">
        <is>
          <t>Malaysia</t>
        </is>
      </c>
      <c r="B301" s="10" t="n">
        <v>2023</v>
      </c>
      <c r="C301" s="10" t="n">
        <v>4</v>
      </c>
      <c r="D301" s="6" t="inlineStr">
        <is>
          <t>2023 Q4</t>
        </is>
      </c>
      <c r="E301" s="8" t="n">
        <v>131</v>
      </c>
      <c r="F301" s="10" t="n">
        <v>1.6028955532575</v>
      </c>
      <c r="G301" s="10" t="n">
        <v>0.255102040816335</v>
      </c>
      <c r="H301" s="8" t="n">
        <v>2.93989384924944</v>
      </c>
      <c r="I301" s="8" t="n">
        <v>5.36544273336041</v>
      </c>
      <c r="J301" s="8" t="n">
        <v>84.5364752505069</v>
      </c>
      <c r="K301" s="8" t="n">
        <v>-4.6308323349834</v>
      </c>
      <c r="L301" s="8" t="n">
        <v>105.339533846651</v>
      </c>
      <c r="M301" s="8" t="n">
        <v>-8.56740995414912</v>
      </c>
      <c r="N301" s="8" t="n">
        <v>5.33</v>
      </c>
      <c r="O301" s="8" t="n">
        <v>0.0700000000000003</v>
      </c>
      <c r="P301" s="8" t="n">
        <v>83.7233333333333</v>
      </c>
      <c r="Q301" s="8" t="n">
        <v>-5.45789889712802</v>
      </c>
      <c r="R301" s="10" t="n">
        <v>0</v>
      </c>
      <c r="S301" s="7" t="inlineStr">
        <is>
          <t>High_Quality_Observed</t>
        </is>
      </c>
    </row>
    <row r="302" ht="19" customHeight="1">
      <c r="A302" s="6" t="inlineStr">
        <is>
          <t>Malaysia</t>
        </is>
      </c>
      <c r="B302" s="10" t="n">
        <v>2024</v>
      </c>
      <c r="C302" s="10" t="n">
        <v>1</v>
      </c>
      <c r="D302" s="6" t="inlineStr">
        <is>
          <t>2024 Q1</t>
        </is>
      </c>
      <c r="E302" s="8" t="n">
        <v>131.9</v>
      </c>
      <c r="F302" s="10" t="n">
        <v>1.67009249743062</v>
      </c>
      <c r="G302" s="10" t="n">
        <v>0.687022900763368</v>
      </c>
      <c r="H302" s="8" t="n">
        <v>4.18090119240212</v>
      </c>
      <c r="I302" s="8" t="n">
        <v>3.986380641945</v>
      </c>
      <c r="J302" s="8" t="n">
        <v>83.75521950504</v>
      </c>
      <c r="K302" s="8" t="n">
        <v>-5.80096234120871</v>
      </c>
      <c r="L302" s="8" t="n">
        <v>102.582568583479</v>
      </c>
      <c r="M302" s="8" t="n">
        <v>-10.0426641936497</v>
      </c>
      <c r="N302" s="8" t="n">
        <v>5.33</v>
      </c>
      <c r="O302" s="8" t="n">
        <v>0</v>
      </c>
      <c r="P302" s="8" t="n">
        <v>83.0033333333333</v>
      </c>
      <c r="Q302" s="8" t="n">
        <v>2.25443495400788</v>
      </c>
      <c r="R302" s="10" t="n">
        <v>0</v>
      </c>
      <c r="S302" s="7" t="inlineStr">
        <is>
          <t>High_Quality_Observed</t>
        </is>
      </c>
    </row>
    <row r="303" ht="19" customHeight="1">
      <c r="A303" s="6" t="inlineStr">
        <is>
          <t>Malaysia</t>
        </is>
      </c>
      <c r="B303" s="10" t="n">
        <v>2024</v>
      </c>
      <c r="C303" s="10" t="n">
        <v>2</v>
      </c>
      <c r="D303" s="6" t="inlineStr">
        <is>
          <t>2024 Q2</t>
        </is>
      </c>
      <c r="E303" s="8" t="n">
        <v>132.733333333333</v>
      </c>
      <c r="F303" s="10" t="n">
        <v>1.94572452636972</v>
      </c>
      <c r="G303" s="10" t="n">
        <v>0.631791761435441</v>
      </c>
      <c r="H303" s="8" t="n">
        <v>5.04712694118034</v>
      </c>
      <c r="I303" s="8" t="n">
        <v>3.15069407141987</v>
      </c>
      <c r="J303" s="8" t="n">
        <v>84.8401960611896</v>
      </c>
      <c r="K303" s="8" t="n">
        <v>-1.92537764398809</v>
      </c>
      <c r="L303" s="8" t="n">
        <v>104.519793640698</v>
      </c>
      <c r="M303" s="8" t="n">
        <v>-4.85900567371084</v>
      </c>
      <c r="N303" s="8" t="n">
        <v>5.33</v>
      </c>
      <c r="O303" s="8" t="n">
        <v>0</v>
      </c>
      <c r="P303" s="8" t="n">
        <v>84.6466666666667</v>
      </c>
      <c r="Q303" s="8" t="n">
        <v>8.082570759736109</v>
      </c>
      <c r="R303" s="10" t="n">
        <v>0</v>
      </c>
      <c r="S303" s="7" t="inlineStr">
        <is>
          <t>High_Quality_Observed</t>
        </is>
      </c>
    </row>
    <row r="304" ht="19" customHeight="1">
      <c r="A304" s="6" t="inlineStr">
        <is>
          <t>Malaysia</t>
        </is>
      </c>
      <c r="B304" s="10" t="n">
        <v>2024</v>
      </c>
      <c r="C304" s="10" t="n">
        <v>3</v>
      </c>
      <c r="D304" s="6" t="inlineStr">
        <is>
          <t>2024 Q3</t>
        </is>
      </c>
      <c r="E304" s="8" t="n">
        <v>133.166666666667</v>
      </c>
      <c r="F304" s="10" t="n">
        <v>1.91326530612246</v>
      </c>
      <c r="G304" s="10" t="n">
        <v>0.326469110999472</v>
      </c>
      <c r="H304" s="8" t="n">
        <v>5.5385719617799</v>
      </c>
      <c r="I304" s="8" t="n">
        <v>2.85838218612209</v>
      </c>
      <c r="J304" s="8" t="n">
        <v>88.6555846066386</v>
      </c>
      <c r="K304" s="8" t="n">
        <v>3.86716389374995</v>
      </c>
      <c r="L304" s="8" t="n">
        <v>106.377099329068</v>
      </c>
      <c r="M304" s="8" t="n">
        <v>-1.05432906250624</v>
      </c>
      <c r="N304" s="8" t="n">
        <v>5.26333333333333</v>
      </c>
      <c r="O304" s="8" t="n">
        <v>-0.0666666666666664</v>
      </c>
      <c r="P304" s="8" t="n">
        <v>79.84333333333331</v>
      </c>
      <c r="Q304" s="8" t="n">
        <v>-7.86598969151473</v>
      </c>
      <c r="R304" s="10" t="n">
        <v>0</v>
      </c>
      <c r="S304" s="7" t="inlineStr">
        <is>
          <t>High_Quality_Observed</t>
        </is>
      </c>
    </row>
    <row r="305" ht="19" customHeight="1">
      <c r="A305" s="6" t="inlineStr">
        <is>
          <t>Malaysia</t>
        </is>
      </c>
      <c r="B305" s="10" t="n">
        <v>2024</v>
      </c>
      <c r="C305" s="10" t="n">
        <v>4</v>
      </c>
      <c r="D305" s="6" t="inlineStr">
        <is>
          <t>2024 Q4</t>
        </is>
      </c>
      <c r="E305" s="8" t="n">
        <v>133.366666666667</v>
      </c>
      <c r="F305" s="10" t="n">
        <v>1.80661577608143</v>
      </c>
      <c r="G305" s="10" t="n">
        <v>0.15018773466835</v>
      </c>
      <c r="H305" s="8" t="n">
        <v>5.65523674563646</v>
      </c>
      <c r="I305" s="8" t="n">
        <v>3.10944469376372</v>
      </c>
      <c r="J305" s="8" t="n">
        <v>90.59512900887999</v>
      </c>
      <c r="K305" s="8" t="n">
        <v>7.16691078072456</v>
      </c>
      <c r="L305" s="8" t="n">
        <v>110.645361455409</v>
      </c>
      <c r="M305" s="8" t="n">
        <v>5.03688161035707</v>
      </c>
      <c r="N305" s="8" t="n">
        <v>4.65</v>
      </c>
      <c r="O305" s="8" t="n">
        <v>-0.613333333333333</v>
      </c>
      <c r="P305" s="8" t="n">
        <v>74.6133333333333</v>
      </c>
      <c r="Q305" s="8" t="n">
        <v>-10.8810765616913</v>
      </c>
      <c r="R305" s="10" t="n">
        <v>0</v>
      </c>
      <c r="S305" s="7" t="inlineStr">
        <is>
          <t>High_Quality_Observed</t>
        </is>
      </c>
    </row>
    <row r="306" ht="19" customHeight="1">
      <c r="A306" s="6" t="inlineStr">
        <is>
          <t>Malaysia</t>
        </is>
      </c>
      <c r="B306" s="10" t="n">
        <v>2025</v>
      </c>
      <c r="C306" s="10" t="n">
        <v>1</v>
      </c>
      <c r="D306" s="6" t="inlineStr">
        <is>
          <t>2025 Q1</t>
        </is>
      </c>
      <c r="E306" s="8" t="n">
        <v>133.85</v>
      </c>
      <c r="F306" s="10" t="n">
        <v>1.47839272175889</v>
      </c>
      <c r="G306" s="10" t="n">
        <v>0.362409397650576</v>
      </c>
      <c r="H306" s="8" t="n">
        <v>5.39712140949998</v>
      </c>
      <c r="I306" s="8" t="n">
        <v>3.90388184531966</v>
      </c>
      <c r="J306" s="8" t="n">
        <v>89.9874794725602</v>
      </c>
      <c r="K306" s="8" t="n">
        <v>7.44104069495648</v>
      </c>
      <c r="L306" s="8" t="n">
        <v>108.711496383905</v>
      </c>
      <c r="M306" s="8" t="n">
        <v>5.97462891118643</v>
      </c>
      <c r="N306" s="8" t="n">
        <v>4.33</v>
      </c>
      <c r="O306" s="8" t="n">
        <v>-0.32</v>
      </c>
      <c r="P306" s="8" t="n">
        <v>75.8133333333333</v>
      </c>
      <c r="Q306" s="8" t="n">
        <v>-8.662302718766311</v>
      </c>
      <c r="R306" s="10" t="n">
        <v>0</v>
      </c>
      <c r="S306" s="7" t="inlineStr">
        <is>
          <t>High_Quality_Observed</t>
        </is>
      </c>
    </row>
    <row r="307" ht="19" customHeight="1">
      <c r="A307" s="6" t="inlineStr">
        <is>
          <t>Myanmar</t>
        </is>
      </c>
      <c r="B307" s="10" t="n">
        <v>2010</v>
      </c>
      <c r="C307" s="10" t="n">
        <v>1</v>
      </c>
      <c r="D307" s="6" t="inlineStr">
        <is>
          <t>2010 Q1</t>
        </is>
      </c>
      <c r="E307" s="11" t="n">
        <v>89.0484082560648</v>
      </c>
      <c r="F307" s="13" t="inlineStr"/>
      <c r="G307" s="9" t="inlineStr"/>
      <c r="H307" s="8" t="n">
        <v>10.6916912684653</v>
      </c>
      <c r="I307" s="11" t="n">
        <v>45.4435594495843</v>
      </c>
      <c r="J307" s="11" t="n">
        <v>99.53418163488701</v>
      </c>
      <c r="K307" s="9" t="inlineStr"/>
      <c r="L307" s="8" t="n">
        <v>99.24199528149821</v>
      </c>
      <c r="M307" s="9" t="inlineStr"/>
      <c r="N307" s="8" t="n">
        <v>0.133333333333333</v>
      </c>
      <c r="O307" s="9" t="inlineStr"/>
      <c r="P307" s="8" t="n">
        <v>76.25</v>
      </c>
      <c r="Q307" s="9" t="inlineStr"/>
      <c r="R307" s="10" t="n">
        <v>1</v>
      </c>
      <c r="S307" s="7" t="inlineStr">
        <is>
          <t>Minor_Imputation_1Var</t>
        </is>
      </c>
    </row>
    <row r="308" ht="19" customHeight="1">
      <c r="A308" s="6" t="inlineStr">
        <is>
          <t>Myanmar</t>
        </is>
      </c>
      <c r="B308" s="10" t="n">
        <v>2010</v>
      </c>
      <c r="C308" s="10" t="n">
        <v>2</v>
      </c>
      <c r="D308" s="6" t="inlineStr">
        <is>
          <t>2010 Q2</t>
        </is>
      </c>
      <c r="E308" s="11" t="n">
        <v>92.08993333333331</v>
      </c>
      <c r="F308" s="13" t="inlineStr"/>
      <c r="G308" s="10" t="n">
        <v>3.41558612538302</v>
      </c>
      <c r="H308" s="8" t="n">
        <v>10.2687907956178</v>
      </c>
      <c r="I308" s="11" t="n">
        <v>44.266027102569</v>
      </c>
      <c r="J308" s="11" t="n">
        <v>99.53418163488701</v>
      </c>
      <c r="K308" s="9" t="inlineStr"/>
      <c r="L308" s="8" t="n">
        <v>96.4984622523225</v>
      </c>
      <c r="M308" s="9" t="inlineStr"/>
      <c r="N308" s="8" t="n">
        <v>0.193333333333333</v>
      </c>
      <c r="O308" s="8" t="n">
        <v>0.06</v>
      </c>
      <c r="P308" s="8" t="n">
        <v>78.51000000000001</v>
      </c>
      <c r="Q308" s="9" t="inlineStr"/>
      <c r="R308" s="10" t="n">
        <v>1</v>
      </c>
      <c r="S308" s="7" t="inlineStr">
        <is>
          <t>Minor_Imputation_1Var</t>
        </is>
      </c>
    </row>
    <row r="309" ht="19" customHeight="1">
      <c r="A309" s="6" t="inlineStr">
        <is>
          <t>Myanmar</t>
        </is>
      </c>
      <c r="B309" s="10" t="n">
        <v>2010</v>
      </c>
      <c r="C309" s="10" t="n">
        <v>3</v>
      </c>
      <c r="D309" s="6" t="inlineStr">
        <is>
          <t>2010 Q3</t>
        </is>
      </c>
      <c r="E309" s="11" t="n">
        <v>93.59782</v>
      </c>
      <c r="F309" s="13" t="inlineStr"/>
      <c r="G309" s="10" t="n">
        <v>1.63740662207741</v>
      </c>
      <c r="H309" s="8" t="n">
        <v>9.422989427012389</v>
      </c>
      <c r="I309" s="11" t="n">
        <v>41.910961231004</v>
      </c>
      <c r="J309" s="11" t="n">
        <v>99.53418163488701</v>
      </c>
      <c r="K309" s="9" t="inlineStr"/>
      <c r="L309" s="8" t="n">
        <v>107.356970480027</v>
      </c>
      <c r="M309" s="9" t="inlineStr"/>
      <c r="N309" s="8" t="n">
        <v>0.186666666666667</v>
      </c>
      <c r="O309" s="8" t="n">
        <v>-0.0066666666666666</v>
      </c>
      <c r="P309" s="8" t="n">
        <v>76.81999999999999</v>
      </c>
      <c r="Q309" s="9" t="inlineStr"/>
      <c r="R309" s="10" t="n">
        <v>1</v>
      </c>
      <c r="S309" s="7" t="inlineStr">
        <is>
          <t>Minor_Imputation_1Var</t>
        </is>
      </c>
    </row>
    <row r="310" ht="19" customHeight="1">
      <c r="A310" s="6" t="inlineStr">
        <is>
          <t>Myanmar</t>
        </is>
      </c>
      <c r="B310" s="10" t="n">
        <v>2010</v>
      </c>
      <c r="C310" s="10" t="n">
        <v>4</v>
      </c>
      <c r="D310" s="6" t="inlineStr">
        <is>
          <t>2010 Q4</t>
        </is>
      </c>
      <c r="E310" s="11" t="n">
        <v>95.5138833333333</v>
      </c>
      <c r="F310" s="13" t="inlineStr"/>
      <c r="G310" s="10" t="n">
        <v>2.04712388956636</v>
      </c>
      <c r="H310" s="8" t="n">
        <v>8.15428631686042</v>
      </c>
      <c r="I310" s="11" t="n">
        <v>38.3783594797089</v>
      </c>
      <c r="J310" s="11" t="n">
        <v>99.53418163488701</v>
      </c>
      <c r="K310" s="9" t="inlineStr"/>
      <c r="L310" s="8" t="n">
        <v>124.608736829891</v>
      </c>
      <c r="M310" s="9" t="inlineStr"/>
      <c r="N310" s="8" t="n">
        <v>0.186666666666667</v>
      </c>
      <c r="O310" s="8" t="n">
        <v>0</v>
      </c>
      <c r="P310" s="8" t="n">
        <v>86.4666666666667</v>
      </c>
      <c r="Q310" s="9" t="inlineStr"/>
      <c r="R310" s="10" t="n">
        <v>1</v>
      </c>
      <c r="S310" s="7" t="inlineStr">
        <is>
          <t>Minor_Imputation_1Var</t>
        </is>
      </c>
    </row>
    <row r="311" ht="19" customHeight="1">
      <c r="A311" s="6" t="inlineStr">
        <is>
          <t>Myanmar</t>
        </is>
      </c>
      <c r="B311" s="10" t="n">
        <v>2011</v>
      </c>
      <c r="C311" s="10" t="n">
        <v>1</v>
      </c>
      <c r="D311" s="6" t="inlineStr">
        <is>
          <t>2011 Q1</t>
        </is>
      </c>
      <c r="E311" s="11" t="n">
        <v>96.68492000000001</v>
      </c>
      <c r="F311" s="12" t="n">
        <v>8.575685847158461</v>
      </c>
      <c r="G311" s="10" t="n">
        <v>1.22603816932025</v>
      </c>
      <c r="H311" s="8" t="n">
        <v>6.46268019647009</v>
      </c>
      <c r="I311" s="11" t="n">
        <v>33.6682183163152</v>
      </c>
      <c r="J311" s="11" t="n">
        <v>99.53418163488701</v>
      </c>
      <c r="K311" s="8" t="n">
        <v>0</v>
      </c>
      <c r="L311" s="8" t="n">
        <v>121.875946057639</v>
      </c>
      <c r="M311" s="8" t="n">
        <v>22.8068276055313</v>
      </c>
      <c r="N311" s="8" t="n">
        <v>0.156666666666667</v>
      </c>
      <c r="O311" s="8" t="n">
        <v>-0.03</v>
      </c>
      <c r="P311" s="8" t="n">
        <v>104.96</v>
      </c>
      <c r="Q311" s="8" t="n">
        <v>37.6524590163934</v>
      </c>
      <c r="R311" s="10" t="n">
        <v>1</v>
      </c>
      <c r="S311" s="7" t="inlineStr">
        <is>
          <t>Minor_Imputation_1Var</t>
        </is>
      </c>
    </row>
    <row r="312" ht="19" customHeight="1">
      <c r="A312" s="6" t="inlineStr">
        <is>
          <t>Myanmar</t>
        </is>
      </c>
      <c r="B312" s="10" t="n">
        <v>2011</v>
      </c>
      <c r="C312" s="10" t="n">
        <v>2</v>
      </c>
      <c r="D312" s="6" t="inlineStr">
        <is>
          <t>2011 Q2</t>
        </is>
      </c>
      <c r="E312" s="11" t="n">
        <v>98.6148533333333</v>
      </c>
      <c r="F312" s="12" t="n">
        <v>7.08537813398353</v>
      </c>
      <c r="G312" s="10" t="n">
        <v>1.99610583877334</v>
      </c>
      <c r="H312" s="8" t="n">
        <v>5.43755906680137</v>
      </c>
      <c r="I312" s="11" t="n">
        <v>30.5574119916602</v>
      </c>
      <c r="J312" s="11" t="n">
        <v>99.53418163488701</v>
      </c>
      <c r="K312" s="8" t="n">
        <v>0</v>
      </c>
      <c r="L312" s="8" t="n">
        <v>122.00081812372</v>
      </c>
      <c r="M312" s="8" t="n">
        <v>26.4277329152819</v>
      </c>
      <c r="N312" s="8" t="n">
        <v>0.0933333333333333</v>
      </c>
      <c r="O312" s="8" t="n">
        <v>-0.0633333333333333</v>
      </c>
      <c r="P312" s="8" t="n">
        <v>117.36</v>
      </c>
      <c r="Q312" s="8" t="n">
        <v>49.4841421474971</v>
      </c>
      <c r="R312" s="10" t="n">
        <v>1</v>
      </c>
      <c r="S312" s="7" t="inlineStr">
        <is>
          <t>Minor_Imputation_1Var</t>
        </is>
      </c>
    </row>
    <row r="313" ht="19" customHeight="1">
      <c r="A313" s="6" t="inlineStr">
        <is>
          <t>Myanmar</t>
        </is>
      </c>
      <c r="B313" s="10" t="n">
        <v>2011</v>
      </c>
      <c r="C313" s="10" t="n">
        <v>3</v>
      </c>
      <c r="D313" s="6" t="inlineStr">
        <is>
          <t>2011 Q3</t>
        </is>
      </c>
      <c r="E313" s="11" t="n">
        <v>96.8929733333333</v>
      </c>
      <c r="F313" s="12" t="n">
        <v>3.52054495856136</v>
      </c>
      <c r="G313" s="10" t="n">
        <v>-1.74606556902721</v>
      </c>
      <c r="H313" s="8" t="n">
        <v>5.07892190286653</v>
      </c>
      <c r="I313" s="11" t="n">
        <v>29.0459373950388</v>
      </c>
      <c r="J313" s="11" t="n">
        <v>99.53418163488701</v>
      </c>
      <c r="K313" s="8" t="n">
        <v>0</v>
      </c>
      <c r="L313" s="8" t="n">
        <v>118.888757234176</v>
      </c>
      <c r="M313" s="8" t="n">
        <v>10.7415351817278</v>
      </c>
      <c r="N313" s="8" t="n">
        <v>0.0833333333333333</v>
      </c>
      <c r="O313" s="8" t="n">
        <v>-0.01</v>
      </c>
      <c r="P313" s="8" t="n">
        <v>113.34</v>
      </c>
      <c r="Q313" s="8" t="n">
        <v>47.5397032022911</v>
      </c>
      <c r="R313" s="10" t="n">
        <v>1</v>
      </c>
      <c r="S313" s="7" t="inlineStr">
        <is>
          <t>Minor_Imputation_1Var</t>
        </is>
      </c>
    </row>
    <row r="314" ht="19" customHeight="1">
      <c r="A314" s="6" t="inlineStr">
        <is>
          <t>Myanmar</t>
        </is>
      </c>
      <c r="B314" s="10" t="n">
        <v>2011</v>
      </c>
      <c r="C314" s="10" t="n">
        <v>4</v>
      </c>
      <c r="D314" s="6" t="inlineStr">
        <is>
          <t>2011 Q4</t>
        </is>
      </c>
      <c r="E314" s="11" t="n">
        <v>96.64925333333331</v>
      </c>
      <c r="F314" s="12" t="n">
        <v>1.1886963029633</v>
      </c>
      <c r="G314" s="10" t="n">
        <v>-0.251535267848113</v>
      </c>
      <c r="H314" s="8" t="n">
        <v>5.3867683458379</v>
      </c>
      <c r="I314" s="11" t="n">
        <v>29.1337930147978</v>
      </c>
      <c r="J314" s="11" t="n">
        <v>99.53418163488701</v>
      </c>
      <c r="K314" s="8" t="n">
        <v>0</v>
      </c>
      <c r="L314" s="8" t="n">
        <v>112.174119298219</v>
      </c>
      <c r="M314" s="8" t="n">
        <v>-9.978929124887189</v>
      </c>
      <c r="N314" s="8" t="n">
        <v>0.07333333333333331</v>
      </c>
      <c r="O314" s="8" t="n">
        <v>-0.01</v>
      </c>
      <c r="P314" s="8" t="n">
        <v>109.396666666667</v>
      </c>
      <c r="Q314" s="8" t="n">
        <v>26.5188897455667</v>
      </c>
      <c r="R314" s="10" t="n">
        <v>1</v>
      </c>
      <c r="S314" s="7" t="inlineStr">
        <is>
          <t>Minor_Imputation_1Var</t>
        </is>
      </c>
    </row>
    <row r="315" ht="19" customHeight="1">
      <c r="A315" s="6" t="inlineStr">
        <is>
          <t>Myanmar</t>
        </is>
      </c>
      <c r="B315" s="10" t="n">
        <v>2012</v>
      </c>
      <c r="C315" s="10" t="n">
        <v>1</v>
      </c>
      <c r="D315" s="6" t="inlineStr">
        <is>
          <t>2012 Q1</t>
        </is>
      </c>
      <c r="E315" s="11" t="n">
        <v>96.18163</v>
      </c>
      <c r="F315" s="12" t="n">
        <v>-0.520546534040678</v>
      </c>
      <c r="G315" s="10" t="n">
        <v>-0.483835432975932</v>
      </c>
      <c r="H315" s="8" t="n">
        <v>6.36109870371816</v>
      </c>
      <c r="I315" s="11" t="n">
        <v>30.8209789389848</v>
      </c>
      <c r="J315" s="11" t="n">
        <v>99.53418163488701</v>
      </c>
      <c r="K315" s="8" t="n">
        <v>0</v>
      </c>
      <c r="L315" s="8" t="n">
        <v>112.921025549072</v>
      </c>
      <c r="M315" s="8" t="n">
        <v>-7.3475700482622</v>
      </c>
      <c r="N315" s="8" t="n">
        <v>0.103333333333333</v>
      </c>
      <c r="O315" s="8" t="n">
        <v>0.03</v>
      </c>
      <c r="P315" s="8" t="n">
        <v>118.49</v>
      </c>
      <c r="Q315" s="8" t="n">
        <v>12.890625</v>
      </c>
      <c r="R315" s="10" t="n">
        <v>1</v>
      </c>
      <c r="S315" s="7" t="inlineStr">
        <is>
          <t>Minor_Imputation_1Var</t>
        </is>
      </c>
    </row>
    <row r="316" ht="19" customHeight="1">
      <c r="A316" s="6" t="inlineStr">
        <is>
          <t>Myanmar</t>
        </is>
      </c>
      <c r="B316" s="10" t="n">
        <v>2012</v>
      </c>
      <c r="C316" s="10" t="n">
        <v>2</v>
      </c>
      <c r="D316" s="6" t="inlineStr">
        <is>
          <t>2012 Q2</t>
        </is>
      </c>
      <c r="E316" s="8" t="n">
        <v>97.13471</v>
      </c>
      <c r="F316" s="10" t="n">
        <v>-1.50093346316729</v>
      </c>
      <c r="G316" s="10" t="n">
        <v>0.990916872587833</v>
      </c>
      <c r="H316" s="8" t="n">
        <v>7.13945917458563</v>
      </c>
      <c r="I316" s="8" t="n">
        <v>32.1910678522354</v>
      </c>
      <c r="J316" s="8" t="n">
        <v>99.53418163488701</v>
      </c>
      <c r="K316" s="8" t="n">
        <v>0</v>
      </c>
      <c r="L316" s="8" t="n">
        <v>108.674540730789</v>
      </c>
      <c r="M316" s="8" t="n">
        <v>-10.9231049413272</v>
      </c>
      <c r="N316" s="8" t="n">
        <v>0.153333333333333</v>
      </c>
      <c r="O316" s="8" t="n">
        <v>0.05</v>
      </c>
      <c r="P316" s="8" t="n">
        <v>108.416666666667</v>
      </c>
      <c r="Q316" s="8" t="n">
        <v>-7.6204271756419</v>
      </c>
      <c r="R316" s="10" t="n">
        <v>0</v>
      </c>
      <c r="S316" s="7" t="inlineStr">
        <is>
          <t>High_Quality_Observed</t>
        </is>
      </c>
    </row>
    <row r="317" ht="19" customHeight="1">
      <c r="A317" s="6" t="inlineStr">
        <is>
          <t>Myanmar</t>
        </is>
      </c>
      <c r="B317" s="10" t="n">
        <v>2012</v>
      </c>
      <c r="C317" s="10" t="n">
        <v>3</v>
      </c>
      <c r="D317" s="6" t="inlineStr">
        <is>
          <t>2012 Q3</t>
        </is>
      </c>
      <c r="E317" s="8" t="n">
        <v>99.1379566666667</v>
      </c>
      <c r="F317" s="10" t="n">
        <v>2.31697227993004</v>
      </c>
      <c r="G317" s="10" t="n">
        <v>2.06233864976451</v>
      </c>
      <c r="H317" s="8" t="n">
        <v>7.72185053682494</v>
      </c>
      <c r="I317" s="8" t="n">
        <v>33.2440611248187</v>
      </c>
      <c r="J317" s="8" t="n">
        <v>96.43672818415919</v>
      </c>
      <c r="K317" s="8" t="n">
        <v>-3.11194948293241</v>
      </c>
      <c r="L317" s="8" t="n">
        <v>112.021404013206</v>
      </c>
      <c r="M317" s="8" t="n">
        <v>-5.77628480668088</v>
      </c>
      <c r="N317" s="8" t="n">
        <v>0.143333333333333</v>
      </c>
      <c r="O317" s="8" t="n">
        <v>-0.01</v>
      </c>
      <c r="P317" s="8" t="n">
        <v>109.613333333333</v>
      </c>
      <c r="Q317" s="8" t="n">
        <v>-3.28804187988943</v>
      </c>
      <c r="R317" s="10" t="n">
        <v>0</v>
      </c>
      <c r="S317" s="7" t="inlineStr">
        <is>
          <t>High_Quality_Observed</t>
        </is>
      </c>
    </row>
    <row r="318" ht="19" customHeight="1">
      <c r="A318" s="6" t="inlineStr">
        <is>
          <t>Myanmar</t>
        </is>
      </c>
      <c r="B318" s="10" t="n">
        <v>2012</v>
      </c>
      <c r="C318" s="10" t="n">
        <v>4</v>
      </c>
      <c r="D318" s="6" t="inlineStr">
        <is>
          <t>2012 Q4</t>
        </is>
      </c>
      <c r="E318" s="8" t="n">
        <v>102.094283333333</v>
      </c>
      <c r="F318" s="10" t="n">
        <v>5.63380451706197</v>
      </c>
      <c r="G318" s="10" t="n">
        <v>2.98203308406566</v>
      </c>
      <c r="H318" s="8" t="n">
        <v>8.108273372852789</v>
      </c>
      <c r="I318" s="8" t="n">
        <v>33.9799598094624</v>
      </c>
      <c r="J318" s="8" t="n">
        <v>99.5926181233188</v>
      </c>
      <c r="K318" s="8" t="n">
        <v>0.0587099702553218</v>
      </c>
      <c r="L318" s="8" t="n">
        <v>112.043606667623</v>
      </c>
      <c r="M318" s="8" t="n">
        <v>-0.116348255206267</v>
      </c>
      <c r="N318" s="8" t="n">
        <v>0.16</v>
      </c>
      <c r="O318" s="8" t="n">
        <v>0.0166666666666667</v>
      </c>
      <c r="P318" s="8" t="n">
        <v>110.086666666667</v>
      </c>
      <c r="Q318" s="8" t="n">
        <v>0.630732197812245</v>
      </c>
      <c r="R318" s="10" t="n">
        <v>0</v>
      </c>
      <c r="S318" s="7" t="inlineStr">
        <is>
          <t>High_Quality_Observed</t>
        </is>
      </c>
    </row>
    <row r="319" ht="19" customHeight="1">
      <c r="A319" s="6" t="inlineStr">
        <is>
          <t>Myanmar</t>
        </is>
      </c>
      <c r="B319" s="10" t="n">
        <v>2013</v>
      </c>
      <c r="C319" s="10" t="n">
        <v>1</v>
      </c>
      <c r="D319" s="6" t="inlineStr">
        <is>
          <t>2013 Q1</t>
        </is>
      </c>
      <c r="E319" s="8" t="n">
        <v>101.372836666667</v>
      </c>
      <c r="F319" s="10" t="n">
        <v>5.39729537404041</v>
      </c>
      <c r="G319" s="10" t="n">
        <v>-0.706647466549304</v>
      </c>
      <c r="H319" s="8" t="n">
        <v>8.298728069074031</v>
      </c>
      <c r="I319" s="8" t="n">
        <v>34.3987646423335</v>
      </c>
      <c r="J319" s="8" t="n">
        <v>98.2952630191221</v>
      </c>
      <c r="K319" s="8" t="n">
        <v>-1.24471673490981</v>
      </c>
      <c r="L319" s="8" t="n">
        <v>112.344264317549</v>
      </c>
      <c r="M319" s="8" t="n">
        <v>-0.510765137598079</v>
      </c>
      <c r="N319" s="8" t="n">
        <v>0.143333333333333</v>
      </c>
      <c r="O319" s="8" t="n">
        <v>-0.0166666666666667</v>
      </c>
      <c r="P319" s="8" t="n">
        <v>112.493333333333</v>
      </c>
      <c r="Q319" s="8" t="n">
        <v>-5.06090528033308</v>
      </c>
      <c r="R319" s="10" t="n">
        <v>0</v>
      </c>
      <c r="S319" s="7" t="inlineStr">
        <is>
          <t>High_Quality_Observed</t>
        </is>
      </c>
    </row>
    <row r="320" ht="19" customHeight="1">
      <c r="A320" s="6" t="inlineStr">
        <is>
          <t>Myanmar</t>
        </is>
      </c>
      <c r="B320" s="10" t="n">
        <v>2013</v>
      </c>
      <c r="C320" s="10" t="n">
        <v>2</v>
      </c>
      <c r="D320" s="6" t="inlineStr">
        <is>
          <t>2013 Q2</t>
        </is>
      </c>
      <c r="E320" s="8" t="n">
        <v>103.019</v>
      </c>
      <c r="F320" s="10" t="n">
        <v>6.05786541185949</v>
      </c>
      <c r="G320" s="10" t="n">
        <v>1.62387024716122</v>
      </c>
      <c r="H320" s="8" t="n">
        <v>8.42581907273178</v>
      </c>
      <c r="I320" s="8" t="n">
        <v>33.3768404139153</v>
      </c>
      <c r="J320" s="8" t="n">
        <v>94.1418449177168</v>
      </c>
      <c r="K320" s="8" t="n">
        <v>-5.41757276605787</v>
      </c>
      <c r="L320" s="8" t="n">
        <v>111.205746192615</v>
      </c>
      <c r="M320" s="8" t="n">
        <v>2.32916140689856</v>
      </c>
      <c r="N320" s="8" t="n">
        <v>0.116666666666667</v>
      </c>
      <c r="O320" s="8" t="n">
        <v>-0.0266666666666667</v>
      </c>
      <c r="P320" s="8" t="n">
        <v>102.576666666667</v>
      </c>
      <c r="Q320" s="8" t="n">
        <v>-5.38662567255957</v>
      </c>
      <c r="R320" s="10" t="n">
        <v>0</v>
      </c>
      <c r="S320" s="7" t="inlineStr">
        <is>
          <t>High_Quality_Observed</t>
        </is>
      </c>
    </row>
    <row r="321" ht="19" customHeight="1">
      <c r="A321" s="6" t="inlineStr">
        <is>
          <t>Myanmar</t>
        </is>
      </c>
      <c r="B321" s="10" t="n">
        <v>2013</v>
      </c>
      <c r="C321" s="10" t="n">
        <v>3</v>
      </c>
      <c r="D321" s="6" t="inlineStr">
        <is>
          <t>2013 Q3</t>
        </is>
      </c>
      <c r="E321" s="8" t="n">
        <v>105.598503333333</v>
      </c>
      <c r="F321" s="10" t="n">
        <v>6.51672364842972</v>
      </c>
      <c r="G321" s="10" t="n">
        <v>2.50391028192212</v>
      </c>
      <c r="H321" s="8" t="n">
        <v>8.48954651086366</v>
      </c>
      <c r="I321" s="8" t="n">
        <v>30.9141861022378</v>
      </c>
      <c r="J321" s="8" t="n">
        <v>91.6711206881121</v>
      </c>
      <c r="K321" s="8" t="n">
        <v>-4.94169346656647</v>
      </c>
      <c r="L321" s="8" t="n">
        <v>106.517639660823</v>
      </c>
      <c r="M321" s="8" t="n">
        <v>-4.91313637859304</v>
      </c>
      <c r="N321" s="8" t="n">
        <v>0.0833333333333333</v>
      </c>
      <c r="O321" s="8" t="n">
        <v>-0.0333333333333333</v>
      </c>
      <c r="P321" s="8" t="n">
        <v>110.27</v>
      </c>
      <c r="Q321" s="8" t="n">
        <v>0.599075538255689</v>
      </c>
      <c r="R321" s="10" t="n">
        <v>0</v>
      </c>
      <c r="S321" s="7" t="inlineStr">
        <is>
          <t>High_Quality_Observed</t>
        </is>
      </c>
    </row>
    <row r="322" ht="19" customHeight="1">
      <c r="A322" s="6" t="inlineStr">
        <is>
          <t>Myanmar</t>
        </is>
      </c>
      <c r="B322" s="10" t="n">
        <v>2013</v>
      </c>
      <c r="C322" s="10" t="n">
        <v>4</v>
      </c>
      <c r="D322" s="6" t="inlineStr">
        <is>
          <t>2013 Q4</t>
        </is>
      </c>
      <c r="E322" s="8" t="n">
        <v>106.822773333333</v>
      </c>
      <c r="F322" s="10" t="n">
        <v>4.63149340552367</v>
      </c>
      <c r="G322" s="10" t="n">
        <v>1.15936302253778</v>
      </c>
      <c r="H322" s="8" t="n">
        <v>8.48991044730918</v>
      </c>
      <c r="I322" s="8" t="n">
        <v>27.0107992448688</v>
      </c>
      <c r="J322" s="8" t="n">
        <v>91.2431214421171</v>
      </c>
      <c r="K322" s="8" t="n">
        <v>-8.3836501525274</v>
      </c>
      <c r="L322" s="8" t="n">
        <v>108.042368791302</v>
      </c>
      <c r="M322" s="8" t="n">
        <v>-3.57114341043118</v>
      </c>
      <c r="N322" s="8" t="n">
        <v>0.0866666666666667</v>
      </c>
      <c r="O322" s="8" t="n">
        <v>0.0033333333333333</v>
      </c>
      <c r="P322" s="8" t="n">
        <v>109.21</v>
      </c>
      <c r="Q322" s="8" t="n">
        <v>-0.796342275782702</v>
      </c>
      <c r="R322" s="10" t="n">
        <v>0</v>
      </c>
      <c r="S322" s="7" t="inlineStr">
        <is>
          <t>High_Quality_Observed</t>
        </is>
      </c>
    </row>
    <row r="323" ht="19" customHeight="1">
      <c r="A323" s="6" t="inlineStr">
        <is>
          <t>Myanmar</t>
        </is>
      </c>
      <c r="B323" s="10" t="n">
        <v>2014</v>
      </c>
      <c r="C323" s="10" t="n">
        <v>1</v>
      </c>
      <c r="D323" s="6" t="inlineStr">
        <is>
          <t>2014 Q1</t>
        </is>
      </c>
      <c r="E323" s="8" t="n">
        <v>107.003703333333</v>
      </c>
      <c r="F323" s="10" t="n">
        <v>5.55461093111367</v>
      </c>
      <c r="G323" s="10" t="n">
        <v>0.169373996156619</v>
      </c>
      <c r="H323" s="8" t="n">
        <v>8.426910882325981</v>
      </c>
      <c r="I323" s="8" t="n">
        <v>21.6666759382661</v>
      </c>
      <c r="J323" s="8" t="n">
        <v>92.87114472455499</v>
      </c>
      <c r="K323" s="8" t="n">
        <v>-5.51818890144465</v>
      </c>
      <c r="L323" s="8" t="n">
        <v>109.985285302654</v>
      </c>
      <c r="M323" s="8" t="n">
        <v>-2.09977699282194</v>
      </c>
      <c r="N323" s="8" t="n">
        <v>0.07333333333333331</v>
      </c>
      <c r="O323" s="8" t="n">
        <v>-0.0133333333333333</v>
      </c>
      <c r="P323" s="8" t="n">
        <v>108.166666666667</v>
      </c>
      <c r="Q323" s="8" t="n">
        <v>-3.84615384615383</v>
      </c>
      <c r="R323" s="10" t="n">
        <v>0</v>
      </c>
      <c r="S323" s="7" t="inlineStr">
        <is>
          <t>High_Quality_Observed</t>
        </is>
      </c>
    </row>
    <row r="324" ht="19" customHeight="1">
      <c r="A324" s="6" t="inlineStr">
        <is>
          <t>Myanmar</t>
        </is>
      </c>
      <c r="B324" s="10" t="n">
        <v>2014</v>
      </c>
      <c r="C324" s="10" t="n">
        <v>2</v>
      </c>
      <c r="D324" s="6" t="inlineStr">
        <is>
          <t>2014 Q2</t>
        </is>
      </c>
      <c r="E324" s="8" t="n">
        <v>108.970486666667</v>
      </c>
      <c r="F324" s="10" t="n">
        <v>5.77707672047549</v>
      </c>
      <c r="G324" s="10" t="n">
        <v>1.838051648742</v>
      </c>
      <c r="H324" s="8" t="n">
        <v>8.298909756301921</v>
      </c>
      <c r="I324" s="8" t="n">
        <v>19.2451131501825</v>
      </c>
      <c r="J324" s="8" t="n">
        <v>94.0186910565215</v>
      </c>
      <c r="K324" s="8" t="n">
        <v>-0.130817344086454</v>
      </c>
      <c r="L324" s="8" t="n">
        <v>111.498689744988</v>
      </c>
      <c r="M324" s="8" t="n">
        <v>0.26342483406061</v>
      </c>
      <c r="N324" s="8" t="n">
        <v>0.0933333333333333</v>
      </c>
      <c r="O324" s="8" t="n">
        <v>0.02</v>
      </c>
      <c r="P324" s="8" t="n">
        <v>109.7</v>
      </c>
      <c r="Q324" s="8" t="n">
        <v>6.94439931108439</v>
      </c>
      <c r="R324" s="10" t="n">
        <v>0</v>
      </c>
      <c r="S324" s="7" t="inlineStr">
        <is>
          <t>High_Quality_Observed</t>
        </is>
      </c>
    </row>
    <row r="325" ht="19" customHeight="1">
      <c r="A325" s="6" t="inlineStr">
        <is>
          <t>Myanmar</t>
        </is>
      </c>
      <c r="B325" s="10" t="n">
        <v>2014</v>
      </c>
      <c r="C325" s="10" t="n">
        <v>3</v>
      </c>
      <c r="D325" s="6" t="inlineStr">
        <is>
          <t>2014 Q3</t>
        </is>
      </c>
      <c r="E325" s="8" t="n">
        <v>110.186983333333</v>
      </c>
      <c r="F325" s="10" t="n">
        <v>4.34521309976899</v>
      </c>
      <c r="G325" s="10" t="n">
        <v>1.1163542568988</v>
      </c>
      <c r="H325" s="8" t="n">
        <v>8.10590694123719</v>
      </c>
      <c r="I325" s="8" t="n">
        <v>19.7461084591895</v>
      </c>
      <c r="J325" s="8" t="n">
        <v>93.4700889788228</v>
      </c>
      <c r="K325" s="8" t="n">
        <v>1.96241551014873</v>
      </c>
      <c r="L325" s="8" t="n">
        <v>104.211407968198</v>
      </c>
      <c r="M325" s="8" t="n">
        <v>-2.16511715802957</v>
      </c>
      <c r="N325" s="8" t="n">
        <v>0.09</v>
      </c>
      <c r="O325" s="8" t="n">
        <v>-0.0033333333333333</v>
      </c>
      <c r="P325" s="8" t="n">
        <v>101.823333333333</v>
      </c>
      <c r="Q325" s="8" t="n">
        <v>-7.65998609473715</v>
      </c>
      <c r="R325" s="10" t="n">
        <v>0</v>
      </c>
      <c r="S325" s="7" t="inlineStr">
        <is>
          <t>High_Quality_Observed</t>
        </is>
      </c>
    </row>
    <row r="326" ht="19" customHeight="1">
      <c r="A326" s="6" t="inlineStr">
        <is>
          <t>Myanmar</t>
        </is>
      </c>
      <c r="B326" s="10" t="n">
        <v>2014</v>
      </c>
      <c r="C326" s="10" t="n">
        <v>4</v>
      </c>
      <c r="D326" s="6" t="inlineStr">
        <is>
          <t>2014 Q4</t>
        </is>
      </c>
      <c r="E326" s="8" t="n">
        <v>111.297943333333</v>
      </c>
      <c r="F326" s="10" t="n">
        <v>4.18934077477613</v>
      </c>
      <c r="G326" s="10" t="n">
        <v>1.00824976452907</v>
      </c>
      <c r="H326" s="8" t="n">
        <v>7.84790224413307</v>
      </c>
      <c r="I326" s="8" t="n">
        <v>23.169662366322</v>
      </c>
      <c r="J326" s="8" t="n">
        <v>93.1415412643227</v>
      </c>
      <c r="K326" s="8" t="n">
        <v>2.08061691906263</v>
      </c>
      <c r="L326" s="8" t="n">
        <v>99.4046630544031</v>
      </c>
      <c r="M326" s="8" t="n">
        <v>-7.9947393171137</v>
      </c>
      <c r="N326" s="8" t="n">
        <v>0.1</v>
      </c>
      <c r="O326" s="8" t="n">
        <v>0.01</v>
      </c>
      <c r="P326" s="8" t="n">
        <v>76.40333333333329</v>
      </c>
      <c r="Q326" s="8" t="n">
        <v>-30.0399841284376</v>
      </c>
      <c r="R326" s="10" t="n">
        <v>0</v>
      </c>
      <c r="S326" s="7" t="inlineStr">
        <is>
          <t>High_Quality_Observed</t>
        </is>
      </c>
    </row>
    <row r="327" ht="19" customHeight="1">
      <c r="A327" s="6" t="inlineStr">
        <is>
          <t>Myanmar</t>
        </is>
      </c>
      <c r="B327" s="10" t="n">
        <v>2015</v>
      </c>
      <c r="C327" s="10" t="n">
        <v>1</v>
      </c>
      <c r="D327" s="6" t="inlineStr">
        <is>
          <t>2015 Q1</t>
        </is>
      </c>
      <c r="E327" s="8" t="n">
        <v>113.514953333333</v>
      </c>
      <c r="F327" s="10" t="n">
        <v>6.08506976596543</v>
      </c>
      <c r="G327" s="10" t="n">
        <v>1.99195953995317</v>
      </c>
      <c r="H327" s="8" t="n">
        <v>7.52489540701311</v>
      </c>
      <c r="I327" s="8" t="n">
        <v>29.5157782950282</v>
      </c>
      <c r="J327" s="8" t="n">
        <v>97.6169899256799</v>
      </c>
      <c r="K327" s="8" t="n">
        <v>5.11013966200204</v>
      </c>
      <c r="L327" s="8" t="n">
        <v>100.657732001964</v>
      </c>
      <c r="M327" s="8" t="n">
        <v>-8.4807283765489</v>
      </c>
      <c r="N327" s="8" t="n">
        <v>0.11</v>
      </c>
      <c r="O327" s="8" t="n">
        <v>0.01</v>
      </c>
      <c r="P327" s="8" t="n">
        <v>53.9166666666667</v>
      </c>
      <c r="Q327" s="8" t="n">
        <v>-50.1540832049307</v>
      </c>
      <c r="R327" s="10" t="n">
        <v>0</v>
      </c>
      <c r="S327" s="7" t="inlineStr">
        <is>
          <t>High_Quality_Observed</t>
        </is>
      </c>
    </row>
    <row r="328" ht="19" customHeight="1">
      <c r="A328" s="6" t="inlineStr">
        <is>
          <t>Myanmar</t>
        </is>
      </c>
      <c r="B328" s="10" t="n">
        <v>2015</v>
      </c>
      <c r="C328" s="10" t="n">
        <v>2</v>
      </c>
      <c r="D328" s="6" t="inlineStr">
        <is>
          <t>2015 Q2</t>
        </is>
      </c>
      <c r="E328" s="8" t="n">
        <v>116.528863333333</v>
      </c>
      <c r="F328" s="10" t="n">
        <v>6.9361685882777</v>
      </c>
      <c r="G328" s="10" t="n">
        <v>2.65507751313585</v>
      </c>
      <c r="H328" s="8" t="n">
        <v>7.18287079823898</v>
      </c>
      <c r="I328" s="8" t="n">
        <v>32.5170791383287</v>
      </c>
      <c r="J328" s="8" t="n">
        <v>94.4661049226137</v>
      </c>
      <c r="K328" s="8" t="n">
        <v>0.475877573985017</v>
      </c>
      <c r="L328" s="8" t="n">
        <v>96.8474817130345</v>
      </c>
      <c r="M328" s="8" t="n">
        <v>-13.1402513029193</v>
      </c>
      <c r="N328" s="8" t="n">
        <v>0.123333333333333</v>
      </c>
      <c r="O328" s="8" t="n">
        <v>0.0133333333333333</v>
      </c>
      <c r="P328" s="8" t="n">
        <v>61.6933333333333</v>
      </c>
      <c r="Q328" s="8" t="n">
        <v>-43.761774536615</v>
      </c>
      <c r="R328" s="10" t="n">
        <v>0</v>
      </c>
      <c r="S328" s="7" t="inlineStr">
        <is>
          <t>High_Quality_Observed</t>
        </is>
      </c>
    </row>
    <row r="329" ht="19" customHeight="1">
      <c r="A329" s="6" t="inlineStr">
        <is>
          <t>Myanmar</t>
        </is>
      </c>
      <c r="B329" s="10" t="n">
        <v>2015</v>
      </c>
      <c r="C329" s="10" t="n">
        <v>3</v>
      </c>
      <c r="D329" s="6" t="inlineStr">
        <is>
          <t>2015 Q3</t>
        </is>
      </c>
      <c r="E329" s="8" t="n">
        <v>122.939466666667</v>
      </c>
      <c r="F329" s="10" t="n">
        <v>11.573493481308</v>
      </c>
      <c r="G329" s="10" t="n">
        <v>5.50130083651093</v>
      </c>
      <c r="H329" s="8" t="n">
        <v>6.82182807589351</v>
      </c>
      <c r="I329" s="8" t="n">
        <v>32.1735678974986</v>
      </c>
      <c r="J329" s="8" t="n">
        <v>89.8812924994191</v>
      </c>
      <c r="K329" s="8" t="n">
        <v>-3.83951328025033</v>
      </c>
      <c r="L329" s="8" t="n">
        <v>92.7459060049042</v>
      </c>
      <c r="M329" s="8" t="n">
        <v>-11.002156277164</v>
      </c>
      <c r="N329" s="8" t="n">
        <v>0.136666666666667</v>
      </c>
      <c r="O329" s="8" t="n">
        <v>0.0133333333333333</v>
      </c>
      <c r="P329" s="8" t="n">
        <v>50.2333333333333</v>
      </c>
      <c r="Q329" s="8" t="n">
        <v>-50.666186532229</v>
      </c>
      <c r="R329" s="10" t="n">
        <v>0</v>
      </c>
      <c r="S329" s="7" t="inlineStr">
        <is>
          <t>High_Quality_Observed</t>
        </is>
      </c>
    </row>
    <row r="330" ht="19" customHeight="1">
      <c r="A330" s="6" t="inlineStr">
        <is>
          <t>Myanmar</t>
        </is>
      </c>
      <c r="B330" s="10" t="n">
        <v>2015</v>
      </c>
      <c r="C330" s="10" t="n">
        <v>4</v>
      </c>
      <c r="D330" s="6" t="inlineStr">
        <is>
          <t>2015 Q4</t>
        </is>
      </c>
      <c r="E330" s="8" t="n">
        <v>125.833963333333</v>
      </c>
      <c r="F330" s="10" t="n">
        <v>13.0604569722058</v>
      </c>
      <c r="G330" s="10" t="n">
        <v>2.35440802302704</v>
      </c>
      <c r="H330" s="8" t="n">
        <v>6.44176687892188</v>
      </c>
      <c r="I330" s="8" t="n">
        <v>28.4852442289553</v>
      </c>
      <c r="J330" s="8" t="n">
        <v>89.2383911582595</v>
      </c>
      <c r="K330" s="8" t="n">
        <v>-4.1905577823611</v>
      </c>
      <c r="L330" s="8" t="n">
        <v>90.3005619231251</v>
      </c>
      <c r="M330" s="8" t="n">
        <v>-9.15862581446042</v>
      </c>
      <c r="N330" s="8" t="n">
        <v>0.16</v>
      </c>
      <c r="O330" s="8" t="n">
        <v>0.0233333333333333</v>
      </c>
      <c r="P330" s="8" t="n">
        <v>43.57</v>
      </c>
      <c r="Q330" s="8" t="n">
        <v>-42.9736922472842</v>
      </c>
      <c r="R330" s="10" t="n">
        <v>0</v>
      </c>
      <c r="S330" s="7" t="inlineStr">
        <is>
          <t>High_Quality_Observed</t>
        </is>
      </c>
    </row>
    <row r="331" ht="19" customHeight="1">
      <c r="A331" s="6" t="inlineStr">
        <is>
          <t>Myanmar</t>
        </is>
      </c>
      <c r="B331" s="10" t="n">
        <v>2016</v>
      </c>
      <c r="C331" s="10" t="n">
        <v>1</v>
      </c>
      <c r="D331" s="6" t="inlineStr">
        <is>
          <t>2016 Q1</t>
        </is>
      </c>
      <c r="E331" s="8" t="n">
        <v>123.039296666667</v>
      </c>
      <c r="F331" s="10" t="n">
        <v>8.390386511779971</v>
      </c>
      <c r="G331" s="10" t="n">
        <v>-2.22091603302965</v>
      </c>
      <c r="H331" s="8" t="n">
        <v>6.04268682720807</v>
      </c>
      <c r="I331" s="8" t="n">
        <v>21.4521044444896</v>
      </c>
      <c r="J331" s="8" t="n">
        <v>91.0317729099708</v>
      </c>
      <c r="K331" s="8" t="n">
        <v>-6.74597426198312</v>
      </c>
      <c r="L331" s="8" t="n">
        <v>91.66230580090431</v>
      </c>
      <c r="M331" s="8" t="n">
        <v>-8.936647013747329</v>
      </c>
      <c r="N331" s="8" t="n">
        <v>0.36</v>
      </c>
      <c r="O331" s="8" t="n">
        <v>0.2</v>
      </c>
      <c r="P331" s="8" t="n">
        <v>33.6966666666667</v>
      </c>
      <c r="Q331" s="8" t="n">
        <v>-37.5023183925811</v>
      </c>
      <c r="R331" s="10" t="n">
        <v>0</v>
      </c>
      <c r="S331" s="7" t="inlineStr">
        <is>
          <t>High_Quality_Observed</t>
        </is>
      </c>
    </row>
    <row r="332" ht="19" customHeight="1">
      <c r="A332" s="6" t="inlineStr">
        <is>
          <t>Myanmar</t>
        </is>
      </c>
      <c r="B332" s="10" t="n">
        <v>2016</v>
      </c>
      <c r="C332" s="10" t="n">
        <v>2</v>
      </c>
      <c r="D332" s="6" t="inlineStr">
        <is>
          <t>2016 Q2</t>
        </is>
      </c>
      <c r="E332" s="8" t="n">
        <v>127.453103333333</v>
      </c>
      <c r="F332" s="10" t="n">
        <v>9.37470742227269</v>
      </c>
      <c r="G332" s="10" t="n">
        <v>3.58731461105826</v>
      </c>
      <c r="H332" s="8" t="n">
        <v>5.8109693407765</v>
      </c>
      <c r="I332" s="8" t="n">
        <v>17.0375581885046</v>
      </c>
      <c r="J332" s="8" t="n">
        <v>97.58412177970931</v>
      </c>
      <c r="K332" s="8" t="n">
        <v>3.30067261654308</v>
      </c>
      <c r="L332" s="8" t="n">
        <v>96.9846126235507</v>
      </c>
      <c r="M332" s="8" t="n">
        <v>0.141594709630688</v>
      </c>
      <c r="N332" s="8" t="n">
        <v>0.373333333333333</v>
      </c>
      <c r="O332" s="8" t="n">
        <v>0.0133333333333334</v>
      </c>
      <c r="P332" s="8" t="n">
        <v>45.5233333333333</v>
      </c>
      <c r="Q332" s="8" t="n">
        <v>-26.2102874432678</v>
      </c>
      <c r="R332" s="10" t="n">
        <v>0</v>
      </c>
      <c r="S332" s="7" t="inlineStr">
        <is>
          <t>High_Quality_Observed</t>
        </is>
      </c>
    </row>
    <row r="333" ht="19" customHeight="1">
      <c r="A333" s="6" t="inlineStr">
        <is>
          <t>Myanmar</t>
        </is>
      </c>
      <c r="B333" s="10" t="n">
        <v>2016</v>
      </c>
      <c r="C333" s="10" t="n">
        <v>3</v>
      </c>
      <c r="D333" s="6" t="inlineStr">
        <is>
          <t>2016 Q3</t>
        </is>
      </c>
      <c r="E333" s="8" t="n">
        <v>130.00594</v>
      </c>
      <c r="F333" s="10" t="n">
        <v>5.74792906210755</v>
      </c>
      <c r="G333" s="10" t="n">
        <v>2.0029615599003</v>
      </c>
      <c r="H333" s="8" t="n">
        <v>5.74661418791013</v>
      </c>
      <c r="I333" s="8" t="n">
        <v>15.2416010464976</v>
      </c>
      <c r="J333" s="8" t="n">
        <v>96.0526754081462</v>
      </c>
      <c r="K333" s="8" t="n">
        <v>6.86614837983888</v>
      </c>
      <c r="L333" s="8" t="n">
        <v>100.864699533998</v>
      </c>
      <c r="M333" s="8" t="n">
        <v>8.75380259767431</v>
      </c>
      <c r="N333" s="8" t="n">
        <v>0.396666666666667</v>
      </c>
      <c r="O333" s="8" t="n">
        <v>0.0233333333333333</v>
      </c>
      <c r="P333" s="8" t="n">
        <v>45.7866666666667</v>
      </c>
      <c r="Q333" s="8" t="n">
        <v>-8.852023888520231</v>
      </c>
      <c r="R333" s="10" t="n">
        <v>0</v>
      </c>
      <c r="S333" s="7" t="inlineStr">
        <is>
          <t>High_Quality_Observed</t>
        </is>
      </c>
    </row>
    <row r="334" ht="19" customHeight="1">
      <c r="A334" s="6" t="inlineStr">
        <is>
          <t>Myanmar</t>
        </is>
      </c>
      <c r="B334" s="10" t="n">
        <v>2016</v>
      </c>
      <c r="C334" s="10" t="n">
        <v>4</v>
      </c>
      <c r="D334" s="6" t="inlineStr">
        <is>
          <t>2016 Q4</t>
        </is>
      </c>
      <c r="E334" s="8" t="n">
        <v>131.495316666667</v>
      </c>
      <c r="F334" s="10" t="n">
        <v>4.49906621659564</v>
      </c>
      <c r="G334" s="10" t="n">
        <v>1.14562201286084</v>
      </c>
      <c r="H334" s="8" t="n">
        <v>5.84962130415984</v>
      </c>
      <c r="I334" s="8" t="n">
        <v>16.0642312223305</v>
      </c>
      <c r="J334" s="8" t="n">
        <v>91.27494356578779</v>
      </c>
      <c r="K334" s="8" t="n">
        <v>2.2821482784428</v>
      </c>
      <c r="L334" s="8" t="n">
        <v>101.835604997953</v>
      </c>
      <c r="M334" s="8" t="n">
        <v>12.7740545896579</v>
      </c>
      <c r="N334" s="8" t="n">
        <v>0.45</v>
      </c>
      <c r="O334" s="8" t="n">
        <v>0.0533333333333333</v>
      </c>
      <c r="P334" s="8" t="n">
        <v>49.1866666666667</v>
      </c>
      <c r="Q334" s="8" t="n">
        <v>12.8911330426134</v>
      </c>
      <c r="R334" s="10" t="n">
        <v>0</v>
      </c>
      <c r="S334" s="7" t="inlineStr">
        <is>
          <t>High_Quality_Observed</t>
        </is>
      </c>
    </row>
    <row r="335" ht="19" customHeight="1">
      <c r="A335" s="6" t="inlineStr">
        <is>
          <t>Myanmar</t>
        </is>
      </c>
      <c r="B335" s="10" t="n">
        <v>2017</v>
      </c>
      <c r="C335" s="10" t="n">
        <v>1</v>
      </c>
      <c r="D335" s="6" t="inlineStr">
        <is>
          <t>2017 Q1</t>
        </is>
      </c>
      <c r="E335" s="8" t="n">
        <v>132.36761</v>
      </c>
      <c r="F335" s="10" t="n">
        <v>7.58157238057469</v>
      </c>
      <c r="G335" s="10" t="n">
        <v>0.663364563427438</v>
      </c>
      <c r="H335" s="8" t="n">
        <v>6.11999079266472</v>
      </c>
      <c r="I335" s="8" t="n">
        <v>19.5054495389001</v>
      </c>
      <c r="J335" s="8" t="n">
        <v>89.4160281990774</v>
      </c>
      <c r="K335" s="8" t="n">
        <v>-1.77492391858762</v>
      </c>
      <c r="L335" s="8" t="n">
        <v>100.125779631695</v>
      </c>
      <c r="M335" s="8" t="n">
        <v>9.23331980015236</v>
      </c>
      <c r="N335" s="8" t="n">
        <v>0.7</v>
      </c>
      <c r="O335" s="8" t="n">
        <v>0.25</v>
      </c>
      <c r="P335" s="8" t="n">
        <v>53.68</v>
      </c>
      <c r="Q335" s="8" t="n">
        <v>59.30359085963</v>
      </c>
      <c r="R335" s="10" t="n">
        <v>0</v>
      </c>
      <c r="S335" s="7" t="inlineStr">
        <is>
          <t>High_Quality_Observed</t>
        </is>
      </c>
    </row>
    <row r="336" ht="19" customHeight="1">
      <c r="A336" s="6" t="inlineStr">
        <is>
          <t>Myanmar</t>
        </is>
      </c>
      <c r="B336" s="10" t="n">
        <v>2017</v>
      </c>
      <c r="C336" s="10" t="n">
        <v>2</v>
      </c>
      <c r="D336" s="6" t="inlineStr">
        <is>
          <t>2017 Q2</t>
        </is>
      </c>
      <c r="E336" s="8" t="n">
        <v>132.35738</v>
      </c>
      <c r="F336" s="10" t="n">
        <v>3.84790682878888</v>
      </c>
      <c r="G336" s="10" t="n">
        <v>-0.0077284767776686</v>
      </c>
      <c r="H336" s="8" t="n">
        <v>6.23458552687543</v>
      </c>
      <c r="I336" s="8" t="n">
        <v>21.2967252584684</v>
      </c>
      <c r="J336" s="8" t="n">
        <v>87.3733788664849</v>
      </c>
      <c r="K336" s="8" t="n">
        <v>-10.4635290321868</v>
      </c>
      <c r="L336" s="8" t="n">
        <v>99.4605526807123</v>
      </c>
      <c r="M336" s="8" t="n">
        <v>2.55292049963849</v>
      </c>
      <c r="N336" s="8" t="n">
        <v>0.95</v>
      </c>
      <c r="O336" s="8" t="n">
        <v>0.25</v>
      </c>
      <c r="P336" s="8" t="n">
        <v>49.67</v>
      </c>
      <c r="Q336" s="8" t="n">
        <v>9.10888189207</v>
      </c>
      <c r="R336" s="10" t="n">
        <v>0</v>
      </c>
      <c r="S336" s="7" t="inlineStr">
        <is>
          <t>High_Quality_Observed</t>
        </is>
      </c>
    </row>
    <row r="337" ht="19" customHeight="1">
      <c r="A337" s="6" t="inlineStr">
        <is>
          <t>Myanmar</t>
        </is>
      </c>
      <c r="B337" s="10" t="n">
        <v>2017</v>
      </c>
      <c r="C337" s="10" t="n">
        <v>3</v>
      </c>
      <c r="D337" s="6" t="inlineStr">
        <is>
          <t>2017 Q3</t>
        </is>
      </c>
      <c r="E337" s="8" t="n">
        <v>133.517986666667</v>
      </c>
      <c r="F337" s="10" t="n">
        <v>2.70145092344756</v>
      </c>
      <c r="G337" s="10" t="n">
        <v>0.876873406429368</v>
      </c>
      <c r="H337" s="8" t="n">
        <v>6.19340562137107</v>
      </c>
      <c r="I337" s="8" t="n">
        <v>21.4380601725076</v>
      </c>
      <c r="J337" s="8" t="n">
        <v>85.4372999934992</v>
      </c>
      <c r="K337" s="8" t="n">
        <v>-11.0516186764609</v>
      </c>
      <c r="L337" s="8" t="n">
        <v>102.480667511988</v>
      </c>
      <c r="M337" s="8" t="n">
        <v>1.60211450136303</v>
      </c>
      <c r="N337" s="8" t="n">
        <v>1.15333333333333</v>
      </c>
      <c r="O337" s="8" t="n">
        <v>0.203333333333333</v>
      </c>
      <c r="P337" s="8" t="n">
        <v>52.11</v>
      </c>
      <c r="Q337" s="8" t="n">
        <v>13.8104251601631</v>
      </c>
      <c r="R337" s="10" t="n">
        <v>0</v>
      </c>
      <c r="S337" s="7" t="inlineStr">
        <is>
          <t>High_Quality_Observed</t>
        </is>
      </c>
    </row>
    <row r="338" ht="19" customHeight="1">
      <c r="A338" s="6" t="inlineStr">
        <is>
          <t>Myanmar</t>
        </is>
      </c>
      <c r="B338" s="10" t="n">
        <v>2017</v>
      </c>
      <c r="C338" s="10" t="n">
        <v>4</v>
      </c>
      <c r="D338" s="6" t="inlineStr">
        <is>
          <t>2017 Q4</t>
        </is>
      </c>
      <c r="E338" s="8" t="n">
        <v>137.161773333333</v>
      </c>
      <c r="F338" s="10" t="n">
        <v>4.3092459946926</v>
      </c>
      <c r="G338" s="10" t="n">
        <v>2.7290605240802</v>
      </c>
      <c r="H338" s="8" t="n">
        <v>5.9964510350646</v>
      </c>
      <c r="I338" s="8" t="n">
        <v>19.9294544222562</v>
      </c>
      <c r="J338" s="8" t="n">
        <v>86.3451304274862</v>
      </c>
      <c r="K338" s="8" t="n">
        <v>-5.40105854434013</v>
      </c>
      <c r="L338" s="8" t="n">
        <v>100.792675769869</v>
      </c>
      <c r="M338" s="8" t="n">
        <v>-1.0241302421728</v>
      </c>
      <c r="N338" s="8" t="n">
        <v>1.20333333333333</v>
      </c>
      <c r="O338" s="8" t="n">
        <v>0.05</v>
      </c>
      <c r="P338" s="8" t="n">
        <v>61.53</v>
      </c>
      <c r="Q338" s="8" t="n">
        <v>25.0948766603416</v>
      </c>
      <c r="R338" s="10" t="n">
        <v>0</v>
      </c>
      <c r="S338" s="7" t="inlineStr">
        <is>
          <t>High_Quality_Observed</t>
        </is>
      </c>
    </row>
    <row r="339" ht="19" customHeight="1">
      <c r="A339" s="6" t="inlineStr">
        <is>
          <t>Myanmar</t>
        </is>
      </c>
      <c r="B339" s="10" t="n">
        <v>2018</v>
      </c>
      <c r="C339" s="10" t="n">
        <v>1</v>
      </c>
      <c r="D339" s="6" t="inlineStr">
        <is>
          <t>2018 Q1</t>
        </is>
      </c>
      <c r="E339" s="8" t="n">
        <v>139.31927</v>
      </c>
      <c r="F339" s="10" t="n">
        <v>5.25178327235793</v>
      </c>
      <c r="G339" s="10" t="n">
        <v>1.57295769384918</v>
      </c>
      <c r="H339" s="8" t="n">
        <v>5.64372157089194</v>
      </c>
      <c r="I339" s="8" t="n">
        <v>16.77090649898</v>
      </c>
      <c r="J339" s="8" t="n">
        <v>87.19874361666319</v>
      </c>
      <c r="K339" s="8" t="n">
        <v>-2.47973951323094</v>
      </c>
      <c r="L339" s="8" t="n">
        <v>96.02404012089779</v>
      </c>
      <c r="M339" s="8" t="n">
        <v>-4.09658683895945</v>
      </c>
      <c r="N339" s="8" t="n">
        <v>1.44666666666667</v>
      </c>
      <c r="O339" s="8" t="n">
        <v>0.243333333333333</v>
      </c>
      <c r="P339" s="8" t="n">
        <v>66.8066666666667</v>
      </c>
      <c r="Q339" s="8" t="n">
        <v>24.4535519125683</v>
      </c>
      <c r="R339" s="10" t="n">
        <v>0</v>
      </c>
      <c r="S339" s="7" t="inlineStr">
        <is>
          <t>High_Quality_Observed</t>
        </is>
      </c>
    </row>
    <row r="340" ht="19" customHeight="1">
      <c r="A340" s="6" t="inlineStr">
        <is>
          <t>Myanmar</t>
        </is>
      </c>
      <c r="B340" s="10" t="n">
        <v>2018</v>
      </c>
      <c r="C340" s="10" t="n">
        <v>2</v>
      </c>
      <c r="D340" s="6" t="inlineStr">
        <is>
          <t>2018 Q2</t>
        </is>
      </c>
      <c r="E340" s="8" t="n">
        <v>140.398933333333</v>
      </c>
      <c r="F340" s="10" t="n">
        <v>6.07563653294838</v>
      </c>
      <c r="G340" s="10" t="n">
        <v>0.7749562090968</v>
      </c>
      <c r="H340" s="8" t="n">
        <v>5.75268594221041</v>
      </c>
      <c r="I340" s="8" t="n">
        <v>14.6272514072926</v>
      </c>
      <c r="J340" s="8" t="n">
        <v>88.0742854366184</v>
      </c>
      <c r="K340" s="8" t="n">
        <v>0.802196938273925</v>
      </c>
      <c r="L340" s="8" t="n">
        <v>96.1737638878632</v>
      </c>
      <c r="M340" s="8" t="n">
        <v>-3.30461545231933</v>
      </c>
      <c r="N340" s="8" t="n">
        <v>1.73666666666667</v>
      </c>
      <c r="O340" s="8" t="n">
        <v>0.29</v>
      </c>
      <c r="P340" s="8" t="n">
        <v>74.5</v>
      </c>
      <c r="Q340" s="8" t="n">
        <v>49.9899335615059</v>
      </c>
      <c r="R340" s="10" t="n">
        <v>0</v>
      </c>
      <c r="S340" s="7" t="inlineStr">
        <is>
          <t>High_Quality_Observed</t>
        </is>
      </c>
    </row>
    <row r="341" ht="19" customHeight="1">
      <c r="A341" s="6" t="inlineStr">
        <is>
          <t>Myanmar</t>
        </is>
      </c>
      <c r="B341" s="10" t="n">
        <v>2018</v>
      </c>
      <c r="C341" s="10" t="n">
        <v>3</v>
      </c>
      <c r="D341" s="6" t="inlineStr">
        <is>
          <t>2018 Q3</t>
        </is>
      </c>
      <c r="E341" s="8" t="n">
        <v>144.347003333333</v>
      </c>
      <c r="F341" s="10" t="n">
        <v>8.110530226689059</v>
      </c>
      <c r="G341" s="10" t="n">
        <v>2.81203703351973</v>
      </c>
      <c r="H341" s="8" t="n">
        <v>6.32334425800221</v>
      </c>
      <c r="I341" s="8" t="n">
        <v>13.4984870033038</v>
      </c>
      <c r="J341" s="8" t="n">
        <v>84.381644382282</v>
      </c>
      <c r="K341" s="8" t="n">
        <v>-1.2355910255796</v>
      </c>
      <c r="L341" s="8" t="n">
        <v>93.2694805076009</v>
      </c>
      <c r="M341" s="8" t="n">
        <v>-8.98821917149397</v>
      </c>
      <c r="N341" s="8" t="n">
        <v>1.92333333333333</v>
      </c>
      <c r="O341" s="8" t="n">
        <v>0.186666666666667</v>
      </c>
      <c r="P341" s="8" t="n">
        <v>75.2233333333333</v>
      </c>
      <c r="Q341" s="8" t="n">
        <v>44.3548902961683</v>
      </c>
      <c r="R341" s="10" t="n">
        <v>0</v>
      </c>
      <c r="S341" s="7" t="inlineStr">
        <is>
          <t>High_Quality_Observed</t>
        </is>
      </c>
    </row>
    <row r="342" ht="19" customHeight="1">
      <c r="A342" s="6" t="inlineStr">
        <is>
          <t>Myanmar</t>
        </is>
      </c>
      <c r="B342" s="10" t="n">
        <v>2018</v>
      </c>
      <c r="C342" s="10" t="n">
        <v>4</v>
      </c>
      <c r="D342" s="6" t="inlineStr">
        <is>
          <t>2018 Q4</t>
        </is>
      </c>
      <c r="E342" s="8" t="n">
        <v>148.13432</v>
      </c>
      <c r="F342" s="10" t="n">
        <v>7.99971187307484</v>
      </c>
      <c r="G342" s="10" t="n">
        <v>2.62375842879177</v>
      </c>
      <c r="H342" s="8" t="n">
        <v>7.35569708886357</v>
      </c>
      <c r="I342" s="8" t="n">
        <v>13.3846121583141</v>
      </c>
      <c r="J342" s="8" t="n">
        <v>82.4229036416975</v>
      </c>
      <c r="K342" s="8" t="n">
        <v>-4.54249911531798</v>
      </c>
      <c r="L342" s="8" t="n">
        <v>90.7369363173618</v>
      </c>
      <c r="M342" s="8" t="n">
        <v>-9.976656910534739</v>
      </c>
      <c r="N342" s="8" t="n">
        <v>2.22</v>
      </c>
      <c r="O342" s="8" t="n">
        <v>0.296666666666667</v>
      </c>
      <c r="P342" s="8" t="n">
        <v>67.7133333333333</v>
      </c>
      <c r="Q342" s="8" t="n">
        <v>10.0492984452029</v>
      </c>
      <c r="R342" s="10" t="n">
        <v>0</v>
      </c>
      <c r="S342" s="7" t="inlineStr">
        <is>
          <t>High_Quality_Observed</t>
        </is>
      </c>
    </row>
    <row r="343" ht="19" customHeight="1">
      <c r="A343" s="6" t="inlineStr">
        <is>
          <t>Myanmar</t>
        </is>
      </c>
      <c r="B343" s="10" t="n">
        <v>2019</v>
      </c>
      <c r="C343" s="10" t="n">
        <v>1</v>
      </c>
      <c r="D343" s="6" t="inlineStr">
        <is>
          <t>2019 Q1</t>
        </is>
      </c>
      <c r="E343" s="8" t="n">
        <v>148.95596</v>
      </c>
      <c r="F343" s="10" t="n">
        <v>6.91698284092359</v>
      </c>
      <c r="G343" s="10" t="n">
        <v>0.55465877184977</v>
      </c>
      <c r="H343" s="8" t="n">
        <v>8.849745467205709</v>
      </c>
      <c r="I343" s="8" t="n">
        <v>14.2856267585535</v>
      </c>
      <c r="J343" s="8" t="n">
        <v>83.7164350875277</v>
      </c>
      <c r="K343" s="8" t="n">
        <v>-3.99353062292286</v>
      </c>
      <c r="L343" s="8" t="n">
        <v>93.8324987094736</v>
      </c>
      <c r="M343" s="8" t="n">
        <v>-2.2822841120463</v>
      </c>
      <c r="N343" s="8" t="n">
        <v>2.40333333333333</v>
      </c>
      <c r="O343" s="8" t="n">
        <v>0.183333333333333</v>
      </c>
      <c r="P343" s="8" t="n">
        <v>63.17</v>
      </c>
      <c r="Q343" s="8" t="n">
        <v>-5.4435685061371</v>
      </c>
      <c r="R343" s="10" t="n">
        <v>0</v>
      </c>
      <c r="S343" s="7" t="inlineStr">
        <is>
          <t>High_Quality_Observed</t>
        </is>
      </c>
    </row>
    <row r="344" ht="19" customHeight="1">
      <c r="A344" s="6" t="inlineStr">
        <is>
          <t>Myanmar</t>
        </is>
      </c>
      <c r="B344" s="10" t="n">
        <v>2019</v>
      </c>
      <c r="C344" s="10" t="n">
        <v>2</v>
      </c>
      <c r="D344" s="6" t="inlineStr">
        <is>
          <t>2019 Q2</t>
        </is>
      </c>
      <c r="E344" s="8" t="n">
        <v>153.41428</v>
      </c>
      <c r="F344" s="10" t="n">
        <v>9.270260362851751</v>
      </c>
      <c r="G344" s="10" t="n">
        <v>2.99304572975796</v>
      </c>
      <c r="H344" s="8" t="n">
        <v>8.53911099465207</v>
      </c>
      <c r="I344" s="8" t="n">
        <v>15.1495519000372</v>
      </c>
      <c r="J344" s="8" t="n">
        <v>86.41128585168271</v>
      </c>
      <c r="K344" s="8" t="n">
        <v>-1.88817834478194</v>
      </c>
      <c r="L344" s="8" t="n">
        <v>94.8842784155444</v>
      </c>
      <c r="M344" s="8" t="n">
        <v>-1.34078715461562</v>
      </c>
      <c r="N344" s="8" t="n">
        <v>2.39666666666667</v>
      </c>
      <c r="O344" s="8" t="n">
        <v>-0.0066666666666668</v>
      </c>
      <c r="P344" s="8" t="n">
        <v>68.9233333333333</v>
      </c>
      <c r="Q344" s="8" t="n">
        <v>-7.48545861297539</v>
      </c>
      <c r="R344" s="10" t="n">
        <v>0</v>
      </c>
      <c r="S344" s="7" t="inlineStr">
        <is>
          <t>High_Quality_Observed</t>
        </is>
      </c>
    </row>
    <row r="345" ht="19" customHeight="1">
      <c r="A345" s="6" t="inlineStr">
        <is>
          <t>Myanmar</t>
        </is>
      </c>
      <c r="B345" s="10" t="n">
        <v>2019</v>
      </c>
      <c r="C345" s="10" t="n">
        <v>3</v>
      </c>
      <c r="D345" s="6" t="inlineStr">
        <is>
          <t>2019 Q3</t>
        </is>
      </c>
      <c r="E345" s="8" t="n">
        <v>159.139686666667</v>
      </c>
      <c r="F345" s="10" t="n">
        <v>10.2480016846441</v>
      </c>
      <c r="G345" s="10" t="n">
        <v>3.73199070299497</v>
      </c>
      <c r="H345" s="8" t="n">
        <v>6.42379336052436</v>
      </c>
      <c r="I345" s="8" t="n">
        <v>15.9763884470235</v>
      </c>
      <c r="J345" s="8" t="n">
        <v>89.2307990265798</v>
      </c>
      <c r="K345" s="8" t="n">
        <v>5.74669370311058</v>
      </c>
      <c r="L345" s="8" t="n">
        <v>94.5983508132319</v>
      </c>
      <c r="M345" s="8" t="n">
        <v>1.42476434777905</v>
      </c>
      <c r="N345" s="8" t="n">
        <v>2.19</v>
      </c>
      <c r="O345" s="8" t="n">
        <v>-0.206666666666667</v>
      </c>
      <c r="P345" s="8" t="n">
        <v>61.93</v>
      </c>
      <c r="Q345" s="8" t="n">
        <v>-17.6718216865334</v>
      </c>
      <c r="R345" s="10" t="n">
        <v>0</v>
      </c>
      <c r="S345" s="7" t="inlineStr">
        <is>
          <t>High_Quality_Observed</t>
        </is>
      </c>
    </row>
    <row r="346" ht="19" customHeight="1">
      <c r="A346" s="6" t="inlineStr">
        <is>
          <t>Myanmar</t>
        </is>
      </c>
      <c r="B346" s="10" t="n">
        <v>2019</v>
      </c>
      <c r="C346" s="10" t="n">
        <v>4</v>
      </c>
      <c r="D346" s="6" t="inlineStr">
        <is>
          <t>2019 Q4</t>
        </is>
      </c>
      <c r="E346" s="8" t="n">
        <v>161.186616666667</v>
      </c>
      <c r="F346" s="10" t="n">
        <v>8.811122680190969</v>
      </c>
      <c r="G346" s="10" t="n">
        <v>1.28624734839871</v>
      </c>
      <c r="H346" s="8" t="n">
        <v>2.50379044956964</v>
      </c>
      <c r="I346" s="8" t="n">
        <v>16.7661372262562</v>
      </c>
      <c r="J346" s="8" t="n">
        <v>90.3549536314334</v>
      </c>
      <c r="K346" s="8" t="n">
        <v>9.62359931435754</v>
      </c>
      <c r="L346" s="8" t="n">
        <v>98.5900431134575</v>
      </c>
      <c r="M346" s="8" t="n">
        <v>8.654807088293911</v>
      </c>
      <c r="N346" s="8" t="n">
        <v>1.64333333333333</v>
      </c>
      <c r="O346" s="8" t="n">
        <v>-0.546666666666667</v>
      </c>
      <c r="P346" s="8" t="n">
        <v>63.41</v>
      </c>
      <c r="Q346" s="8" t="n">
        <v>-6.35522299891701</v>
      </c>
      <c r="R346" s="10" t="n">
        <v>0</v>
      </c>
      <c r="S346" s="7" t="inlineStr">
        <is>
          <t>High_Quality_Observed</t>
        </is>
      </c>
    </row>
    <row r="347" ht="19" customHeight="1">
      <c r="A347" s="6" t="inlineStr">
        <is>
          <t>Myanmar</t>
        </is>
      </c>
      <c r="B347" s="10" t="n">
        <v>2020</v>
      </c>
      <c r="C347" s="10" t="n">
        <v>1</v>
      </c>
      <c r="D347" s="6" t="inlineStr">
        <is>
          <t>2020 Q1</t>
        </is>
      </c>
      <c r="E347" s="8" t="n">
        <v>160.894913333333</v>
      </c>
      <c r="F347" s="10" t="n">
        <v>8.01508938167586</v>
      </c>
      <c r="G347" s="10" t="n">
        <v>-0.180972427715009</v>
      </c>
      <c r="H347" s="8" t="n">
        <v>-3.22090165827063</v>
      </c>
      <c r="I347" s="8" t="n">
        <v>17.5187990275012</v>
      </c>
      <c r="J347" s="8" t="n">
        <v>94.5812279935721</v>
      </c>
      <c r="K347" s="8" t="n">
        <v>12.9780883463144</v>
      </c>
      <c r="L347" s="8" t="n">
        <v>101.264856657347</v>
      </c>
      <c r="M347" s="8" t="n">
        <v>7.92087821393919</v>
      </c>
      <c r="N347" s="8" t="n">
        <v>1.26</v>
      </c>
      <c r="O347" s="8" t="n">
        <v>-0.383333333333333</v>
      </c>
      <c r="P347" s="8" t="n">
        <v>50.44</v>
      </c>
      <c r="Q347" s="8" t="n">
        <v>-20.1519708722495</v>
      </c>
      <c r="R347" s="10" t="n">
        <v>0</v>
      </c>
      <c r="S347" s="7" t="inlineStr">
        <is>
          <t>High_Quality_Observed</t>
        </is>
      </c>
    </row>
    <row r="348" ht="19" customHeight="1">
      <c r="A348" s="6" t="inlineStr">
        <is>
          <t>Myanmar</t>
        </is>
      </c>
      <c r="B348" s="10" t="n">
        <v>2020</v>
      </c>
      <c r="C348" s="10" t="n">
        <v>2</v>
      </c>
      <c r="D348" s="6" t="inlineStr">
        <is>
          <t>2020 Q2</t>
        </is>
      </c>
      <c r="E348" s="8" t="n">
        <v>160.366936666667</v>
      </c>
      <c r="F348" s="10" t="n">
        <v>4.53194882944841</v>
      </c>
      <c r="G348" s="10" t="n">
        <v>-0.328150005322314</v>
      </c>
      <c r="H348" s="8" t="n">
        <v>-7.84175451004269</v>
      </c>
      <c r="I348" s="8" t="n">
        <v>18.0832947199164</v>
      </c>
      <c r="J348" s="8" t="n">
        <v>100.028550138951</v>
      </c>
      <c r="K348" s="8" t="n">
        <v>15.7586641062615</v>
      </c>
      <c r="L348" s="8" t="n">
        <v>94.2610802411244</v>
      </c>
      <c r="M348" s="8" t="n">
        <v>-0.656798138560644</v>
      </c>
      <c r="N348" s="8" t="n">
        <v>0.06</v>
      </c>
      <c r="O348" s="8" t="n">
        <v>-1.2</v>
      </c>
      <c r="P348" s="8" t="n">
        <v>29.3433333333333</v>
      </c>
      <c r="Q348" s="8" t="n">
        <v>-57.426125646854</v>
      </c>
      <c r="R348" s="10" t="n">
        <v>0</v>
      </c>
      <c r="S348" s="7" t="inlineStr">
        <is>
          <t>High_Quality_Observed</t>
        </is>
      </c>
    </row>
    <row r="349" ht="19" customHeight="1">
      <c r="A349" s="6" t="inlineStr">
        <is>
          <t>Myanmar</t>
        </is>
      </c>
      <c r="B349" s="10" t="n">
        <v>2020</v>
      </c>
      <c r="C349" s="10" t="n">
        <v>3</v>
      </c>
      <c r="D349" s="6" t="inlineStr">
        <is>
          <t>2020 Q3</t>
        </is>
      </c>
      <c r="E349" s="8" t="n">
        <v>162.10052</v>
      </c>
      <c r="F349" s="10" t="n">
        <v>1.86052479764842</v>
      </c>
      <c r="G349" s="10" t="n">
        <v>1.08101044352846</v>
      </c>
      <c r="H349" s="8" t="n">
        <v>-11.3587727266033</v>
      </c>
      <c r="I349" s="8" t="n">
        <v>18.4596248679033</v>
      </c>
      <c r="J349" s="8" t="n">
        <v>101.44537663441</v>
      </c>
      <c r="K349" s="8" t="n">
        <v>13.6887461964694</v>
      </c>
      <c r="L349" s="8" t="n">
        <v>97.88852553233011</v>
      </c>
      <c r="M349" s="8" t="n">
        <v>3.47804659469599</v>
      </c>
      <c r="N349" s="8" t="n">
        <v>0.0933333333333333</v>
      </c>
      <c r="O349" s="8" t="n">
        <v>0.0333333333333333</v>
      </c>
      <c r="P349" s="8" t="n">
        <v>42.9633333333333</v>
      </c>
      <c r="Q349" s="8" t="n">
        <v>-30.6259755638086</v>
      </c>
      <c r="R349" s="10" t="n">
        <v>0</v>
      </c>
      <c r="S349" s="7" t="inlineStr">
        <is>
          <t>High_Quality_Observed</t>
        </is>
      </c>
    </row>
    <row r="350" ht="19" customHeight="1">
      <c r="A350" s="6" t="inlineStr">
        <is>
          <t>Myanmar</t>
        </is>
      </c>
      <c r="B350" s="10" t="n">
        <v>2020</v>
      </c>
      <c r="C350" s="10" t="n">
        <v>4</v>
      </c>
      <c r="D350" s="6" t="inlineStr">
        <is>
          <t>2020 Q4</t>
        </is>
      </c>
      <c r="E350" s="8" t="n">
        <v>162.908385</v>
      </c>
      <c r="F350" s="10" t="n">
        <v>1.06818318352939</v>
      </c>
      <c r="G350" s="10" t="n">
        <v>0.498372861481244</v>
      </c>
      <c r="H350" s="8" t="n">
        <v>-13.7719598250316</v>
      </c>
      <c r="I350" s="8" t="n">
        <v>18.6477898477502</v>
      </c>
      <c r="J350" s="8" t="n">
        <v>102.426534687491</v>
      </c>
      <c r="K350" s="8" t="n">
        <v>13.3601762503236</v>
      </c>
      <c r="L350" s="8" t="n">
        <v>107.405441783652</v>
      </c>
      <c r="M350" s="8" t="n">
        <v>8.9414695356711</v>
      </c>
      <c r="N350" s="8" t="n">
        <v>0.09</v>
      </c>
      <c r="O350" s="8" t="n">
        <v>-0.0033333333333333</v>
      </c>
      <c r="P350" s="8" t="n">
        <v>44.29</v>
      </c>
      <c r="Q350" s="8" t="n">
        <v>-30.152972717237</v>
      </c>
      <c r="R350" s="10" t="n">
        <v>0</v>
      </c>
      <c r="S350" s="7" t="inlineStr">
        <is>
          <t>High_Quality_Observed</t>
        </is>
      </c>
    </row>
    <row r="351" ht="19" customHeight="1">
      <c r="A351" s="6" t="inlineStr">
        <is>
          <t>Myanmar</t>
        </is>
      </c>
      <c r="B351" s="10" t="n">
        <v>2021</v>
      </c>
      <c r="C351" s="10" t="n">
        <v>1</v>
      </c>
      <c r="D351" s="6" t="inlineStr">
        <is>
          <t>2021 Q1</t>
        </is>
      </c>
      <c r="E351" s="11" t="n">
        <v>163.344271175454</v>
      </c>
      <c r="F351" s="12" t="n">
        <v>1.52233392055503</v>
      </c>
      <c r="G351" s="10" t="n">
        <v>0.267565217993093</v>
      </c>
      <c r="H351" s="8" t="n">
        <v>-15.0813182184898</v>
      </c>
      <c r="I351" s="11" t="n">
        <v>16.8609015993677</v>
      </c>
      <c r="J351" s="11" t="n">
        <v>98.9535464024667</v>
      </c>
      <c r="K351" s="8" t="n">
        <v>4.6228183981623</v>
      </c>
      <c r="L351" s="8" t="n">
        <v>106.418456967928</v>
      </c>
      <c r="M351" s="8" t="n">
        <v>5.08922886053087</v>
      </c>
      <c r="N351" s="8" t="n">
        <v>0.08</v>
      </c>
      <c r="O351" s="8" t="n">
        <v>-0.01</v>
      </c>
      <c r="P351" s="8" t="n">
        <v>60.82</v>
      </c>
      <c r="Q351" s="8" t="n">
        <v>20.578905630452</v>
      </c>
      <c r="R351" s="10" t="n">
        <v>2</v>
      </c>
      <c r="S351" s="7" t="inlineStr">
        <is>
          <t>Major_Imputation_MultiVar</t>
        </is>
      </c>
    </row>
    <row r="352" ht="19" customHeight="1">
      <c r="A352" s="6" t="inlineStr">
        <is>
          <t>Myanmar</t>
        </is>
      </c>
      <c r="B352" s="10" t="n">
        <v>2021</v>
      </c>
      <c r="C352" s="10" t="n">
        <v>2</v>
      </c>
      <c r="D352" s="6" t="inlineStr">
        <is>
          <t>2021 Q2</t>
        </is>
      </c>
      <c r="E352" s="11" t="n">
        <v>163.781323630704</v>
      </c>
      <c r="F352" s="12" t="n">
        <v>2.12910905140906</v>
      </c>
      <c r="G352" s="10" t="n">
        <v>0.267565217993093</v>
      </c>
      <c r="H352" s="8" t="n">
        <v>-14.3790838407297</v>
      </c>
      <c r="I352" s="11" t="n">
        <v>16.8609015993677</v>
      </c>
      <c r="J352" s="11" t="n">
        <v>90.1197144191072</v>
      </c>
      <c r="K352" s="8" t="n">
        <v>-9.906007540926289</v>
      </c>
      <c r="L352" s="8" t="n">
        <v>114.551815876528</v>
      </c>
      <c r="M352" s="8" t="n">
        <v>21.5261013172124</v>
      </c>
      <c r="N352" s="8" t="n">
        <v>0.07000000000000001</v>
      </c>
      <c r="O352" s="8" t="n">
        <v>-0.01</v>
      </c>
      <c r="P352" s="8" t="n">
        <v>68.8333333333333</v>
      </c>
      <c r="Q352" s="8" t="n">
        <v>134.579120754288</v>
      </c>
      <c r="R352" s="10" t="n">
        <v>2</v>
      </c>
      <c r="S352" s="7" t="inlineStr">
        <is>
          <t>Major_Imputation_MultiVar</t>
        </is>
      </c>
    </row>
    <row r="353" ht="19" customHeight="1">
      <c r="A353" s="6" t="inlineStr">
        <is>
          <t>Myanmar</t>
        </is>
      </c>
      <c r="B353" s="10" t="n">
        <v>2021</v>
      </c>
      <c r="C353" s="10" t="n">
        <v>3</v>
      </c>
      <c r="D353" s="6" t="inlineStr">
        <is>
          <t>2021 Q3</t>
        </is>
      </c>
      <c r="E353" s="11" t="n">
        <v>164.219545486309</v>
      </c>
      <c r="F353" s="12" t="n">
        <v>1.30722929593843</v>
      </c>
      <c r="G353" s="10" t="n">
        <v>0.267565217993071</v>
      </c>
      <c r="H353" s="8" t="n">
        <v>-11.6652559895953</v>
      </c>
      <c r="I353" s="11" t="n">
        <v>16.8609015993677</v>
      </c>
      <c r="J353" s="11" t="n">
        <v>87.0920874555446</v>
      </c>
      <c r="K353" s="8" t="n">
        <v>-14.148785932938</v>
      </c>
      <c r="L353" s="8" t="n">
        <v>116.298331246585</v>
      </c>
      <c r="M353" s="8" t="n">
        <v>18.8069087915464</v>
      </c>
      <c r="N353" s="8" t="n">
        <v>0.09</v>
      </c>
      <c r="O353" s="8" t="n">
        <v>0.02</v>
      </c>
      <c r="P353" s="8" t="n">
        <v>73.47</v>
      </c>
      <c r="Q353" s="8" t="n">
        <v>71.0062844285825</v>
      </c>
      <c r="R353" s="10" t="n">
        <v>2</v>
      </c>
      <c r="S353" s="7" t="inlineStr">
        <is>
          <t>Major_Imputation_MultiVar</t>
        </is>
      </c>
    </row>
    <row r="354" ht="19" customHeight="1">
      <c r="A354" s="6" t="inlineStr">
        <is>
          <t>Myanmar</t>
        </is>
      </c>
      <c r="B354" s="10" t="n">
        <v>2021</v>
      </c>
      <c r="C354" s="10" t="n">
        <v>4</v>
      </c>
      <c r="D354" s="6" t="inlineStr">
        <is>
          <t>2021 Q4</t>
        </is>
      </c>
      <c r="E354" s="11" t="n">
        <v>164.658939871176</v>
      </c>
      <c r="F354" s="12" t="n">
        <v>1.07456400797066</v>
      </c>
      <c r="G354" s="10" t="n">
        <v>0.267565217993093</v>
      </c>
      <c r="H354" s="8" t="n">
        <v>-6.939831951213</v>
      </c>
      <c r="I354" s="11" t="n">
        <v>16.8609015993677</v>
      </c>
      <c r="J354" s="11" t="n">
        <v>84.30300519036319</v>
      </c>
      <c r="K354" s="8" t="n">
        <v>-17.6941742219667</v>
      </c>
      <c r="L354" s="8" t="n">
        <v>122.679602624024</v>
      </c>
      <c r="M354" s="8" t="n">
        <v>14.2210306914792</v>
      </c>
      <c r="N354" s="8" t="n">
        <v>0.08</v>
      </c>
      <c r="O354" s="8" t="n">
        <v>-0.01</v>
      </c>
      <c r="P354" s="8" t="n">
        <v>79.5866666666667</v>
      </c>
      <c r="Q354" s="8" t="n">
        <v>79.69443817265</v>
      </c>
      <c r="R354" s="10" t="n">
        <v>2</v>
      </c>
      <c r="S354" s="7" t="inlineStr">
        <is>
          <t>Major_Imputation_MultiVar</t>
        </is>
      </c>
    </row>
    <row r="355" ht="19" customHeight="1">
      <c r="A355" s="6" t="inlineStr">
        <is>
          <t>Myanmar</t>
        </is>
      </c>
      <c r="B355" s="10" t="n">
        <v>2022</v>
      </c>
      <c r="C355" s="10" t="n">
        <v>1</v>
      </c>
      <c r="D355" s="6" t="inlineStr">
        <is>
          <t>2022 Q1</t>
        </is>
      </c>
      <c r="E355" s="11" t="n">
        <v>165.099509922588</v>
      </c>
      <c r="F355" s="12" t="n">
        <v>1.07456400797066</v>
      </c>
      <c r="G355" s="10" t="n">
        <v>0.267565217993093</v>
      </c>
      <c r="H355" s="8" t="n">
        <v>-0.202807000184654</v>
      </c>
      <c r="I355" s="11" t="n">
        <v>16.8609015993677</v>
      </c>
      <c r="J355" s="11" t="n">
        <v>90.0815253295013</v>
      </c>
      <c r="K355" s="8" t="n">
        <v>-8.96584447502353</v>
      </c>
      <c r="L355" s="8" t="n">
        <v>124.25343875034</v>
      </c>
      <c r="M355" s="8" t="n">
        <v>16.7592937264516</v>
      </c>
      <c r="N355" s="8" t="n">
        <v>0.12</v>
      </c>
      <c r="O355" s="8" t="n">
        <v>0.04</v>
      </c>
      <c r="P355" s="8" t="n">
        <v>100.296666666667</v>
      </c>
      <c r="Q355" s="8" t="n">
        <v>64.9073769593335</v>
      </c>
      <c r="R355" s="10" t="n">
        <v>2</v>
      </c>
      <c r="S355" s="7" t="inlineStr">
        <is>
          <t>Major_Imputation_MultiVar</t>
        </is>
      </c>
    </row>
    <row r="356" ht="19" customHeight="1">
      <c r="A356" s="6" t="inlineStr">
        <is>
          <t>Myanmar</t>
        </is>
      </c>
      <c r="B356" s="10" t="n">
        <v>2022</v>
      </c>
      <c r="C356" s="10" t="n">
        <v>2</v>
      </c>
      <c r="D356" s="6" t="inlineStr">
        <is>
          <t>2022 Q2</t>
        </is>
      </c>
      <c r="E356" s="11" t="n">
        <v>165.541258786218</v>
      </c>
      <c r="F356" s="12" t="n">
        <v>1.07456400797068</v>
      </c>
      <c r="G356" s="10" t="n">
        <v>0.267565217993115</v>
      </c>
      <c r="H356" s="8" t="n">
        <v>4.18812119383188</v>
      </c>
      <c r="I356" s="11" t="n">
        <v>16.8609015993677</v>
      </c>
      <c r="J356" s="11" t="n">
        <v>94.88924288669099</v>
      </c>
      <c r="K356" s="8" t="n">
        <v>5.29243628691816</v>
      </c>
      <c r="L356" s="8" t="n">
        <v>134.351432934678</v>
      </c>
      <c r="M356" s="8" t="n">
        <v>17.2844200736996</v>
      </c>
      <c r="N356" s="8" t="n">
        <v>0.77</v>
      </c>
      <c r="O356" s="8" t="n">
        <v>0.65</v>
      </c>
      <c r="P356" s="8" t="n">
        <v>113.543333333333</v>
      </c>
      <c r="Q356" s="8" t="n">
        <v>64.95399515738499</v>
      </c>
      <c r="R356" s="10" t="n">
        <v>2</v>
      </c>
      <c r="S356" s="7" t="inlineStr">
        <is>
          <t>Major_Imputation_MultiVar</t>
        </is>
      </c>
    </row>
    <row r="357" ht="19" customHeight="1">
      <c r="A357" s="6" t="inlineStr">
        <is>
          <t>Myanmar</t>
        </is>
      </c>
      <c r="B357" s="10" t="n">
        <v>2022</v>
      </c>
      <c r="C357" s="10" t="n">
        <v>3</v>
      </c>
      <c r="D357" s="6" t="inlineStr">
        <is>
          <t>2022 Q3</t>
        </is>
      </c>
      <c r="E357" s="11" t="n">
        <v>165.984189616157</v>
      </c>
      <c r="F357" s="12" t="n">
        <v>1.07456400797068</v>
      </c>
      <c r="G357" s="10" t="n">
        <v>0.267565217993071</v>
      </c>
      <c r="H357" s="8" t="n">
        <v>6.23295702175153</v>
      </c>
      <c r="I357" s="11" t="n">
        <v>16.8609015993677</v>
      </c>
      <c r="J357" s="11" t="n">
        <v>97.1044485505906</v>
      </c>
      <c r="K357" s="8" t="n">
        <v>11.4962924733624</v>
      </c>
      <c r="L357" s="8" t="n">
        <v>118.584751746656</v>
      </c>
      <c r="M357" s="8" t="n">
        <v>1.96599596534466</v>
      </c>
      <c r="N357" s="8" t="n">
        <v>2.19</v>
      </c>
      <c r="O357" s="8" t="n">
        <v>1.42</v>
      </c>
      <c r="P357" s="8" t="n">
        <v>100.713333333333</v>
      </c>
      <c r="Q357" s="8" t="n">
        <v>37.0808946962479</v>
      </c>
      <c r="R357" s="10" t="n">
        <v>2</v>
      </c>
      <c r="S357" s="7" t="inlineStr">
        <is>
          <t>Major_Imputation_MultiVar</t>
        </is>
      </c>
    </row>
    <row r="358" ht="19" customHeight="1">
      <c r="A358" s="6" t="inlineStr">
        <is>
          <t>Myanmar</t>
        </is>
      </c>
      <c r="B358" s="10" t="n">
        <v>2022</v>
      </c>
      <c r="C358" s="10" t="n">
        <v>4</v>
      </c>
      <c r="D358" s="6" t="inlineStr">
        <is>
          <t>2022 Q4</t>
        </is>
      </c>
      <c r="E358" s="11" t="n">
        <v>166.428305574938</v>
      </c>
      <c r="F358" s="12" t="n">
        <v>1.07456400797068</v>
      </c>
      <c r="G358" s="10" t="n">
        <v>0.267565217993093</v>
      </c>
      <c r="H358" s="8" t="n">
        <v>5.93170252844557</v>
      </c>
      <c r="I358" s="11" t="n">
        <v>16.8609015993677</v>
      </c>
      <c r="J358" s="11" t="n">
        <v>96.84190605546721</v>
      </c>
      <c r="K358" s="8" t="n">
        <v>14.8736107767334</v>
      </c>
      <c r="L358" s="8" t="n">
        <v>115.210051245214</v>
      </c>
      <c r="M358" s="8" t="n">
        <v>-6.08866610181539</v>
      </c>
      <c r="N358" s="8" t="n">
        <v>3.65333333333333</v>
      </c>
      <c r="O358" s="8" t="n">
        <v>1.46333333333333</v>
      </c>
      <c r="P358" s="8" t="n">
        <v>88.5566666666667</v>
      </c>
      <c r="Q358" s="8" t="n">
        <v>11.2707321159323</v>
      </c>
      <c r="R358" s="10" t="n">
        <v>2</v>
      </c>
      <c r="S358" s="7" t="inlineStr">
        <is>
          <t>Major_Imputation_MultiVar</t>
        </is>
      </c>
    </row>
    <row r="359" ht="19" customHeight="1">
      <c r="A359" s="6" t="inlineStr">
        <is>
          <t>Myanmar</t>
        </is>
      </c>
      <c r="B359" s="10" t="n">
        <v>2023</v>
      </c>
      <c r="C359" s="10" t="n">
        <v>1</v>
      </c>
      <c r="D359" s="6" t="inlineStr">
        <is>
          <t>2023 Q1</t>
        </is>
      </c>
      <c r="E359" s="11" t="n">
        <v>166.873609833552</v>
      </c>
      <c r="F359" s="12" t="n">
        <v>1.07456400797066</v>
      </c>
      <c r="G359" s="10" t="n">
        <v>0.267565217993093</v>
      </c>
      <c r="H359" s="8" t="n">
        <v>3.28435741257495</v>
      </c>
      <c r="I359" s="11" t="n">
        <v>16.8609015993677</v>
      </c>
      <c r="J359" s="11" t="n">
        <v>97.8357627157524</v>
      </c>
      <c r="K359" s="8" t="n">
        <v>8.60802185341276</v>
      </c>
      <c r="L359" s="8" t="n">
        <v>114.034689515825</v>
      </c>
      <c r="M359" s="8" t="n">
        <v>-8.224117849203459</v>
      </c>
      <c r="N359" s="8" t="n">
        <v>4.51666666666667</v>
      </c>
      <c r="O359" s="8" t="n">
        <v>0.863333333333333</v>
      </c>
      <c r="P359" s="8" t="n">
        <v>81.1733333333333</v>
      </c>
      <c r="Q359" s="8" t="n">
        <v>-19.0667685865266</v>
      </c>
      <c r="R359" s="10" t="n">
        <v>2</v>
      </c>
      <c r="S359" s="7" t="inlineStr">
        <is>
          <t>Major_Imputation_MultiVar</t>
        </is>
      </c>
    </row>
    <row r="360" ht="19" customHeight="1">
      <c r="A360" s="6" t="inlineStr">
        <is>
          <t>Myanmar</t>
        </is>
      </c>
      <c r="B360" s="10" t="n">
        <v>2023</v>
      </c>
      <c r="C360" s="10" t="n">
        <v>2</v>
      </c>
      <c r="D360" s="6" t="inlineStr">
        <is>
          <t>2023 Q2</t>
        </is>
      </c>
      <c r="E360" s="11" t="n">
        <v>167.320105571476</v>
      </c>
      <c r="F360" s="12" t="n">
        <v>1.07456400797066</v>
      </c>
      <c r="G360" s="10" t="n">
        <v>0.267565217993093</v>
      </c>
      <c r="H360" s="8" t="n">
        <v>1.2950559800507</v>
      </c>
      <c r="I360" s="11" t="n">
        <v>16.8609015993677</v>
      </c>
      <c r="J360" s="11" t="n">
        <v>104.354775656822</v>
      </c>
      <c r="K360" s="8" t="n">
        <v>9.975348608728771</v>
      </c>
      <c r="L360" s="8" t="n">
        <v>109.857789884183</v>
      </c>
      <c r="M360" s="8" t="n">
        <v>-18.2310247948031</v>
      </c>
      <c r="N360" s="8" t="n">
        <v>4.99</v>
      </c>
      <c r="O360" s="8" t="n">
        <v>0.473333333333334</v>
      </c>
      <c r="P360" s="8" t="n">
        <v>78.31666666666671</v>
      </c>
      <c r="Q360" s="8" t="n">
        <v>-31.0248656900449</v>
      </c>
      <c r="R360" s="10" t="n">
        <v>2</v>
      </c>
      <c r="S360" s="7" t="inlineStr">
        <is>
          <t>Major_Imputation_MultiVar</t>
        </is>
      </c>
    </row>
    <row r="361" ht="19" customHeight="1">
      <c r="A361" s="6" t="inlineStr">
        <is>
          <t>Myanmar</t>
        </is>
      </c>
      <c r="B361" s="10" t="n">
        <v>2023</v>
      </c>
      <c r="C361" s="10" t="n">
        <v>3</v>
      </c>
      <c r="D361" s="6" t="inlineStr">
        <is>
          <t>2023 Q3</t>
        </is>
      </c>
      <c r="E361" s="11" t="n">
        <v>167.767795976695</v>
      </c>
      <c r="F361" s="12" t="n">
        <v>1.07456400797068</v>
      </c>
      <c r="G361" s="10" t="n">
        <v>0.267565217993115</v>
      </c>
      <c r="H361" s="8" t="n">
        <v>-0.0362037584466207</v>
      </c>
      <c r="I361" s="11" t="n">
        <v>16.8609015993677</v>
      </c>
      <c r="J361" s="11" t="n">
        <v>111.436049020244</v>
      </c>
      <c r="K361" s="8" t="n">
        <v>14.7589535634783</v>
      </c>
      <c r="L361" s="8" t="n">
        <v>107.510614988168</v>
      </c>
      <c r="M361" s="8" t="n">
        <v>-9.338584088911441</v>
      </c>
      <c r="N361" s="8" t="n">
        <v>5.26</v>
      </c>
      <c r="O361" s="8" t="n">
        <v>0.27</v>
      </c>
      <c r="P361" s="8" t="n">
        <v>86.66</v>
      </c>
      <c r="Q361" s="8" t="n">
        <v>-13.9537962533925</v>
      </c>
      <c r="R361" s="10" t="n">
        <v>2</v>
      </c>
      <c r="S361" s="7" t="inlineStr">
        <is>
          <t>Major_Imputation_MultiVar</t>
        </is>
      </c>
    </row>
    <row r="362" ht="19" customHeight="1">
      <c r="A362" s="6" t="inlineStr">
        <is>
          <t>Myanmar</t>
        </is>
      </c>
      <c r="B362" s="10" t="n">
        <v>2023</v>
      </c>
      <c r="C362" s="10" t="n">
        <v>4</v>
      </c>
      <c r="D362" s="6" t="inlineStr">
        <is>
          <t>2023 Q4</t>
        </is>
      </c>
      <c r="E362" s="11" t="n">
        <v>168.216684245722</v>
      </c>
      <c r="F362" s="12" t="n">
        <v>1.07456400797068</v>
      </c>
      <c r="G362" s="10" t="n">
        <v>0.267565217993093</v>
      </c>
      <c r="H362" s="8" t="n">
        <v>-0.709423134205199</v>
      </c>
      <c r="I362" s="11" t="n">
        <v>16.8609015993677</v>
      </c>
      <c r="J362" s="11" t="n">
        <v>118.339739333938</v>
      </c>
      <c r="K362" s="8" t="n">
        <v>22.1988952449546</v>
      </c>
      <c r="L362" s="8" t="n">
        <v>105.339533846651</v>
      </c>
      <c r="M362" s="8" t="n">
        <v>-8.56740995414912</v>
      </c>
      <c r="N362" s="8" t="n">
        <v>5.33</v>
      </c>
      <c r="O362" s="8" t="n">
        <v>0.0700000000000003</v>
      </c>
      <c r="P362" s="8" t="n">
        <v>83.7233333333333</v>
      </c>
      <c r="Q362" s="8" t="n">
        <v>-5.45789889712802</v>
      </c>
      <c r="R362" s="10" t="n">
        <v>2</v>
      </c>
      <c r="S362" s="7" t="inlineStr">
        <is>
          <t>Major_Imputation_MultiVar</t>
        </is>
      </c>
    </row>
    <row r="363" ht="19" customHeight="1">
      <c r="A363" s="6" t="inlineStr">
        <is>
          <t>Myanmar</t>
        </is>
      </c>
      <c r="B363" s="10" t="n">
        <v>2024</v>
      </c>
      <c r="C363" s="10" t="n">
        <v>1</v>
      </c>
      <c r="D363" s="6" t="inlineStr">
        <is>
          <t>2024 Q1</t>
        </is>
      </c>
      <c r="E363" s="11" t="n">
        <v>168.666773583625</v>
      </c>
      <c r="F363" s="12" t="n">
        <v>1.07456400797068</v>
      </c>
      <c r="G363" s="10" t="n">
        <v>0.267565217993071</v>
      </c>
      <c r="H363" s="8" t="n">
        <v>-0.724602820420859</v>
      </c>
      <c r="I363" s="11" t="n">
        <v>16.8609015993677</v>
      </c>
      <c r="J363" s="11" t="n">
        <v>124.864073938853</v>
      </c>
      <c r="K363" s="8" t="n">
        <v>27.626207915021</v>
      </c>
      <c r="L363" s="8" t="n">
        <v>102.582568583479</v>
      </c>
      <c r="M363" s="8" t="n">
        <v>-10.0426641936497</v>
      </c>
      <c r="N363" s="8" t="n">
        <v>5.33</v>
      </c>
      <c r="O363" s="8" t="n">
        <v>0</v>
      </c>
      <c r="P363" s="8" t="n">
        <v>83.0033333333333</v>
      </c>
      <c r="Q363" s="8" t="n">
        <v>2.25443495400788</v>
      </c>
      <c r="R363" s="10" t="n">
        <v>2</v>
      </c>
      <c r="S363" s="7" t="inlineStr">
        <is>
          <t>Major_Imputation_MultiVar</t>
        </is>
      </c>
    </row>
    <row r="364" ht="19" customHeight="1">
      <c r="A364" s="6" t="inlineStr">
        <is>
          <t>Myanmar</t>
        </is>
      </c>
      <c r="B364" s="10" t="n">
        <v>2024</v>
      </c>
      <c r="C364" s="10" t="n">
        <v>2</v>
      </c>
      <c r="D364" s="6" t="inlineStr">
        <is>
          <t>2024 Q2</t>
        </is>
      </c>
      <c r="E364" s="11" t="n">
        <v>169.118067204046</v>
      </c>
      <c r="F364" s="12" t="n">
        <v>1.07456400797068</v>
      </c>
      <c r="G364" s="10" t="n">
        <v>0.267565217993093</v>
      </c>
      <c r="H364" s="8" t="n">
        <v>-0.829652069198788</v>
      </c>
      <c r="I364" s="11" t="n">
        <v>16.8609015993677</v>
      </c>
      <c r="J364" s="11" t="n">
        <v>134.126577032233</v>
      </c>
      <c r="K364" s="8" t="n">
        <v>28.5294095914864</v>
      </c>
      <c r="L364" s="8" t="n">
        <v>104.519793640698</v>
      </c>
      <c r="M364" s="8" t="n">
        <v>-4.85900567371084</v>
      </c>
      <c r="N364" s="8" t="n">
        <v>5.33</v>
      </c>
      <c r="O364" s="8" t="n">
        <v>0</v>
      </c>
      <c r="P364" s="8" t="n">
        <v>84.6466666666667</v>
      </c>
      <c r="Q364" s="8" t="n">
        <v>8.082570759736109</v>
      </c>
      <c r="R364" s="10" t="n">
        <v>2</v>
      </c>
      <c r="S364" s="7" t="inlineStr">
        <is>
          <t>Major_Imputation_MultiVar</t>
        </is>
      </c>
    </row>
    <row r="365" ht="19" customHeight="1">
      <c r="A365" s="6" t="inlineStr">
        <is>
          <t>Myanmar</t>
        </is>
      </c>
      <c r="B365" s="10" t="n">
        <v>2024</v>
      </c>
      <c r="C365" s="10" t="n">
        <v>3</v>
      </c>
      <c r="D365" s="6" t="inlineStr">
        <is>
          <t>2024 Q3</t>
        </is>
      </c>
      <c r="E365" s="11" t="n">
        <v>169.570568329226</v>
      </c>
      <c r="F365" s="12" t="n">
        <v>1.07456400797064</v>
      </c>
      <c r="G365" s="10" t="n">
        <v>0.267565217993071</v>
      </c>
      <c r="H365" s="8" t="n">
        <v>-1.02457098566991</v>
      </c>
      <c r="I365" s="11" t="n">
        <v>16.8609015993677</v>
      </c>
      <c r="J365" s="11" t="n">
        <v>138.788806281316</v>
      </c>
      <c r="K365" s="8" t="n">
        <v>24.5456990817249</v>
      </c>
      <c r="L365" s="8" t="n">
        <v>106.377099329068</v>
      </c>
      <c r="M365" s="8" t="n">
        <v>-1.05432906250624</v>
      </c>
      <c r="N365" s="8" t="n">
        <v>5.26333333333333</v>
      </c>
      <c r="O365" s="8" t="n">
        <v>-0.0666666666666664</v>
      </c>
      <c r="P365" s="8" t="n">
        <v>79.84333333333331</v>
      </c>
      <c r="Q365" s="8" t="n">
        <v>-7.86598969151473</v>
      </c>
      <c r="R365" s="10" t="n">
        <v>2</v>
      </c>
      <c r="S365" s="7" t="inlineStr">
        <is>
          <t>Major_Imputation_MultiVar</t>
        </is>
      </c>
    </row>
    <row r="366" ht="19" customHeight="1">
      <c r="A366" s="6" t="inlineStr">
        <is>
          <t>Myanmar</t>
        </is>
      </c>
      <c r="B366" s="10" t="n">
        <v>2024</v>
      </c>
      <c r="C366" s="10" t="n">
        <v>4</v>
      </c>
      <c r="D366" s="6" t="inlineStr">
        <is>
          <t>2024 Q4</t>
        </is>
      </c>
      <c r="E366" s="11" t="n">
        <v>170.024280190028</v>
      </c>
      <c r="F366" s="12" t="n">
        <v>1.07456400797066</v>
      </c>
      <c r="G366" s="10" t="n">
        <v>0.267565217993093</v>
      </c>
      <c r="H366" s="8" t="n">
        <v>-1.30935976473845</v>
      </c>
      <c r="I366" s="11" t="n">
        <v>16.8609015993677</v>
      </c>
      <c r="J366" s="11" t="n">
        <v>148.019946562253</v>
      </c>
      <c r="K366" s="8" t="n">
        <v>25.0805075246634</v>
      </c>
      <c r="L366" s="8" t="n">
        <v>110.645361455409</v>
      </c>
      <c r="M366" s="8" t="n">
        <v>5.03688161035707</v>
      </c>
      <c r="N366" s="8" t="n">
        <v>4.65</v>
      </c>
      <c r="O366" s="8" t="n">
        <v>-0.613333333333333</v>
      </c>
      <c r="P366" s="8" t="n">
        <v>74.6133333333333</v>
      </c>
      <c r="Q366" s="8" t="n">
        <v>-10.8810765616913</v>
      </c>
      <c r="R366" s="10" t="n">
        <v>2</v>
      </c>
      <c r="S366" s="7" t="inlineStr">
        <is>
          <t>Major_Imputation_MultiVar</t>
        </is>
      </c>
    </row>
    <row r="367" ht="19" customHeight="1">
      <c r="A367" s="6" t="inlineStr">
        <is>
          <t>Myanmar</t>
        </is>
      </c>
      <c r="B367" s="10" t="n">
        <v>2025</v>
      </c>
      <c r="C367" s="10" t="n">
        <v>1</v>
      </c>
      <c r="D367" s="6" t="inlineStr">
        <is>
          <t>2025 Q1</t>
        </is>
      </c>
      <c r="E367" s="11" t="n">
        <v>170.47920602596</v>
      </c>
      <c r="F367" s="12" t="n">
        <v>1.07456400797068</v>
      </c>
      <c r="G367" s="10" t="n">
        <v>0.267565217993093</v>
      </c>
      <c r="H367" s="8" t="n">
        <v>-1.68401869111101</v>
      </c>
      <c r="I367" s="11" t="n">
        <v>16.8609015993677</v>
      </c>
      <c r="J367" s="11" t="n">
        <v>156.978089548239</v>
      </c>
      <c r="K367" s="8" t="n">
        <v>25.7191797418949</v>
      </c>
      <c r="L367" s="8" t="n">
        <v>108.711496383905</v>
      </c>
      <c r="M367" s="8" t="n">
        <v>5.97462891118643</v>
      </c>
      <c r="N367" s="8" t="n">
        <v>4.33</v>
      </c>
      <c r="O367" s="8" t="n">
        <v>-0.32</v>
      </c>
      <c r="P367" s="8" t="n">
        <v>75.8133333333333</v>
      </c>
      <c r="Q367" s="8" t="n">
        <v>-8.662302718766311</v>
      </c>
      <c r="R367" s="10" t="n">
        <v>2</v>
      </c>
      <c r="S367" s="7" t="inlineStr">
        <is>
          <t>Major_Imputation_MultiVar</t>
        </is>
      </c>
    </row>
    <row r="368" ht="19" customHeight="1">
      <c r="A368" s="7" t="inlineStr">
        <is>
          <t>Philippines</t>
        </is>
      </c>
      <c r="B368" s="10" t="n">
        <v>2010</v>
      </c>
      <c r="C368" s="10" t="n">
        <v>1</v>
      </c>
      <c r="D368" s="6" t="inlineStr">
        <is>
          <t>2010 Q1</t>
        </is>
      </c>
      <c r="E368" s="8" t="n">
        <v>78.00702215436149</v>
      </c>
      <c r="F368" s="9" t="inlineStr"/>
      <c r="G368" s="9" t="inlineStr"/>
      <c r="H368" s="8" t="n">
        <v>8.346683983258741</v>
      </c>
      <c r="I368" s="8" t="n">
        <v>11.9740881021241</v>
      </c>
      <c r="J368" s="8" t="n">
        <v>97.88523926842259</v>
      </c>
      <c r="K368" s="9" t="inlineStr"/>
      <c r="L368" s="8" t="n">
        <v>99.24199528149821</v>
      </c>
      <c r="M368" s="9" t="inlineStr"/>
      <c r="N368" s="8" t="n">
        <v>0.133333333333333</v>
      </c>
      <c r="O368" s="9" t="inlineStr"/>
      <c r="P368" s="8" t="n">
        <v>76.25</v>
      </c>
      <c r="Q368" s="9" t="inlineStr"/>
      <c r="R368" s="10" t="n">
        <v>0</v>
      </c>
      <c r="S368" s="7" t="inlineStr">
        <is>
          <t>Baseline_Lag_Origin</t>
        </is>
      </c>
    </row>
    <row r="369" ht="19" customHeight="1">
      <c r="A369" s="7" t="inlineStr">
        <is>
          <t>Philippines</t>
        </is>
      </c>
      <c r="B369" s="10" t="n">
        <v>2010</v>
      </c>
      <c r="C369" s="10" t="n">
        <v>2</v>
      </c>
      <c r="D369" s="6" t="inlineStr">
        <is>
          <t>2010 Q2</t>
        </is>
      </c>
      <c r="E369" s="8" t="n">
        <v>78.7064366666667</v>
      </c>
      <c r="F369" s="9" t="inlineStr"/>
      <c r="G369" s="10" t="n">
        <v>0.896604553012104</v>
      </c>
      <c r="H369" s="8" t="n">
        <v>7.94181061703673</v>
      </c>
      <c r="I369" s="8" t="n">
        <v>11.5432862280476</v>
      </c>
      <c r="J369" s="8" t="n">
        <v>101.214814648344</v>
      </c>
      <c r="K369" s="9" t="inlineStr"/>
      <c r="L369" s="8" t="n">
        <v>96.4984622523225</v>
      </c>
      <c r="M369" s="9" t="inlineStr"/>
      <c r="N369" s="8" t="n">
        <v>0.193333333333333</v>
      </c>
      <c r="O369" s="8" t="n">
        <v>0.06</v>
      </c>
      <c r="P369" s="8" t="n">
        <v>78.51000000000001</v>
      </c>
      <c r="Q369" s="9" t="inlineStr"/>
      <c r="R369" s="10" t="n">
        <v>0</v>
      </c>
      <c r="S369" s="7" t="inlineStr">
        <is>
          <t>Baseline_Lag_Origin</t>
        </is>
      </c>
    </row>
    <row r="370" ht="19" customHeight="1">
      <c r="A370" s="7" t="inlineStr">
        <is>
          <t>Philippines</t>
        </is>
      </c>
      <c r="B370" s="10" t="n">
        <v>2010</v>
      </c>
      <c r="C370" s="10" t="n">
        <v>3</v>
      </c>
      <c r="D370" s="6" t="inlineStr">
        <is>
          <t>2010 Q3</t>
        </is>
      </c>
      <c r="E370" s="8" t="n">
        <v>79.2965766666667</v>
      </c>
      <c r="F370" s="9" t="inlineStr"/>
      <c r="G370" s="10" t="n">
        <v>0.7497989046300499</v>
      </c>
      <c r="H370" s="8" t="n">
        <v>7.13206347967244</v>
      </c>
      <c r="I370" s="8" t="n">
        <v>10.6816820489511</v>
      </c>
      <c r="J370" s="8" t="n">
        <v>100.26675611022</v>
      </c>
      <c r="K370" s="9" t="inlineStr"/>
      <c r="L370" s="8" t="n">
        <v>107.356970480027</v>
      </c>
      <c r="M370" s="9" t="inlineStr"/>
      <c r="N370" s="8" t="n">
        <v>0.186666666666667</v>
      </c>
      <c r="O370" s="8" t="n">
        <v>-0.0066666666666666</v>
      </c>
      <c r="P370" s="8" t="n">
        <v>76.81999999999999</v>
      </c>
      <c r="Q370" s="9" t="inlineStr"/>
      <c r="R370" s="10" t="n">
        <v>0</v>
      </c>
      <c r="S370" s="7" t="inlineStr">
        <is>
          <t>Baseline_Lag_Origin</t>
        </is>
      </c>
    </row>
    <row r="371" ht="19" customHeight="1">
      <c r="A371" s="7" t="inlineStr">
        <is>
          <t>Philippines</t>
        </is>
      </c>
      <c r="B371" s="10" t="n">
        <v>2010</v>
      </c>
      <c r="C371" s="10" t="n">
        <v>4</v>
      </c>
      <c r="D371" s="6" t="inlineStr">
        <is>
          <t>2010 Q4</t>
        </is>
      </c>
      <c r="E371" s="8" t="n">
        <v>79.9085666666667</v>
      </c>
      <c r="F371" s="9" t="inlineStr"/>
      <c r="G371" s="10" t="n">
        <v>0.771773543986098</v>
      </c>
      <c r="H371" s="8" t="n">
        <v>5.91744176147665</v>
      </c>
      <c r="I371" s="8" t="n">
        <v>9.38927470338521</v>
      </c>
      <c r="J371" s="8" t="n">
        <v>101.35108505402</v>
      </c>
      <c r="K371" s="9" t="inlineStr"/>
      <c r="L371" s="8" t="n">
        <v>124.608736829891</v>
      </c>
      <c r="M371" s="9" t="inlineStr"/>
      <c r="N371" s="8" t="n">
        <v>0.186666666666667</v>
      </c>
      <c r="O371" s="8" t="n">
        <v>0</v>
      </c>
      <c r="P371" s="8" t="n">
        <v>86.4666666666667</v>
      </c>
      <c r="Q371" s="9" t="inlineStr"/>
      <c r="R371" s="10" t="n">
        <v>0</v>
      </c>
      <c r="S371" s="7" t="inlineStr">
        <is>
          <t>Baseline_Lag_Origin</t>
        </is>
      </c>
    </row>
    <row r="372" ht="19" customHeight="1">
      <c r="A372" s="7" t="inlineStr">
        <is>
          <t>Philippines</t>
        </is>
      </c>
      <c r="B372" s="10" t="n">
        <v>2011</v>
      </c>
      <c r="C372" s="10" t="n">
        <v>1</v>
      </c>
      <c r="D372" s="6" t="inlineStr">
        <is>
          <t>2011 Q1</t>
        </is>
      </c>
      <c r="E372" s="8" t="n">
        <v>81.5259733333333</v>
      </c>
      <c r="F372" s="10" t="n">
        <v>4.5110697496034</v>
      </c>
      <c r="G372" s="10" t="n">
        <v>2.02407167858931</v>
      </c>
      <c r="H372" s="8" t="n">
        <v>4.29794424784536</v>
      </c>
      <c r="I372" s="8" t="n">
        <v>7.66606289883325</v>
      </c>
      <c r="J372" s="8" t="n">
        <v>101.112222412573</v>
      </c>
      <c r="K372" s="8" t="n">
        <v>3.29670047115238</v>
      </c>
      <c r="L372" s="8" t="n">
        <v>121.875946057639</v>
      </c>
      <c r="M372" s="8" t="n">
        <v>22.8068276055313</v>
      </c>
      <c r="N372" s="8" t="n">
        <v>0.156666666666667</v>
      </c>
      <c r="O372" s="8" t="n">
        <v>-0.03</v>
      </c>
      <c r="P372" s="8" t="n">
        <v>104.96</v>
      </c>
      <c r="Q372" s="8" t="n">
        <v>37.6524590163934</v>
      </c>
      <c r="R372" s="10" t="n">
        <v>0</v>
      </c>
      <c r="S372" s="7" t="inlineStr">
        <is>
          <t>High_Quality_Observed</t>
        </is>
      </c>
    </row>
    <row r="373" ht="19" customHeight="1">
      <c r="A373" s="7" t="inlineStr">
        <is>
          <t>Philippines</t>
        </is>
      </c>
      <c r="B373" s="10" t="n">
        <v>2011</v>
      </c>
      <c r="C373" s="10" t="n">
        <v>2</v>
      </c>
      <c r="D373" s="6" t="inlineStr">
        <is>
          <t>2011 Q2</t>
        </is>
      </c>
      <c r="E373" s="8" t="n">
        <v>82.5969566666667</v>
      </c>
      <c r="F373" s="10" t="n">
        <v>4.94307729427128</v>
      </c>
      <c r="G373" s="10" t="n">
        <v>1.31367132405085</v>
      </c>
      <c r="H373" s="8" t="n">
        <v>3.47426100666831</v>
      </c>
      <c r="I373" s="8" t="n">
        <v>6.03305373017807</v>
      </c>
      <c r="J373" s="8" t="n">
        <v>100.972463939737</v>
      </c>
      <c r="K373" s="8" t="n">
        <v>-0.239441932931761</v>
      </c>
      <c r="L373" s="8" t="n">
        <v>122.00081812372</v>
      </c>
      <c r="M373" s="8" t="n">
        <v>26.4277329152819</v>
      </c>
      <c r="N373" s="8" t="n">
        <v>0.0933333333333333</v>
      </c>
      <c r="O373" s="8" t="n">
        <v>-0.0633333333333333</v>
      </c>
      <c r="P373" s="8" t="n">
        <v>117.36</v>
      </c>
      <c r="Q373" s="8" t="n">
        <v>49.4841421474971</v>
      </c>
      <c r="R373" s="10" t="n">
        <v>0</v>
      </c>
      <c r="S373" s="7" t="inlineStr">
        <is>
          <t>High_Quality_Observed</t>
        </is>
      </c>
    </row>
    <row r="374" ht="19" customHeight="1">
      <c r="A374" s="7" t="inlineStr">
        <is>
          <t>Philippines</t>
        </is>
      </c>
      <c r="B374" s="10" t="n">
        <v>2011</v>
      </c>
      <c r="C374" s="10" t="n">
        <v>3</v>
      </c>
      <c r="D374" s="6" t="inlineStr">
        <is>
          <t>2011 Q3</t>
        </is>
      </c>
      <c r="E374" s="8" t="n">
        <v>83.05595333333331</v>
      </c>
      <c r="F374" s="10" t="n">
        <v>4.74090663770983</v>
      </c>
      <c r="G374" s="10" t="n">
        <v>0.555706511704801</v>
      </c>
      <c r="H374" s="8" t="n">
        <v>3.44639121433446</v>
      </c>
      <c r="I374" s="8" t="n">
        <v>4.49024556412905</v>
      </c>
      <c r="J374" s="8" t="n">
        <v>101.694659637526</v>
      </c>
      <c r="K374" s="8" t="n">
        <v>1.42410464115912</v>
      </c>
      <c r="L374" s="8" t="n">
        <v>118.888757234176</v>
      </c>
      <c r="M374" s="8" t="n">
        <v>10.7415351817278</v>
      </c>
      <c r="N374" s="8" t="n">
        <v>0.0833333333333333</v>
      </c>
      <c r="O374" s="8" t="n">
        <v>-0.01</v>
      </c>
      <c r="P374" s="8" t="n">
        <v>113.34</v>
      </c>
      <c r="Q374" s="8" t="n">
        <v>47.5397032022911</v>
      </c>
      <c r="R374" s="10" t="n">
        <v>0</v>
      </c>
      <c r="S374" s="7" t="inlineStr">
        <is>
          <t>High_Quality_Observed</t>
        </is>
      </c>
    </row>
    <row r="375" ht="19" customHeight="1">
      <c r="A375" s="7" t="inlineStr">
        <is>
          <t>Philippines</t>
        </is>
      </c>
      <c r="B375" s="10" t="n">
        <v>2011</v>
      </c>
      <c r="C375" s="10" t="n">
        <v>4</v>
      </c>
      <c r="D375" s="6" t="inlineStr">
        <is>
          <t>2011 Q4</t>
        </is>
      </c>
      <c r="E375" s="8" t="n">
        <v>83.64608333333329</v>
      </c>
      <c r="F375" s="10" t="n">
        <v>4.67724153063274</v>
      </c>
      <c r="G375" s="10" t="n">
        <v>0.710521011819099</v>
      </c>
      <c r="H375" s="8" t="n">
        <v>4.21433484290933</v>
      </c>
      <c r="I375" s="8" t="n">
        <v>3.03763685811319</v>
      </c>
      <c r="J375" s="8" t="n">
        <v>102.650924522399</v>
      </c>
      <c r="K375" s="8" t="n">
        <v>1.28251164522366</v>
      </c>
      <c r="L375" s="8" t="n">
        <v>112.174119298219</v>
      </c>
      <c r="M375" s="8" t="n">
        <v>-9.978929124887189</v>
      </c>
      <c r="N375" s="8" t="n">
        <v>0.07333333333333331</v>
      </c>
      <c r="O375" s="8" t="n">
        <v>-0.01</v>
      </c>
      <c r="P375" s="8" t="n">
        <v>109.396666666667</v>
      </c>
      <c r="Q375" s="8" t="n">
        <v>26.5188897455667</v>
      </c>
      <c r="R375" s="10" t="n">
        <v>0</v>
      </c>
      <c r="S375" s="7" t="inlineStr">
        <is>
          <t>High_Quality_Observed</t>
        </is>
      </c>
    </row>
    <row r="376" ht="19" customHeight="1">
      <c r="A376" s="7" t="inlineStr">
        <is>
          <t>Philippines</t>
        </is>
      </c>
      <c r="B376" s="10" t="n">
        <v>2012</v>
      </c>
      <c r="C376" s="10" t="n">
        <v>1</v>
      </c>
      <c r="D376" s="6" t="inlineStr">
        <is>
          <t>2012 Q1</t>
        </is>
      </c>
      <c r="E376" s="8" t="n">
        <v>84.10937666666671</v>
      </c>
      <c r="F376" s="10" t="n">
        <v>3.16881016896375</v>
      </c>
      <c r="G376" s="10" t="n">
        <v>0.5538733134546</v>
      </c>
      <c r="H376" s="8" t="n">
        <v>5.77809266039515</v>
      </c>
      <c r="I376" s="8" t="n">
        <v>1.67522615933651</v>
      </c>
      <c r="J376" s="8" t="n">
        <v>103.771190580842</v>
      </c>
      <c r="K376" s="8" t="n">
        <v>2.62971983487692</v>
      </c>
      <c r="L376" s="8" t="n">
        <v>112.921025549072</v>
      </c>
      <c r="M376" s="8" t="n">
        <v>-7.3475700482622</v>
      </c>
      <c r="N376" s="8" t="n">
        <v>0.103333333333333</v>
      </c>
      <c r="O376" s="8" t="n">
        <v>0.03</v>
      </c>
      <c r="P376" s="8" t="n">
        <v>118.49</v>
      </c>
      <c r="Q376" s="8" t="n">
        <v>12.890625</v>
      </c>
      <c r="R376" s="10" t="n">
        <v>0</v>
      </c>
      <c r="S376" s="7" t="inlineStr">
        <is>
          <t>High_Quality_Observed</t>
        </is>
      </c>
    </row>
    <row r="377" ht="19" customHeight="1">
      <c r="A377" s="7" t="inlineStr">
        <is>
          <t>Philippines</t>
        </is>
      </c>
      <c r="B377" s="10" t="n">
        <v>2012</v>
      </c>
      <c r="C377" s="10" t="n">
        <v>2</v>
      </c>
      <c r="D377" s="6" t="inlineStr">
        <is>
          <t>2012 Q2</t>
        </is>
      </c>
      <c r="E377" s="8" t="n">
        <v>84.90447</v>
      </c>
      <c r="F377" s="10" t="n">
        <v>2.79370260897829</v>
      </c>
      <c r="G377" s="10" t="n">
        <v>0.945308792959398</v>
      </c>
      <c r="H377" s="8" t="n">
        <v>6.85113892000843</v>
      </c>
      <c r="I377" s="8" t="n">
        <v>3.25128882703777</v>
      </c>
      <c r="J377" s="8" t="n">
        <v>105.988746703542</v>
      </c>
      <c r="K377" s="8" t="n">
        <v>4.96797103693472</v>
      </c>
      <c r="L377" s="8" t="n">
        <v>108.674540730789</v>
      </c>
      <c r="M377" s="8" t="n">
        <v>-10.9231049413272</v>
      </c>
      <c r="N377" s="8" t="n">
        <v>0.153333333333333</v>
      </c>
      <c r="O377" s="8" t="n">
        <v>0.05</v>
      </c>
      <c r="P377" s="8" t="n">
        <v>108.416666666667</v>
      </c>
      <c r="Q377" s="8" t="n">
        <v>-7.6204271756419</v>
      </c>
      <c r="R377" s="10" t="n">
        <v>0</v>
      </c>
      <c r="S377" s="7" t="inlineStr">
        <is>
          <t>High_Quality_Observed</t>
        </is>
      </c>
    </row>
    <row r="378" ht="19" customHeight="1">
      <c r="A378" s="7" t="inlineStr">
        <is>
          <t>Philippines</t>
        </is>
      </c>
      <c r="B378" s="10" t="n">
        <v>2012</v>
      </c>
      <c r="C378" s="10" t="n">
        <v>3</v>
      </c>
      <c r="D378" s="6" t="inlineStr">
        <is>
          <t>2012 Q3</t>
        </is>
      </c>
      <c r="E378" s="8" t="n">
        <v>85.81314999999999</v>
      </c>
      <c r="F378" s="10" t="n">
        <v>3.31968577327748</v>
      </c>
      <c r="G378" s="10" t="n">
        <v>1.07023811584948</v>
      </c>
      <c r="H378" s="8" t="n">
        <v>7.43347469473528</v>
      </c>
      <c r="I378" s="8" t="n">
        <v>7.7658264370602</v>
      </c>
      <c r="J378" s="8" t="n">
        <v>108.929675789631</v>
      </c>
      <c r="K378" s="8" t="n">
        <v>7.11445043219907</v>
      </c>
      <c r="L378" s="8" t="n">
        <v>112.021404013206</v>
      </c>
      <c r="M378" s="8" t="n">
        <v>-5.77628480668088</v>
      </c>
      <c r="N378" s="8" t="n">
        <v>0.143333333333333</v>
      </c>
      <c r="O378" s="8" t="n">
        <v>-0.01</v>
      </c>
      <c r="P378" s="8" t="n">
        <v>109.613333333333</v>
      </c>
      <c r="Q378" s="8" t="n">
        <v>-3.28804187988943</v>
      </c>
      <c r="R378" s="10" t="n">
        <v>0</v>
      </c>
      <c r="S378" s="7" t="inlineStr">
        <is>
          <t>High_Quality_Observed</t>
        </is>
      </c>
    </row>
    <row r="379" ht="19" customHeight="1">
      <c r="A379" s="7" t="inlineStr">
        <is>
          <t>Philippines</t>
        </is>
      </c>
      <c r="B379" s="10" t="n">
        <v>2012</v>
      </c>
      <c r="C379" s="10" t="n">
        <v>4</v>
      </c>
      <c r="D379" s="6" t="inlineStr">
        <is>
          <t>2012 Q4</t>
        </is>
      </c>
      <c r="E379" s="8" t="n">
        <v>86.0119233333333</v>
      </c>
      <c r="F379" s="10" t="n">
        <v>2.82839304091742</v>
      </c>
      <c r="G379" s="10" t="n">
        <v>0.231635050494394</v>
      </c>
      <c r="H379" s="8" t="n">
        <v>7.52510056694628</v>
      </c>
      <c r="I379" s="8" t="n">
        <v>15.2188435038675</v>
      </c>
      <c r="J379" s="8" t="n">
        <v>110.029806602123</v>
      </c>
      <c r="K379" s="8" t="n">
        <v>7.18832500930264</v>
      </c>
      <c r="L379" s="8" t="n">
        <v>112.043606667623</v>
      </c>
      <c r="M379" s="8" t="n">
        <v>-0.116348255206267</v>
      </c>
      <c r="N379" s="8" t="n">
        <v>0.16</v>
      </c>
      <c r="O379" s="8" t="n">
        <v>0.0166666666666667</v>
      </c>
      <c r="P379" s="8" t="n">
        <v>110.086666666667</v>
      </c>
      <c r="Q379" s="8" t="n">
        <v>0.630732197812245</v>
      </c>
      <c r="R379" s="10" t="n">
        <v>0</v>
      </c>
      <c r="S379" s="7" t="inlineStr">
        <is>
          <t>High_Quality_Observed</t>
        </is>
      </c>
    </row>
    <row r="380" ht="19" customHeight="1">
      <c r="A380" s="7" t="inlineStr">
        <is>
          <t>Philippines</t>
        </is>
      </c>
      <c r="B380" s="10" t="n">
        <v>2013</v>
      </c>
      <c r="C380" s="10" t="n">
        <v>1</v>
      </c>
      <c r="D380" s="6" t="inlineStr">
        <is>
          <t>2013 Q1</t>
        </is>
      </c>
      <c r="E380" s="8" t="n">
        <v>86.4946566666667</v>
      </c>
      <c r="F380" s="10" t="n">
        <v>2.83592637887817</v>
      </c>
      <c r="G380" s="10" t="n">
        <v>0.5612400172270831</v>
      </c>
      <c r="H380" s="8" t="n">
        <v>7.12601662831203</v>
      </c>
      <c r="I380" s="8" t="n">
        <v>25.6103474807105</v>
      </c>
      <c r="J380" s="8" t="n">
        <v>113.957722079632</v>
      </c>
      <c r="K380" s="8" t="n">
        <v>9.81633865986602</v>
      </c>
      <c r="L380" s="8" t="n">
        <v>112.344264317549</v>
      </c>
      <c r="M380" s="8" t="n">
        <v>-0.510765137598079</v>
      </c>
      <c r="N380" s="8" t="n">
        <v>0.143333333333333</v>
      </c>
      <c r="O380" s="8" t="n">
        <v>-0.0166666666666667</v>
      </c>
      <c r="P380" s="8" t="n">
        <v>112.493333333333</v>
      </c>
      <c r="Q380" s="8" t="n">
        <v>-5.06090528033308</v>
      </c>
      <c r="R380" s="10" t="n">
        <v>0</v>
      </c>
      <c r="S380" s="7" t="inlineStr">
        <is>
          <t>High_Quality_Observed</t>
        </is>
      </c>
    </row>
    <row r="381" ht="19" customHeight="1">
      <c r="A381" s="7" t="inlineStr">
        <is>
          <t>Philippines</t>
        </is>
      </c>
      <c r="B381" s="10" t="n">
        <v>2013</v>
      </c>
      <c r="C381" s="10" t="n">
        <v>2</v>
      </c>
      <c r="D381" s="6" t="inlineStr">
        <is>
          <t>2013 Q2</t>
        </is>
      </c>
      <c r="E381" s="8" t="n">
        <v>86.89219666666671</v>
      </c>
      <c r="F381" s="10" t="n">
        <v>2.34113311898261</v>
      </c>
      <c r="G381" s="10" t="n">
        <v>0.459612206488114</v>
      </c>
      <c r="H381" s="8" t="n">
        <v>6.81618906807903</v>
      </c>
      <c r="I381" s="8" t="n">
        <v>31.2546087522171</v>
      </c>
      <c r="J381" s="8" t="n">
        <v>113.565751094366</v>
      </c>
      <c r="K381" s="8" t="n">
        <v>7.14887629723286</v>
      </c>
      <c r="L381" s="8" t="n">
        <v>111.205746192615</v>
      </c>
      <c r="M381" s="8" t="n">
        <v>2.32916140689856</v>
      </c>
      <c r="N381" s="8" t="n">
        <v>0.116666666666667</v>
      </c>
      <c r="O381" s="8" t="n">
        <v>-0.0266666666666667</v>
      </c>
      <c r="P381" s="8" t="n">
        <v>102.576666666667</v>
      </c>
      <c r="Q381" s="8" t="n">
        <v>-5.38662567255957</v>
      </c>
      <c r="R381" s="10" t="n">
        <v>0</v>
      </c>
      <c r="S381" s="7" t="inlineStr">
        <is>
          <t>High_Quality_Observed</t>
        </is>
      </c>
    </row>
    <row r="382" ht="19" customHeight="1">
      <c r="A382" s="7" t="inlineStr">
        <is>
          <t>Philippines</t>
        </is>
      </c>
      <c r="B382" s="10" t="n">
        <v>2013</v>
      </c>
      <c r="C382" s="10" t="n">
        <v>3</v>
      </c>
      <c r="D382" s="6" t="inlineStr">
        <is>
          <t>2013 Q3</t>
        </is>
      </c>
      <c r="E382" s="8" t="n">
        <v>87.65889666666671</v>
      </c>
      <c r="F382" s="10" t="n">
        <v>2.15089023846191</v>
      </c>
      <c r="G382" s="10" t="n">
        <v>0.882357713824633</v>
      </c>
      <c r="H382" s="8" t="n">
        <v>6.59561757646345</v>
      </c>
      <c r="I382" s="8" t="n">
        <v>32.1516329624815</v>
      </c>
      <c r="J382" s="8" t="n">
        <v>109.356093276046</v>
      </c>
      <c r="K382" s="8" t="n">
        <v>0.39146126464038</v>
      </c>
      <c r="L382" s="8" t="n">
        <v>106.517639660823</v>
      </c>
      <c r="M382" s="8" t="n">
        <v>-4.91313637859304</v>
      </c>
      <c r="N382" s="8" t="n">
        <v>0.0833333333333333</v>
      </c>
      <c r="O382" s="8" t="n">
        <v>-0.0333333333333333</v>
      </c>
      <c r="P382" s="8" t="n">
        <v>110.27</v>
      </c>
      <c r="Q382" s="8" t="n">
        <v>0.599075538255689</v>
      </c>
      <c r="R382" s="10" t="n">
        <v>0</v>
      </c>
      <c r="S382" s="7" t="inlineStr">
        <is>
          <t>High_Quality_Observed</t>
        </is>
      </c>
    </row>
    <row r="383" ht="19" customHeight="1">
      <c r="A383" s="7" t="inlineStr">
        <is>
          <t>Philippines</t>
        </is>
      </c>
      <c r="B383" s="10" t="n">
        <v>2013</v>
      </c>
      <c r="C383" s="10" t="n">
        <v>4</v>
      </c>
      <c r="D383" s="6" t="inlineStr">
        <is>
          <t>2013 Q4</t>
        </is>
      </c>
      <c r="E383" s="8" t="n">
        <v>88.59596999999999</v>
      </c>
      <c r="F383" s="10" t="n">
        <v>3.00428890149609</v>
      </c>
      <c r="G383" s="10" t="n">
        <v>1.06899968966832</v>
      </c>
      <c r="H383" s="8" t="n">
        <v>6.46430193288341</v>
      </c>
      <c r="I383" s="8" t="n">
        <v>28.3014210086835</v>
      </c>
      <c r="J383" s="8" t="n">
        <v>109.702483584236</v>
      </c>
      <c r="K383" s="8" t="n">
        <v>-0.29748577044233</v>
      </c>
      <c r="L383" s="8" t="n">
        <v>108.042368791302</v>
      </c>
      <c r="M383" s="8" t="n">
        <v>-3.57114341043118</v>
      </c>
      <c r="N383" s="8" t="n">
        <v>0.0866666666666667</v>
      </c>
      <c r="O383" s="8" t="n">
        <v>0.0033333333333333</v>
      </c>
      <c r="P383" s="8" t="n">
        <v>109.21</v>
      </c>
      <c r="Q383" s="8" t="n">
        <v>-0.796342275782702</v>
      </c>
      <c r="R383" s="10" t="n">
        <v>0</v>
      </c>
      <c r="S383" s="7" t="inlineStr">
        <is>
          <t>High_Quality_Observed</t>
        </is>
      </c>
    </row>
    <row r="384" ht="19" customHeight="1">
      <c r="A384" s="7" t="inlineStr">
        <is>
          <t>Philippines</t>
        </is>
      </c>
      <c r="B384" s="10" t="n">
        <v>2014</v>
      </c>
      <c r="C384" s="10" t="n">
        <v>1</v>
      </c>
      <c r="D384" s="6" t="inlineStr">
        <is>
          <t>2014 Q1</t>
        </is>
      </c>
      <c r="E384" s="8" t="n">
        <v>89.64662666666671</v>
      </c>
      <c r="F384" s="10" t="n">
        <v>3.64412106073448</v>
      </c>
      <c r="G384" s="10" t="n">
        <v>1.18589667980007</v>
      </c>
      <c r="H384" s="8" t="n">
        <v>6.42224200607535</v>
      </c>
      <c r="I384" s="8" t="n">
        <v>19.7039690406712</v>
      </c>
      <c r="J384" s="8" t="n">
        <v>108.294595686665</v>
      </c>
      <c r="K384" s="8" t="n">
        <v>-4.96949771337975</v>
      </c>
      <c r="L384" s="8" t="n">
        <v>109.985285302654</v>
      </c>
      <c r="M384" s="8" t="n">
        <v>-2.09977699282194</v>
      </c>
      <c r="N384" s="8" t="n">
        <v>0.07333333333333331</v>
      </c>
      <c r="O384" s="8" t="n">
        <v>-0.0133333333333333</v>
      </c>
      <c r="P384" s="8" t="n">
        <v>108.166666666667</v>
      </c>
      <c r="Q384" s="8" t="n">
        <v>-3.84615384615383</v>
      </c>
      <c r="R384" s="10" t="n">
        <v>0</v>
      </c>
      <c r="S384" s="7" t="inlineStr">
        <is>
          <t>High_Quality_Observed</t>
        </is>
      </c>
    </row>
    <row r="385" ht="19" customHeight="1">
      <c r="A385" s="7" t="inlineStr">
        <is>
          <t>Philippines</t>
        </is>
      </c>
      <c r="B385" s="10" t="n">
        <v>2014</v>
      </c>
      <c r="C385" s="10" t="n">
        <v>2</v>
      </c>
      <c r="D385" s="6" t="inlineStr">
        <is>
          <t>2014 Q2</t>
        </is>
      </c>
      <c r="E385" s="8" t="n">
        <v>90.21454666666671</v>
      </c>
      <c r="F385" s="10" t="n">
        <v>3.82353091238457</v>
      </c>
      <c r="G385" s="10" t="n">
        <v>0.633509615606287</v>
      </c>
      <c r="H385" s="8" t="n">
        <v>6.37571624965709</v>
      </c>
      <c r="I385" s="8" t="n">
        <v>13.3584037785519</v>
      </c>
      <c r="J385" s="8" t="n">
        <v>109.279011152696</v>
      </c>
      <c r="K385" s="8" t="n">
        <v>-3.77467669641733</v>
      </c>
      <c r="L385" s="8" t="n">
        <v>111.498689744988</v>
      </c>
      <c r="M385" s="8" t="n">
        <v>0.26342483406061</v>
      </c>
      <c r="N385" s="8" t="n">
        <v>0.0933333333333333</v>
      </c>
      <c r="O385" s="8" t="n">
        <v>0.02</v>
      </c>
      <c r="P385" s="8" t="n">
        <v>109.7</v>
      </c>
      <c r="Q385" s="8" t="n">
        <v>6.94439931108439</v>
      </c>
      <c r="R385" s="10" t="n">
        <v>0</v>
      </c>
      <c r="S385" s="7" t="inlineStr">
        <is>
          <t>High_Quality_Observed</t>
        </is>
      </c>
    </row>
    <row r="386" ht="19" customHeight="1">
      <c r="A386" s="7" t="inlineStr">
        <is>
          <t>Philippines</t>
        </is>
      </c>
      <c r="B386" s="10" t="n">
        <v>2014</v>
      </c>
      <c r="C386" s="10" t="n">
        <v>3</v>
      </c>
      <c r="D386" s="6" t="inlineStr">
        <is>
          <t>2014 Q3</t>
        </is>
      </c>
      <c r="E386" s="8" t="n">
        <v>91.23681000000001</v>
      </c>
      <c r="F386" s="10" t="n">
        <v>4.08163172180775</v>
      </c>
      <c r="G386" s="10" t="n">
        <v>1.13314689382689</v>
      </c>
      <c r="H386" s="8" t="n">
        <v>6.32472461717987</v>
      </c>
      <c r="I386" s="8" t="n">
        <v>9.26471887694813</v>
      </c>
      <c r="J386" s="8" t="n">
        <v>112.106860096163</v>
      </c>
      <c r="K386" s="8" t="n">
        <v>2.51542162646006</v>
      </c>
      <c r="L386" s="8" t="n">
        <v>104.211407968198</v>
      </c>
      <c r="M386" s="8" t="n">
        <v>-2.16511715802957</v>
      </c>
      <c r="N386" s="8" t="n">
        <v>0.09</v>
      </c>
      <c r="O386" s="8" t="n">
        <v>-0.0033333333333333</v>
      </c>
      <c r="P386" s="8" t="n">
        <v>101.823333333333</v>
      </c>
      <c r="Q386" s="8" t="n">
        <v>-7.65998609473715</v>
      </c>
      <c r="R386" s="10" t="n">
        <v>0</v>
      </c>
      <c r="S386" s="7" t="inlineStr">
        <is>
          <t>High_Quality_Observed</t>
        </is>
      </c>
    </row>
    <row r="387" ht="19" customHeight="1">
      <c r="A387" s="7" t="inlineStr">
        <is>
          <t>Philippines</t>
        </is>
      </c>
      <c r="B387" s="10" t="n">
        <v>2014</v>
      </c>
      <c r="C387" s="10" t="n">
        <v>4</v>
      </c>
      <c r="D387" s="6" t="inlineStr">
        <is>
          <t>2014 Q4</t>
        </is>
      </c>
      <c r="E387" s="8" t="n">
        <v>91.1232266666667</v>
      </c>
      <c r="F387" s="10" t="n">
        <v>2.85256391082651</v>
      </c>
      <c r="G387" s="10" t="n">
        <v>-0.124492881034899</v>
      </c>
      <c r="H387" s="8" t="n">
        <v>6.26926705754471</v>
      </c>
      <c r="I387" s="8" t="n">
        <v>7.42291024209838</v>
      </c>
      <c r="J387" s="8" t="n">
        <v>114.175758055069</v>
      </c>
      <c r="K387" s="8" t="n">
        <v>4.07764193177831</v>
      </c>
      <c r="L387" s="8" t="n">
        <v>99.4046630544031</v>
      </c>
      <c r="M387" s="8" t="n">
        <v>-7.9947393171137</v>
      </c>
      <c r="N387" s="8" t="n">
        <v>0.1</v>
      </c>
      <c r="O387" s="8" t="n">
        <v>0.01</v>
      </c>
      <c r="P387" s="8" t="n">
        <v>76.40333333333329</v>
      </c>
      <c r="Q387" s="8" t="n">
        <v>-30.0399841284376</v>
      </c>
      <c r="R387" s="10" t="n">
        <v>0</v>
      </c>
      <c r="S387" s="7" t="inlineStr">
        <is>
          <t>High_Quality_Observed</t>
        </is>
      </c>
    </row>
    <row r="388" ht="19" customHeight="1">
      <c r="A388" s="7" t="inlineStr">
        <is>
          <t>Philippines</t>
        </is>
      </c>
      <c r="B388" s="10" t="n">
        <v>2015</v>
      </c>
      <c r="C388" s="10" t="n">
        <v>1</v>
      </c>
      <c r="D388" s="6" t="inlineStr">
        <is>
          <t>2015 Q1</t>
        </is>
      </c>
      <c r="E388" s="8" t="n">
        <v>91.00963666666669</v>
      </c>
      <c r="F388" s="10" t="n">
        <v>1.52042530843697</v>
      </c>
      <c r="G388" s="10" t="n">
        <v>-0.124655375095006</v>
      </c>
      <c r="H388" s="8" t="n">
        <v>6.20934351545893</v>
      </c>
      <c r="I388" s="8" t="n">
        <v>7.83297603206431</v>
      </c>
      <c r="J388" s="8" t="n">
        <v>119.573277887733</v>
      </c>
      <c r="K388" s="8" t="n">
        <v>10.4148153742602</v>
      </c>
      <c r="L388" s="8" t="n">
        <v>100.657732001964</v>
      </c>
      <c r="M388" s="8" t="n">
        <v>-8.4807283765489</v>
      </c>
      <c r="N388" s="8" t="n">
        <v>0.11</v>
      </c>
      <c r="O388" s="8" t="n">
        <v>0.01</v>
      </c>
      <c r="P388" s="8" t="n">
        <v>53.9166666666667</v>
      </c>
      <c r="Q388" s="8" t="n">
        <v>-50.1540832049307</v>
      </c>
      <c r="R388" s="10" t="n">
        <v>0</v>
      </c>
      <c r="S388" s="7" t="inlineStr">
        <is>
          <t>High_Quality_Observed</t>
        </is>
      </c>
    </row>
    <row r="389" ht="19" customHeight="1">
      <c r="A389" s="7" t="inlineStr">
        <is>
          <t>Philippines</t>
        </is>
      </c>
      <c r="B389" s="10" t="n">
        <v>2015</v>
      </c>
      <c r="C389" s="10" t="n">
        <v>2</v>
      </c>
      <c r="D389" s="6" t="inlineStr">
        <is>
          <t>2015 Q2</t>
        </is>
      </c>
      <c r="E389" s="8" t="n">
        <v>91.09482666666671</v>
      </c>
      <c r="F389" s="10" t="n">
        <v>0.97576281489562</v>
      </c>
      <c r="G389" s="10" t="n">
        <v>0.0936054720359181</v>
      </c>
      <c r="H389" s="8" t="n">
        <v>6.24096055411843</v>
      </c>
      <c r="I389" s="8" t="n">
        <v>8.542141393010031</v>
      </c>
      <c r="J389" s="8" t="n">
        <v>119.164682158279</v>
      </c>
      <c r="K389" s="8" t="n">
        <v>9.04626689179155</v>
      </c>
      <c r="L389" s="8" t="n">
        <v>96.8474817130345</v>
      </c>
      <c r="M389" s="8" t="n">
        <v>-13.1402513029193</v>
      </c>
      <c r="N389" s="8" t="n">
        <v>0.123333333333333</v>
      </c>
      <c r="O389" s="8" t="n">
        <v>0.0133333333333333</v>
      </c>
      <c r="P389" s="8" t="n">
        <v>61.6933333333333</v>
      </c>
      <c r="Q389" s="8" t="n">
        <v>-43.761774536615</v>
      </c>
      <c r="R389" s="10" t="n">
        <v>0</v>
      </c>
      <c r="S389" s="7" t="inlineStr">
        <is>
          <t>High_Quality_Observed</t>
        </is>
      </c>
    </row>
    <row r="390" ht="19" customHeight="1">
      <c r="A390" s="7" t="inlineStr">
        <is>
          <t>Philippines</t>
        </is>
      </c>
      <c r="B390" s="10" t="n">
        <v>2015</v>
      </c>
      <c r="C390" s="10" t="n">
        <v>3</v>
      </c>
      <c r="D390" s="6" t="inlineStr">
        <is>
          <t>2015 Q3</t>
        </is>
      </c>
      <c r="E390" s="8" t="n">
        <v>91.1800166666667</v>
      </c>
      <c r="F390" s="10" t="n">
        <v>-0.0622482672655189</v>
      </c>
      <c r="G390" s="10" t="n">
        <v>0.0935179341322367</v>
      </c>
      <c r="H390" s="8" t="n">
        <v>6.3641182053292</v>
      </c>
      <c r="I390" s="8" t="n">
        <v>9.55040703390908</v>
      </c>
      <c r="J390" s="8" t="n">
        <v>117.361133466409</v>
      </c>
      <c r="K390" s="8" t="n">
        <v>4.68684375402044</v>
      </c>
      <c r="L390" s="8" t="n">
        <v>92.7459060049042</v>
      </c>
      <c r="M390" s="8" t="n">
        <v>-11.002156277164</v>
      </c>
      <c r="N390" s="8" t="n">
        <v>0.136666666666667</v>
      </c>
      <c r="O390" s="8" t="n">
        <v>0.0133333333333333</v>
      </c>
      <c r="P390" s="8" t="n">
        <v>50.2333333333333</v>
      </c>
      <c r="Q390" s="8" t="n">
        <v>-50.666186532229</v>
      </c>
      <c r="R390" s="10" t="n">
        <v>0</v>
      </c>
      <c r="S390" s="7" t="inlineStr">
        <is>
          <t>High_Quality_Observed</t>
        </is>
      </c>
    </row>
    <row r="391" ht="19" customHeight="1">
      <c r="A391" s="7" t="inlineStr">
        <is>
          <t>Philippines</t>
        </is>
      </c>
      <c r="B391" s="10" t="n">
        <v>2015</v>
      </c>
      <c r="C391" s="10" t="n">
        <v>4</v>
      </c>
      <c r="D391" s="6" t="inlineStr">
        <is>
          <t>2015 Q4</t>
        </is>
      </c>
      <c r="E391" s="8" t="n">
        <v>91.37879</v>
      </c>
      <c r="F391" s="10" t="n">
        <v>0.280459047250581</v>
      </c>
      <c r="G391" s="10" t="n">
        <v>0.218000983768185</v>
      </c>
      <c r="H391" s="8" t="n">
        <v>6.57881659213823</v>
      </c>
      <c r="I391" s="8" t="n">
        <v>10.8577739629605</v>
      </c>
      <c r="J391" s="8" t="n">
        <v>116.499446602539</v>
      </c>
      <c r="K391" s="8" t="n">
        <v>2.03518556570439</v>
      </c>
      <c r="L391" s="8" t="n">
        <v>90.3005619231251</v>
      </c>
      <c r="M391" s="8" t="n">
        <v>-9.15862581446042</v>
      </c>
      <c r="N391" s="8" t="n">
        <v>0.16</v>
      </c>
      <c r="O391" s="8" t="n">
        <v>0.0233333333333333</v>
      </c>
      <c r="P391" s="8" t="n">
        <v>43.57</v>
      </c>
      <c r="Q391" s="8" t="n">
        <v>-42.9736922472842</v>
      </c>
      <c r="R391" s="10" t="n">
        <v>0</v>
      </c>
      <c r="S391" s="7" t="inlineStr">
        <is>
          <t>High_Quality_Observed</t>
        </is>
      </c>
    </row>
    <row r="392" ht="19" customHeight="1">
      <c r="A392" s="7" t="inlineStr">
        <is>
          <t>Philippines</t>
        </is>
      </c>
      <c r="B392" s="10" t="n">
        <v>2016</v>
      </c>
      <c r="C392" s="10" t="n">
        <v>1</v>
      </c>
      <c r="D392" s="6" t="inlineStr">
        <is>
          <t>2016 Q1</t>
        </is>
      </c>
      <c r="E392" s="8" t="n">
        <v>91.54917</v>
      </c>
      <c r="F392" s="10" t="n">
        <v>0.5928309936116259</v>
      </c>
      <c r="G392" s="10" t="n">
        <v>0.186454646641754</v>
      </c>
      <c r="H392" s="8" t="n">
        <v>6.88505592927916</v>
      </c>
      <c r="I392" s="8" t="n">
        <v>12.4642434874549</v>
      </c>
      <c r="J392" s="8" t="n">
        <v>115.148543653966</v>
      </c>
      <c r="K392" s="8" t="n">
        <v>-3.70043734848597</v>
      </c>
      <c r="L392" s="8" t="n">
        <v>91.66230580090431</v>
      </c>
      <c r="M392" s="8" t="n">
        <v>-8.936647013747329</v>
      </c>
      <c r="N392" s="8" t="n">
        <v>0.36</v>
      </c>
      <c r="O392" s="8" t="n">
        <v>0.2</v>
      </c>
      <c r="P392" s="8" t="n">
        <v>33.6966666666667</v>
      </c>
      <c r="Q392" s="8" t="n">
        <v>-37.5023183925811</v>
      </c>
      <c r="R392" s="10" t="n">
        <v>0</v>
      </c>
      <c r="S392" s="7" t="inlineStr">
        <is>
          <t>High_Quality_Observed</t>
        </is>
      </c>
    </row>
    <row r="393" ht="19" customHeight="1">
      <c r="A393" s="7" t="inlineStr">
        <is>
          <t>Philippines</t>
        </is>
      </c>
      <c r="B393" s="10" t="n">
        <v>2016</v>
      </c>
      <c r="C393" s="10" t="n">
        <v>2</v>
      </c>
      <c r="D393" s="6" t="inlineStr">
        <is>
          <t>2016 Q2</t>
        </is>
      </c>
      <c r="E393" s="8" t="n">
        <v>91.97511</v>
      </c>
      <c r="F393" s="10" t="n">
        <v>0.96633734927063</v>
      </c>
      <c r="G393" s="10" t="n">
        <v>0.465258177654704</v>
      </c>
      <c r="H393" s="8" t="n">
        <v>7.11331188609775</v>
      </c>
      <c r="I393" s="8" t="n">
        <v>13.4516426840826</v>
      </c>
      <c r="J393" s="8" t="n">
        <v>114.254709314013</v>
      </c>
      <c r="K393" s="8" t="n">
        <v>-4.12032554892806</v>
      </c>
      <c r="L393" s="8" t="n">
        <v>96.9846126235507</v>
      </c>
      <c r="M393" s="8" t="n">
        <v>0.141594709630688</v>
      </c>
      <c r="N393" s="8" t="n">
        <v>0.373333333333333</v>
      </c>
      <c r="O393" s="8" t="n">
        <v>0.0133333333333334</v>
      </c>
      <c r="P393" s="8" t="n">
        <v>45.5233333333333</v>
      </c>
      <c r="Q393" s="8" t="n">
        <v>-26.2102874432678</v>
      </c>
      <c r="R393" s="10" t="n">
        <v>0</v>
      </c>
      <c r="S393" s="7" t="inlineStr">
        <is>
          <t>High_Quality_Observed</t>
        </is>
      </c>
    </row>
    <row r="394" ht="19" customHeight="1">
      <c r="A394" s="7" t="inlineStr">
        <is>
          <t>Philippines</t>
        </is>
      </c>
      <c r="B394" s="10" t="n">
        <v>2016</v>
      </c>
      <c r="C394" s="10" t="n">
        <v>3</v>
      </c>
      <c r="D394" s="6" t="inlineStr">
        <is>
          <t>2016 Q3</t>
        </is>
      </c>
      <c r="E394" s="8" t="n">
        <v>92.48624</v>
      </c>
      <c r="F394" s="10" t="n">
        <v>1.43257632657448</v>
      </c>
      <c r="G394" s="10" t="n">
        <v>0.55572643511923</v>
      </c>
      <c r="H394" s="8" t="n">
        <v>7.26358469088395</v>
      </c>
      <c r="I394" s="8" t="n">
        <v>13.8199725400212</v>
      </c>
      <c r="J394" s="8" t="n">
        <v>112.248385286022</v>
      </c>
      <c r="K394" s="8" t="n">
        <v>-4.35642365523889</v>
      </c>
      <c r="L394" s="8" t="n">
        <v>100.864699533998</v>
      </c>
      <c r="M394" s="8" t="n">
        <v>8.75380259767431</v>
      </c>
      <c r="N394" s="8" t="n">
        <v>0.396666666666667</v>
      </c>
      <c r="O394" s="8" t="n">
        <v>0.0233333333333333</v>
      </c>
      <c r="P394" s="8" t="n">
        <v>45.7866666666667</v>
      </c>
      <c r="Q394" s="8" t="n">
        <v>-8.852023888520231</v>
      </c>
      <c r="R394" s="10" t="n">
        <v>0</v>
      </c>
      <c r="S394" s="7" t="inlineStr">
        <is>
          <t>High_Quality_Observed</t>
        </is>
      </c>
    </row>
    <row r="395" ht="19" customHeight="1">
      <c r="A395" s="7" t="inlineStr">
        <is>
          <t>Philippines</t>
        </is>
      </c>
      <c r="B395" s="10" t="n">
        <v>2016</v>
      </c>
      <c r="C395" s="10" t="n">
        <v>4</v>
      </c>
      <c r="D395" s="6" t="inlineStr">
        <is>
          <t>2016 Q4</t>
        </is>
      </c>
      <c r="E395" s="8" t="n">
        <v>93.22454</v>
      </c>
      <c r="F395" s="10" t="n">
        <v>2.01988886042375</v>
      </c>
      <c r="G395" s="10" t="n">
        <v>0.798280911841598</v>
      </c>
      <c r="H395" s="8" t="n">
        <v>7.33587449381779</v>
      </c>
      <c r="I395" s="8" t="n">
        <v>13.569233423506</v>
      </c>
      <c r="J395" s="8" t="n">
        <v>110.8957458723</v>
      </c>
      <c r="K395" s="8" t="n">
        <v>-4.81006639401248</v>
      </c>
      <c r="L395" s="8" t="n">
        <v>101.835604997953</v>
      </c>
      <c r="M395" s="8" t="n">
        <v>12.7740545896579</v>
      </c>
      <c r="N395" s="8" t="n">
        <v>0.45</v>
      </c>
      <c r="O395" s="8" t="n">
        <v>0.0533333333333333</v>
      </c>
      <c r="P395" s="8" t="n">
        <v>49.1866666666667</v>
      </c>
      <c r="Q395" s="8" t="n">
        <v>12.8911330426134</v>
      </c>
      <c r="R395" s="10" t="n">
        <v>0</v>
      </c>
      <c r="S395" s="7" t="inlineStr">
        <is>
          <t>High_Quality_Observed</t>
        </is>
      </c>
    </row>
    <row r="396" ht="19" customHeight="1">
      <c r="A396" s="7" t="inlineStr">
        <is>
          <t>Philippines</t>
        </is>
      </c>
      <c r="B396" s="10" t="n">
        <v>2017</v>
      </c>
      <c r="C396" s="10" t="n">
        <v>1</v>
      </c>
      <c r="D396" s="6" t="inlineStr">
        <is>
          <t>2017 Q1</t>
        </is>
      </c>
      <c r="E396" s="8" t="n">
        <v>94.1900066666667</v>
      </c>
      <c r="F396" s="10" t="n">
        <v>2.88461016813879</v>
      </c>
      <c r="G396" s="10" t="n">
        <v>1.03563575284646</v>
      </c>
      <c r="H396" s="8" t="n">
        <v>7.3301813672683</v>
      </c>
      <c r="I396" s="8" t="n">
        <v>12.6994250839868</v>
      </c>
      <c r="J396" s="8" t="n">
        <v>110.444236000095</v>
      </c>
      <c r="K396" s="8" t="n">
        <v>-4.0854252295267</v>
      </c>
      <c r="L396" s="8" t="n">
        <v>100.125779631695</v>
      </c>
      <c r="M396" s="8" t="n">
        <v>9.23331980015236</v>
      </c>
      <c r="N396" s="8" t="n">
        <v>0.7</v>
      </c>
      <c r="O396" s="8" t="n">
        <v>0.25</v>
      </c>
      <c r="P396" s="8" t="n">
        <v>53.68</v>
      </c>
      <c r="Q396" s="8" t="n">
        <v>59.30359085963</v>
      </c>
      <c r="R396" s="10" t="n">
        <v>0</v>
      </c>
      <c r="S396" s="7" t="inlineStr">
        <is>
          <t>High_Quality_Observed</t>
        </is>
      </c>
    </row>
    <row r="397" ht="19" customHeight="1">
      <c r="A397" s="7" t="inlineStr">
        <is>
          <t>Philippines</t>
        </is>
      </c>
      <c r="B397" s="10" t="n">
        <v>2017</v>
      </c>
      <c r="C397" s="10" t="n">
        <v>2</v>
      </c>
      <c r="D397" s="6" t="inlineStr">
        <is>
          <t>2017 Q2</t>
        </is>
      </c>
      <c r="E397" s="8" t="n">
        <v>94.5875566666667</v>
      </c>
      <c r="F397" s="10" t="n">
        <v>2.84038438950132</v>
      </c>
      <c r="G397" s="10" t="n">
        <v>0.422072376963434</v>
      </c>
      <c r="H397" s="8" t="n">
        <v>7.16822699664909</v>
      </c>
      <c r="I397" s="8" t="n">
        <v>11.8409821218418</v>
      </c>
      <c r="J397" s="8" t="n">
        <v>109.325690894706</v>
      </c>
      <c r="K397" s="8" t="n">
        <v>-4.31406149374564</v>
      </c>
      <c r="L397" s="8" t="n">
        <v>99.4605526807123</v>
      </c>
      <c r="M397" s="8" t="n">
        <v>2.55292049963849</v>
      </c>
      <c r="N397" s="8" t="n">
        <v>0.95</v>
      </c>
      <c r="O397" s="8" t="n">
        <v>0.25</v>
      </c>
      <c r="P397" s="8" t="n">
        <v>49.67</v>
      </c>
      <c r="Q397" s="8" t="n">
        <v>9.10888189207</v>
      </c>
      <c r="R397" s="10" t="n">
        <v>0</v>
      </c>
      <c r="S397" s="7" t="inlineStr">
        <is>
          <t>High_Quality_Observed</t>
        </is>
      </c>
    </row>
    <row r="398" ht="19" customHeight="1">
      <c r="A398" s="7" t="inlineStr">
        <is>
          <t>Philippines</t>
        </is>
      </c>
      <c r="B398" s="10" t="n">
        <v>2017</v>
      </c>
      <c r="C398" s="10" t="n">
        <v>3</v>
      </c>
      <c r="D398" s="6" t="inlineStr">
        <is>
          <t>2017 Q3</t>
        </is>
      </c>
      <c r="E398" s="8" t="n">
        <v>94.95670333333329</v>
      </c>
      <c r="F398" s="10" t="n">
        <v>2.67116852553779</v>
      </c>
      <c r="G398" s="10" t="n">
        <v>0.390269798349441</v>
      </c>
      <c r="H398" s="8" t="n">
        <v>6.85001122008377</v>
      </c>
      <c r="I398" s="8" t="n">
        <v>10.9939036785922</v>
      </c>
      <c r="J398" s="8" t="n">
        <v>105.439358264816</v>
      </c>
      <c r="K398" s="8" t="n">
        <v>-6.06603560831246</v>
      </c>
      <c r="L398" s="8" t="n">
        <v>102.480667511988</v>
      </c>
      <c r="M398" s="8" t="n">
        <v>1.60211450136303</v>
      </c>
      <c r="N398" s="8" t="n">
        <v>1.15333333333333</v>
      </c>
      <c r="O398" s="8" t="n">
        <v>0.203333333333333</v>
      </c>
      <c r="P398" s="8" t="n">
        <v>52.11</v>
      </c>
      <c r="Q398" s="8" t="n">
        <v>13.8104251601631</v>
      </c>
      <c r="R398" s="10" t="n">
        <v>0</v>
      </c>
      <c r="S398" s="7" t="inlineStr">
        <is>
          <t>High_Quality_Observed</t>
        </is>
      </c>
    </row>
    <row r="399" ht="19" customHeight="1">
      <c r="A399" s="7" t="inlineStr">
        <is>
          <t>Philippines</t>
        </is>
      </c>
      <c r="B399" s="10" t="n">
        <v>2017</v>
      </c>
      <c r="C399" s="10" t="n">
        <v>4</v>
      </c>
      <c r="D399" s="6" t="inlineStr">
        <is>
          <t>2017 Q4</t>
        </is>
      </c>
      <c r="E399" s="8" t="n">
        <v>96.03576</v>
      </c>
      <c r="F399" s="10" t="n">
        <v>3.01553646711477</v>
      </c>
      <c r="G399" s="10" t="n">
        <v>1.13636702706366</v>
      </c>
      <c r="H399" s="8" t="n">
        <v>6.37553371929144</v>
      </c>
      <c r="I399" s="8" t="n">
        <v>10.158188907206</v>
      </c>
      <c r="J399" s="8" t="n">
        <v>105.991399388192</v>
      </c>
      <c r="K399" s="8" t="n">
        <v>-4.42248387936899</v>
      </c>
      <c r="L399" s="8" t="n">
        <v>100.792675769869</v>
      </c>
      <c r="M399" s="8" t="n">
        <v>-1.0241302421728</v>
      </c>
      <c r="N399" s="8" t="n">
        <v>1.20333333333333</v>
      </c>
      <c r="O399" s="8" t="n">
        <v>0.05</v>
      </c>
      <c r="P399" s="8" t="n">
        <v>61.53</v>
      </c>
      <c r="Q399" s="8" t="n">
        <v>25.0948766603416</v>
      </c>
      <c r="R399" s="10" t="n">
        <v>0</v>
      </c>
      <c r="S399" s="7" t="inlineStr">
        <is>
          <t>High_Quality_Observed</t>
        </is>
      </c>
    </row>
    <row r="400" ht="19" customHeight="1">
      <c r="A400" s="7" t="inlineStr">
        <is>
          <t>Philippines</t>
        </is>
      </c>
      <c r="B400" s="10" t="n">
        <v>2018</v>
      </c>
      <c r="C400" s="10" t="n">
        <v>1</v>
      </c>
      <c r="D400" s="6" t="inlineStr">
        <is>
          <t>2018 Q1</t>
        </is>
      </c>
      <c r="E400" s="8" t="n">
        <v>97.8333333333333</v>
      </c>
      <c r="F400" s="10" t="n">
        <v>3.86806073765364</v>
      </c>
      <c r="G400" s="10" t="n">
        <v>1.87177498603994</v>
      </c>
      <c r="H400" s="8" t="n">
        <v>5.7447940197741</v>
      </c>
      <c r="I400" s="8" t="n">
        <v>9.33383697201984</v>
      </c>
      <c r="J400" s="8" t="n">
        <v>103.316353700286</v>
      </c>
      <c r="K400" s="8" t="n">
        <v>-6.45382915211801</v>
      </c>
      <c r="L400" s="8" t="n">
        <v>96.02404012089779</v>
      </c>
      <c r="M400" s="8" t="n">
        <v>-4.09658683895945</v>
      </c>
      <c r="N400" s="8" t="n">
        <v>1.44666666666667</v>
      </c>
      <c r="O400" s="8" t="n">
        <v>0.243333333333333</v>
      </c>
      <c r="P400" s="8" t="n">
        <v>66.8066666666667</v>
      </c>
      <c r="Q400" s="8" t="n">
        <v>24.4535519125683</v>
      </c>
      <c r="R400" s="10" t="n">
        <v>0</v>
      </c>
      <c r="S400" s="7" t="inlineStr">
        <is>
          <t>High_Quality_Observed</t>
        </is>
      </c>
    </row>
    <row r="401" ht="19" customHeight="1">
      <c r="A401" s="7" t="inlineStr">
        <is>
          <t>Philippines</t>
        </is>
      </c>
      <c r="B401" s="10" t="n">
        <v>2018</v>
      </c>
      <c r="C401" s="10" t="n">
        <v>2</v>
      </c>
      <c r="D401" s="6" t="inlineStr">
        <is>
          <t>2018 Q2</t>
        </is>
      </c>
      <c r="E401" s="8" t="n">
        <v>99.06666666666671</v>
      </c>
      <c r="F401" s="10" t="n">
        <v>4.73541146197982</v>
      </c>
      <c r="G401" s="10" t="n">
        <v>1.26064735945484</v>
      </c>
      <c r="H401" s="8" t="n">
        <v>5.73117470576752</v>
      </c>
      <c r="I401" s="8" t="n">
        <v>8.87021990274885</v>
      </c>
      <c r="J401" s="8" t="n">
        <v>103.917826323001</v>
      </c>
      <c r="K401" s="8" t="n">
        <v>-4.94656336259854</v>
      </c>
      <c r="L401" s="8" t="n">
        <v>96.1737638878632</v>
      </c>
      <c r="M401" s="8" t="n">
        <v>-3.30461545231933</v>
      </c>
      <c r="N401" s="8" t="n">
        <v>1.73666666666667</v>
      </c>
      <c r="O401" s="8" t="n">
        <v>0.29</v>
      </c>
      <c r="P401" s="8" t="n">
        <v>74.5</v>
      </c>
      <c r="Q401" s="8" t="n">
        <v>49.9899335615059</v>
      </c>
      <c r="R401" s="10" t="n">
        <v>0</v>
      </c>
      <c r="S401" s="7" t="inlineStr">
        <is>
          <t>High_Quality_Observed</t>
        </is>
      </c>
    </row>
    <row r="402" ht="19" customHeight="1">
      <c r="A402" s="7" t="inlineStr">
        <is>
          <t>Philippines</t>
        </is>
      </c>
      <c r="B402" s="10" t="n">
        <v>2018</v>
      </c>
      <c r="C402" s="10" t="n">
        <v>3</v>
      </c>
      <c r="D402" s="6" t="inlineStr">
        <is>
          <t>2018 Q3</t>
        </is>
      </c>
      <c r="E402" s="8" t="n">
        <v>101.133333333333</v>
      </c>
      <c r="F402" s="10" t="n">
        <v>6.50468032606157</v>
      </c>
      <c r="G402" s="10" t="n">
        <v>2.08613728129206</v>
      </c>
      <c r="H402" s="8" t="n">
        <v>6.33467576366091</v>
      </c>
      <c r="I402" s="8" t="n">
        <v>8.76733723592757</v>
      </c>
      <c r="J402" s="8" t="n">
        <v>105.656397829092</v>
      </c>
      <c r="K402" s="8" t="n">
        <v>0.205843024700059</v>
      </c>
      <c r="L402" s="8" t="n">
        <v>93.2694805076009</v>
      </c>
      <c r="M402" s="8" t="n">
        <v>-8.98821917149397</v>
      </c>
      <c r="N402" s="8" t="n">
        <v>1.92333333333333</v>
      </c>
      <c r="O402" s="8" t="n">
        <v>0.186666666666667</v>
      </c>
      <c r="P402" s="8" t="n">
        <v>75.2233333333333</v>
      </c>
      <c r="Q402" s="8" t="n">
        <v>44.3548902961683</v>
      </c>
      <c r="R402" s="10" t="n">
        <v>0</v>
      </c>
      <c r="S402" s="7" t="inlineStr">
        <is>
          <t>High_Quality_Observed</t>
        </is>
      </c>
    </row>
    <row r="403" ht="19" customHeight="1">
      <c r="A403" s="7" t="inlineStr">
        <is>
          <t>Philippines</t>
        </is>
      </c>
      <c r="B403" s="10" t="n">
        <v>2018</v>
      </c>
      <c r="C403" s="10" t="n">
        <v>4</v>
      </c>
      <c r="D403" s="6" t="inlineStr">
        <is>
          <t>2018 Q4</t>
        </is>
      </c>
      <c r="E403" s="8" t="n">
        <v>101.9</v>
      </c>
      <c r="F403" s="10" t="n">
        <v>6.10630873333018</v>
      </c>
      <c r="G403" s="10" t="n">
        <v>0.758075148319071</v>
      </c>
      <c r="H403" s="8" t="n">
        <v>7.55529779688665</v>
      </c>
      <c r="I403" s="8" t="n">
        <v>9.02518886846827</v>
      </c>
      <c r="J403" s="8" t="n">
        <v>107.798512242035</v>
      </c>
      <c r="K403" s="8" t="n">
        <v>1.70496178395103</v>
      </c>
      <c r="L403" s="8" t="n">
        <v>90.7369363173618</v>
      </c>
      <c r="M403" s="8" t="n">
        <v>-9.976656910534739</v>
      </c>
      <c r="N403" s="8" t="n">
        <v>2.22</v>
      </c>
      <c r="O403" s="8" t="n">
        <v>0.296666666666667</v>
      </c>
      <c r="P403" s="8" t="n">
        <v>67.7133333333333</v>
      </c>
      <c r="Q403" s="8" t="n">
        <v>10.0492984452029</v>
      </c>
      <c r="R403" s="10" t="n">
        <v>0</v>
      </c>
      <c r="S403" s="7" t="inlineStr">
        <is>
          <t>High_Quality_Observed</t>
        </is>
      </c>
    </row>
    <row r="404" ht="19" customHeight="1">
      <c r="A404" s="7" t="inlineStr">
        <is>
          <t>Philippines</t>
        </is>
      </c>
      <c r="B404" s="10" t="n">
        <v>2019</v>
      </c>
      <c r="C404" s="10" t="n">
        <v>1</v>
      </c>
      <c r="D404" s="6" t="inlineStr">
        <is>
          <t>2019 Q1</t>
        </is>
      </c>
      <c r="E404" s="8" t="n">
        <v>101.6</v>
      </c>
      <c r="F404" s="10" t="n">
        <v>3.85008517887562</v>
      </c>
      <c r="G404" s="10" t="n">
        <v>-0.294406280667336</v>
      </c>
      <c r="H404" s="8" t="n">
        <v>9.393042026169461</v>
      </c>
      <c r="I404" s="8" t="n">
        <v>9.643775058428499</v>
      </c>
      <c r="J404" s="8" t="n">
        <v>107.85960833404</v>
      </c>
      <c r="K404" s="8" t="n">
        <v>4.39742061255175</v>
      </c>
      <c r="L404" s="8" t="n">
        <v>93.8324987094736</v>
      </c>
      <c r="M404" s="8" t="n">
        <v>-2.2822841120463</v>
      </c>
      <c r="N404" s="8" t="n">
        <v>2.40333333333333</v>
      </c>
      <c r="O404" s="8" t="n">
        <v>0.183333333333333</v>
      </c>
      <c r="P404" s="8" t="n">
        <v>63.17</v>
      </c>
      <c r="Q404" s="8" t="n">
        <v>-5.4435685061371</v>
      </c>
      <c r="R404" s="10" t="n">
        <v>0</v>
      </c>
      <c r="S404" s="7" t="inlineStr">
        <is>
          <t>High_Quality_Observed</t>
        </is>
      </c>
    </row>
    <row r="405" ht="19" customHeight="1">
      <c r="A405" s="7" t="inlineStr">
        <is>
          <t>Philippines</t>
        </is>
      </c>
      <c r="B405" s="10" t="n">
        <v>2019</v>
      </c>
      <c r="C405" s="10" t="n">
        <v>2</v>
      </c>
      <c r="D405" s="6" t="inlineStr">
        <is>
          <t>2019 Q2</t>
        </is>
      </c>
      <c r="E405" s="8" t="n">
        <v>102.1</v>
      </c>
      <c r="F405" s="10" t="n">
        <v>3.06191117092867</v>
      </c>
      <c r="G405" s="10" t="n">
        <v>0.492125984251968</v>
      </c>
      <c r="H405" s="8" t="n">
        <v>8.81833370089133</v>
      </c>
      <c r="I405" s="8" t="n">
        <v>9.97126803198849</v>
      </c>
      <c r="J405" s="8" t="n">
        <v>109.349839833697</v>
      </c>
      <c r="K405" s="8" t="n">
        <v>5.22722010544454</v>
      </c>
      <c r="L405" s="8" t="n">
        <v>94.8842784155444</v>
      </c>
      <c r="M405" s="8" t="n">
        <v>-1.34078715461562</v>
      </c>
      <c r="N405" s="8" t="n">
        <v>2.39666666666667</v>
      </c>
      <c r="O405" s="8" t="n">
        <v>-0.0066666666666668</v>
      </c>
      <c r="P405" s="8" t="n">
        <v>68.9233333333333</v>
      </c>
      <c r="Q405" s="8" t="n">
        <v>-7.48545861297539</v>
      </c>
      <c r="R405" s="10" t="n">
        <v>0</v>
      </c>
      <c r="S405" s="7" t="inlineStr">
        <is>
          <t>High_Quality_Observed</t>
        </is>
      </c>
    </row>
    <row r="406" ht="19" customHeight="1">
      <c r="A406" s="7" t="inlineStr">
        <is>
          <t>Philippines</t>
        </is>
      </c>
      <c r="B406" s="10" t="n">
        <v>2019</v>
      </c>
      <c r="C406" s="10" t="n">
        <v>3</v>
      </c>
      <c r="D406" s="6" t="inlineStr">
        <is>
          <t>2019 Q3</t>
        </is>
      </c>
      <c r="E406" s="8" t="n">
        <v>102.5</v>
      </c>
      <c r="F406" s="10" t="n">
        <v>1.35135135135136</v>
      </c>
      <c r="G406" s="10" t="n">
        <v>0.391772771792365</v>
      </c>
      <c r="H406" s="8" t="n">
        <v>5.83117224635622</v>
      </c>
      <c r="I406" s="8" t="n">
        <v>10.0076681167767</v>
      </c>
      <c r="J406" s="8" t="n">
        <v>110.205446324817</v>
      </c>
      <c r="K406" s="8" t="n">
        <v>4.30551162938846</v>
      </c>
      <c r="L406" s="8" t="n">
        <v>94.5983508132319</v>
      </c>
      <c r="M406" s="8" t="n">
        <v>1.42476434777905</v>
      </c>
      <c r="N406" s="8" t="n">
        <v>2.19</v>
      </c>
      <c r="O406" s="8" t="n">
        <v>-0.206666666666667</v>
      </c>
      <c r="P406" s="8" t="n">
        <v>61.93</v>
      </c>
      <c r="Q406" s="8" t="n">
        <v>-17.6718216865334</v>
      </c>
      <c r="R406" s="10" t="n">
        <v>0</v>
      </c>
      <c r="S406" s="7" t="inlineStr">
        <is>
          <t>High_Quality_Observed</t>
        </is>
      </c>
    </row>
    <row r="407" ht="19" customHeight="1">
      <c r="A407" s="7" t="inlineStr">
        <is>
          <t>Philippines</t>
        </is>
      </c>
      <c r="B407" s="10" t="n">
        <v>2019</v>
      </c>
      <c r="C407" s="10" t="n">
        <v>4</v>
      </c>
      <c r="D407" s="6" t="inlineStr">
        <is>
          <t>2019 Q4</t>
        </is>
      </c>
      <c r="E407" s="8" t="n">
        <v>103.3</v>
      </c>
      <c r="F407" s="10" t="n">
        <v>1.37389597644748</v>
      </c>
      <c r="G407" s="10" t="n">
        <v>0.78048780487805</v>
      </c>
      <c r="H407" s="8" t="n">
        <v>0.431554675417957</v>
      </c>
      <c r="I407" s="8" t="n">
        <v>9.75297534904505</v>
      </c>
      <c r="J407" s="8" t="n">
        <v>112.010106760914</v>
      </c>
      <c r="K407" s="8" t="n">
        <v>3.9069133991595</v>
      </c>
      <c r="L407" s="8" t="n">
        <v>98.5900431134575</v>
      </c>
      <c r="M407" s="8" t="n">
        <v>8.654807088293911</v>
      </c>
      <c r="N407" s="8" t="n">
        <v>1.64333333333333</v>
      </c>
      <c r="O407" s="8" t="n">
        <v>-0.546666666666667</v>
      </c>
      <c r="P407" s="8" t="n">
        <v>63.41</v>
      </c>
      <c r="Q407" s="8" t="n">
        <v>-6.35522299891701</v>
      </c>
      <c r="R407" s="10" t="n">
        <v>0</v>
      </c>
      <c r="S407" s="7" t="inlineStr">
        <is>
          <t>High_Quality_Observed</t>
        </is>
      </c>
    </row>
    <row r="408" ht="19" customHeight="1">
      <c r="A408" s="7" t="inlineStr">
        <is>
          <t>Philippines</t>
        </is>
      </c>
      <c r="B408" s="10" t="n">
        <v>2020</v>
      </c>
      <c r="C408" s="10" t="n">
        <v>1</v>
      </c>
      <c r="D408" s="6" t="inlineStr">
        <is>
          <t>2020 Q1</t>
        </is>
      </c>
      <c r="E408" s="8" t="n">
        <v>104.166666666667</v>
      </c>
      <c r="F408" s="10" t="n">
        <v>2.52624671916011</v>
      </c>
      <c r="G408" s="10" t="n">
        <v>0.838980316231042</v>
      </c>
      <c r="H408" s="8" t="n">
        <v>-7.38052441148343</v>
      </c>
      <c r="I408" s="8" t="n">
        <v>9.20718947413255</v>
      </c>
      <c r="J408" s="8" t="n">
        <v>113.229849009035</v>
      </c>
      <c r="K408" s="8" t="n">
        <v>4.97891727769286</v>
      </c>
      <c r="L408" s="8" t="n">
        <v>101.264856657347</v>
      </c>
      <c r="M408" s="8" t="n">
        <v>7.92087821393919</v>
      </c>
      <c r="N408" s="8" t="n">
        <v>1.26</v>
      </c>
      <c r="O408" s="8" t="n">
        <v>-0.383333333333333</v>
      </c>
      <c r="P408" s="8" t="n">
        <v>50.44</v>
      </c>
      <c r="Q408" s="8" t="n">
        <v>-20.1519708722495</v>
      </c>
      <c r="R408" s="10" t="n">
        <v>0</v>
      </c>
      <c r="S408" s="7" t="inlineStr">
        <is>
          <t>High_Quality_Observed</t>
        </is>
      </c>
    </row>
    <row r="409" ht="19" customHeight="1">
      <c r="A409" s="7" t="inlineStr">
        <is>
          <t>Philippines</t>
        </is>
      </c>
      <c r="B409" s="10" t="n">
        <v>2020</v>
      </c>
      <c r="C409" s="10" t="n">
        <v>2</v>
      </c>
      <c r="D409" s="6" t="inlineStr">
        <is>
          <t>2020 Q2</t>
        </is>
      </c>
      <c r="E409" s="8" t="n">
        <v>104</v>
      </c>
      <c r="F409" s="10" t="n">
        <v>1.86092066601371</v>
      </c>
      <c r="G409" s="10" t="n">
        <v>-0.160000000000005</v>
      </c>
      <c r="H409" s="8" t="n">
        <v>-11.3604625711426</v>
      </c>
      <c r="I409" s="8" t="n">
        <v>8.76909236633</v>
      </c>
      <c r="J409" s="8" t="n">
        <v>116.106743958614</v>
      </c>
      <c r="K409" s="8" t="n">
        <v>6.17916234280025</v>
      </c>
      <c r="L409" s="8" t="n">
        <v>94.2610802411244</v>
      </c>
      <c r="M409" s="8" t="n">
        <v>-0.656798138560644</v>
      </c>
      <c r="N409" s="8" t="n">
        <v>0.06</v>
      </c>
      <c r="O409" s="8" t="n">
        <v>-1.2</v>
      </c>
      <c r="P409" s="8" t="n">
        <v>29.3433333333333</v>
      </c>
      <c r="Q409" s="8" t="n">
        <v>-57.426125646854</v>
      </c>
      <c r="R409" s="10" t="n">
        <v>0</v>
      </c>
      <c r="S409" s="7" t="inlineStr">
        <is>
          <t>High_Quality_Observed</t>
        </is>
      </c>
    </row>
    <row r="410" ht="19" customHeight="1">
      <c r="A410" s="7" t="inlineStr">
        <is>
          <t>Philippines</t>
        </is>
      </c>
      <c r="B410" s="10" t="n">
        <v>2020</v>
      </c>
      <c r="C410" s="10" t="n">
        <v>3</v>
      </c>
      <c r="D410" s="6" t="inlineStr">
        <is>
          <t>2020 Q3</t>
        </is>
      </c>
      <c r="E410" s="8" t="n">
        <v>104.866666666667</v>
      </c>
      <c r="F410" s="10" t="n">
        <v>2.3089430894309</v>
      </c>
      <c r="G410" s="10" t="n">
        <v>0.83333333333333</v>
      </c>
      <c r="H410" s="8" t="n">
        <v>-11.5082637832826</v>
      </c>
      <c r="I410" s="8" t="n">
        <v>8.43868358755595</v>
      </c>
      <c r="J410" s="8" t="n">
        <v>117.389398483989</v>
      </c>
      <c r="K410" s="8" t="n">
        <v>6.51869068067488</v>
      </c>
      <c r="L410" s="8" t="n">
        <v>97.88852553233011</v>
      </c>
      <c r="M410" s="8" t="n">
        <v>3.47804659469599</v>
      </c>
      <c r="N410" s="8" t="n">
        <v>0.0933333333333333</v>
      </c>
      <c r="O410" s="8" t="n">
        <v>0.0333333333333333</v>
      </c>
      <c r="P410" s="8" t="n">
        <v>42.9633333333333</v>
      </c>
      <c r="Q410" s="8" t="n">
        <v>-30.6259755638086</v>
      </c>
      <c r="R410" s="10" t="n">
        <v>0</v>
      </c>
      <c r="S410" s="7" t="inlineStr">
        <is>
          <t>High_Quality_Observed</t>
        </is>
      </c>
    </row>
    <row r="411" ht="19" customHeight="1">
      <c r="A411" s="7" t="inlineStr">
        <is>
          <t>Philippines</t>
        </is>
      </c>
      <c r="B411" s="10" t="n">
        <v>2020</v>
      </c>
      <c r="C411" s="10" t="n">
        <v>4</v>
      </c>
      <c r="D411" s="6" t="inlineStr">
        <is>
          <t>2020 Q4</t>
        </is>
      </c>
      <c r="E411" s="8" t="n">
        <v>106.266666666667</v>
      </c>
      <c r="F411" s="10" t="n">
        <v>2.87189415940625</v>
      </c>
      <c r="G411" s="10" t="n">
        <v>1.33502860775587</v>
      </c>
      <c r="H411" s="8" t="n">
        <v>-7.82392819590261</v>
      </c>
      <c r="I411" s="8" t="n">
        <v>8.215962807245401</v>
      </c>
      <c r="J411" s="8" t="n">
        <v>118.0878685987</v>
      </c>
      <c r="K411" s="8" t="n">
        <v>5.4260834254533</v>
      </c>
      <c r="L411" s="8" t="n">
        <v>107.405441783652</v>
      </c>
      <c r="M411" s="8" t="n">
        <v>8.9414695356711</v>
      </c>
      <c r="N411" s="8" t="n">
        <v>0.09</v>
      </c>
      <c r="O411" s="8" t="n">
        <v>-0.0033333333333333</v>
      </c>
      <c r="P411" s="8" t="n">
        <v>44.29</v>
      </c>
      <c r="Q411" s="8" t="n">
        <v>-30.152972717237</v>
      </c>
      <c r="R411" s="10" t="n">
        <v>0</v>
      </c>
      <c r="S411" s="7" t="inlineStr">
        <is>
          <t>High_Quality_Observed</t>
        </is>
      </c>
    </row>
    <row r="412" ht="19" customHeight="1">
      <c r="A412" s="7" t="inlineStr">
        <is>
          <t>Philippines</t>
        </is>
      </c>
      <c r="B412" s="10" t="n">
        <v>2021</v>
      </c>
      <c r="C412" s="10" t="n">
        <v>1</v>
      </c>
      <c r="D412" s="6" t="inlineStr">
        <is>
          <t>2021 Q1</t>
        </is>
      </c>
      <c r="E412" s="8" t="n">
        <v>108.366666666667</v>
      </c>
      <c r="F412" s="10" t="n">
        <v>4.03200000000001</v>
      </c>
      <c r="G412" s="10" t="n">
        <v>1.97616060225847</v>
      </c>
      <c r="H412" s="8" t="n">
        <v>-0.307452124571783</v>
      </c>
      <c r="I412" s="8" t="n">
        <v>8.10092980283471</v>
      </c>
      <c r="J412" s="8" t="n">
        <v>118.237204769565</v>
      </c>
      <c r="K412" s="8" t="n">
        <v>4.42229306525914</v>
      </c>
      <c r="L412" s="8" t="n">
        <v>106.418456967928</v>
      </c>
      <c r="M412" s="8" t="n">
        <v>5.08922886053087</v>
      </c>
      <c r="N412" s="8" t="n">
        <v>0.08</v>
      </c>
      <c r="O412" s="8" t="n">
        <v>-0.01</v>
      </c>
      <c r="P412" s="8" t="n">
        <v>60.82</v>
      </c>
      <c r="Q412" s="8" t="n">
        <v>20.578905630452</v>
      </c>
      <c r="R412" s="10" t="n">
        <v>0</v>
      </c>
      <c r="S412" s="7" t="inlineStr">
        <is>
          <t>High_Quality_Observed</t>
        </is>
      </c>
    </row>
    <row r="413" ht="19" customHeight="1">
      <c r="A413" s="7" t="inlineStr">
        <is>
          <t>Philippines</t>
        </is>
      </c>
      <c r="B413" s="10" t="n">
        <v>2021</v>
      </c>
      <c r="C413" s="10" t="n">
        <v>2</v>
      </c>
      <c r="D413" s="6" t="inlineStr">
        <is>
          <t>2021 Q2</t>
        </is>
      </c>
      <c r="E413" s="8" t="n">
        <v>108.166666666667</v>
      </c>
      <c r="F413" s="10" t="n">
        <v>4.00641025641024</v>
      </c>
      <c r="G413" s="10" t="n">
        <v>-0.184558597354678</v>
      </c>
      <c r="H413" s="8" t="n">
        <v>5.10800990892451</v>
      </c>
      <c r="I413" s="8" t="n">
        <v>8.006652098537501</v>
      </c>
      <c r="J413" s="8" t="n">
        <v>118.791551897302</v>
      </c>
      <c r="K413" s="8" t="n">
        <v>2.31236175191161</v>
      </c>
      <c r="L413" s="8" t="n">
        <v>114.551815876528</v>
      </c>
      <c r="M413" s="8" t="n">
        <v>21.5261013172124</v>
      </c>
      <c r="N413" s="8" t="n">
        <v>0.07000000000000001</v>
      </c>
      <c r="O413" s="8" t="n">
        <v>-0.01</v>
      </c>
      <c r="P413" s="8" t="n">
        <v>68.8333333333333</v>
      </c>
      <c r="Q413" s="8" t="n">
        <v>134.579120754288</v>
      </c>
      <c r="R413" s="10" t="n">
        <v>0</v>
      </c>
      <c r="S413" s="7" t="inlineStr">
        <is>
          <t>High_Quality_Observed</t>
        </is>
      </c>
    </row>
    <row r="414" ht="19" customHeight="1">
      <c r="A414" s="7" t="inlineStr">
        <is>
          <t>Philippines</t>
        </is>
      </c>
      <c r="B414" s="10" t="n">
        <v>2021</v>
      </c>
      <c r="C414" s="10" t="n">
        <v>3</v>
      </c>
      <c r="D414" s="6" t="inlineStr">
        <is>
          <t>2021 Q3</t>
        </is>
      </c>
      <c r="E414" s="8" t="n">
        <v>109.166666666667</v>
      </c>
      <c r="F414" s="10" t="n">
        <v>4.10044500953592</v>
      </c>
      <c r="G414" s="10" t="n">
        <v>0.924499229583997</v>
      </c>
      <c r="H414" s="8" t="n">
        <v>8.422463319961039</v>
      </c>
      <c r="I414" s="8" t="n">
        <v>7.93312960011009</v>
      </c>
      <c r="J414" s="8" t="n">
        <v>115.360624089267</v>
      </c>
      <c r="K414" s="8" t="n">
        <v>-1.72824328339899</v>
      </c>
      <c r="L414" s="8" t="n">
        <v>116.298331246585</v>
      </c>
      <c r="M414" s="8" t="n">
        <v>18.8069087915464</v>
      </c>
      <c r="N414" s="8" t="n">
        <v>0.09</v>
      </c>
      <c r="O414" s="8" t="n">
        <v>0.02</v>
      </c>
      <c r="P414" s="8" t="n">
        <v>73.47</v>
      </c>
      <c r="Q414" s="8" t="n">
        <v>71.0062844285825</v>
      </c>
      <c r="R414" s="10" t="n">
        <v>0</v>
      </c>
      <c r="S414" s="7" t="inlineStr">
        <is>
          <t>High_Quality_Observed</t>
        </is>
      </c>
    </row>
    <row r="415" ht="19" customHeight="1">
      <c r="A415" s="7" t="inlineStr">
        <is>
          <t>Philippines</t>
        </is>
      </c>
      <c r="B415" s="10" t="n">
        <v>2021</v>
      </c>
      <c r="C415" s="10" t="n">
        <v>4</v>
      </c>
      <c r="D415" s="6" t="inlineStr">
        <is>
          <t>2021 Q4</t>
        </is>
      </c>
      <c r="E415" s="8" t="n">
        <v>110.066666666667</v>
      </c>
      <c r="F415" s="10" t="n">
        <v>3.5759096612296</v>
      </c>
      <c r="G415" s="10" t="n">
        <v>0.824427480916023</v>
      </c>
      <c r="H415" s="8" t="n">
        <v>9.63591142311113</v>
      </c>
      <c r="I415" s="8" t="n">
        <v>7.8803622342374</v>
      </c>
      <c r="J415" s="8" t="n">
        <v>115.389025813295</v>
      </c>
      <c r="K415" s="8" t="n">
        <v>-2.28545304223964</v>
      </c>
      <c r="L415" s="8" t="n">
        <v>122.679602624024</v>
      </c>
      <c r="M415" s="8" t="n">
        <v>14.2210306914792</v>
      </c>
      <c r="N415" s="8" t="n">
        <v>0.08</v>
      </c>
      <c r="O415" s="8" t="n">
        <v>-0.01</v>
      </c>
      <c r="P415" s="8" t="n">
        <v>79.5866666666667</v>
      </c>
      <c r="Q415" s="8" t="n">
        <v>79.69443817265</v>
      </c>
      <c r="R415" s="10" t="n">
        <v>0</v>
      </c>
      <c r="S415" s="7" t="inlineStr">
        <is>
          <t>High_Quality_Observed</t>
        </is>
      </c>
    </row>
    <row r="416" ht="19" customHeight="1">
      <c r="A416" s="7" t="inlineStr">
        <is>
          <t>Philippines</t>
        </is>
      </c>
      <c r="B416" s="10" t="n">
        <v>2022</v>
      </c>
      <c r="C416" s="10" t="n">
        <v>1</v>
      </c>
      <c r="D416" s="6" t="inlineStr">
        <is>
          <t>2022 Q1</t>
        </is>
      </c>
      <c r="E416" s="8" t="n">
        <v>112</v>
      </c>
      <c r="F416" s="10" t="n">
        <v>3.35281451860965</v>
      </c>
      <c r="G416" s="10" t="n">
        <v>1.75651120533011</v>
      </c>
      <c r="H416" s="8" t="n">
        <v>8.74835543172903</v>
      </c>
      <c r="I416" s="8" t="n">
        <v>7.84834994775523</v>
      </c>
      <c r="J416" s="8" t="n">
        <v>113.611876175955</v>
      </c>
      <c r="K416" s="8" t="n">
        <v>-3.91190624188423</v>
      </c>
      <c r="L416" s="8" t="n">
        <v>124.25343875034</v>
      </c>
      <c r="M416" s="8" t="n">
        <v>16.7592937264516</v>
      </c>
      <c r="N416" s="8" t="n">
        <v>0.12</v>
      </c>
      <c r="O416" s="8" t="n">
        <v>0.04</v>
      </c>
      <c r="P416" s="8" t="n">
        <v>100.296666666667</v>
      </c>
      <c r="Q416" s="8" t="n">
        <v>64.9073769593335</v>
      </c>
      <c r="R416" s="10" t="n">
        <v>0</v>
      </c>
      <c r="S416" s="7" t="inlineStr">
        <is>
          <t>High_Quality_Observed</t>
        </is>
      </c>
    </row>
    <row r="417" ht="19" customHeight="1">
      <c r="A417" s="7" t="inlineStr">
        <is>
          <t>Philippines</t>
        </is>
      </c>
      <c r="B417" s="10" t="n">
        <v>2022</v>
      </c>
      <c r="C417" s="10" t="n">
        <v>2</v>
      </c>
      <c r="D417" s="6" t="inlineStr">
        <is>
          <t>2022 Q2</t>
        </is>
      </c>
      <c r="E417" s="8" t="n">
        <v>114.066666666667</v>
      </c>
      <c r="F417" s="10" t="n">
        <v>5.45454545454547</v>
      </c>
      <c r="G417" s="10" t="n">
        <v>1.84523809523811</v>
      </c>
      <c r="H417" s="8" t="n">
        <v>7.92638411806585</v>
      </c>
      <c r="I417" s="8" t="n">
        <v>7.82434076098381</v>
      </c>
      <c r="J417" s="8" t="n">
        <v>116.657711955883</v>
      </c>
      <c r="K417" s="8" t="n">
        <v>-1.79628930453217</v>
      </c>
      <c r="L417" s="8" t="n">
        <v>134.351432934678</v>
      </c>
      <c r="M417" s="8" t="n">
        <v>17.2844200736996</v>
      </c>
      <c r="N417" s="8" t="n">
        <v>0.77</v>
      </c>
      <c r="O417" s="8" t="n">
        <v>0.65</v>
      </c>
      <c r="P417" s="8" t="n">
        <v>113.543333333333</v>
      </c>
      <c r="Q417" s="8" t="n">
        <v>64.95399515738499</v>
      </c>
      <c r="R417" s="10" t="n">
        <v>0</v>
      </c>
      <c r="S417" s="7" t="inlineStr">
        <is>
          <t>High_Quality_Observed</t>
        </is>
      </c>
    </row>
    <row r="418" ht="19" customHeight="1">
      <c r="A418" s="7" t="inlineStr">
        <is>
          <t>Philippines</t>
        </is>
      </c>
      <c r="B418" s="10" t="n">
        <v>2022</v>
      </c>
      <c r="C418" s="10" t="n">
        <v>3</v>
      </c>
      <c r="D418" s="6" t="inlineStr">
        <is>
          <t>2022 Q3</t>
        </is>
      </c>
      <c r="E418" s="8" t="n">
        <v>116.3</v>
      </c>
      <c r="F418" s="10" t="n">
        <v>6.53435114503815</v>
      </c>
      <c r="G418" s="10" t="n">
        <v>1.95791934541203</v>
      </c>
      <c r="H418" s="8" t="n">
        <v>7.16999666011445</v>
      </c>
      <c r="I418" s="8" t="n">
        <v>7.80833464987448</v>
      </c>
      <c r="J418" s="8" t="n">
        <v>113.481515471155</v>
      </c>
      <c r="K418" s="8" t="n">
        <v>-1.62889949057302</v>
      </c>
      <c r="L418" s="8" t="n">
        <v>118.584751746656</v>
      </c>
      <c r="M418" s="8" t="n">
        <v>1.96599596534466</v>
      </c>
      <c r="N418" s="8" t="n">
        <v>2.19</v>
      </c>
      <c r="O418" s="8" t="n">
        <v>1.42</v>
      </c>
      <c r="P418" s="8" t="n">
        <v>100.713333333333</v>
      </c>
      <c r="Q418" s="8" t="n">
        <v>37.0808946962479</v>
      </c>
      <c r="R418" s="10" t="n">
        <v>0</v>
      </c>
      <c r="S418" s="7" t="inlineStr">
        <is>
          <t>High_Quality_Observed</t>
        </is>
      </c>
    </row>
    <row r="419" ht="19" customHeight="1">
      <c r="A419" s="7" t="inlineStr">
        <is>
          <t>Philippines</t>
        </is>
      </c>
      <c r="B419" s="10" t="n">
        <v>2022</v>
      </c>
      <c r="C419" s="10" t="n">
        <v>4</v>
      </c>
      <c r="D419" s="6" t="inlineStr">
        <is>
          <t>2022 Q4</t>
        </is>
      </c>
      <c r="E419" s="8" t="n">
        <v>118.766666666667</v>
      </c>
      <c r="F419" s="10" t="n">
        <v>7.90430042398547</v>
      </c>
      <c r="G419" s="10" t="n">
        <v>2.12095156205216</v>
      </c>
      <c r="H419" s="8" t="n">
        <v>6.47919230147492</v>
      </c>
      <c r="I419" s="8" t="n">
        <v>7.80033159829504</v>
      </c>
      <c r="J419" s="8" t="n">
        <v>113.415648607995</v>
      </c>
      <c r="K419" s="8" t="n">
        <v>-1.71019487459179</v>
      </c>
      <c r="L419" s="8" t="n">
        <v>115.210051245214</v>
      </c>
      <c r="M419" s="8" t="n">
        <v>-6.08866610181539</v>
      </c>
      <c r="N419" s="8" t="n">
        <v>3.65333333333333</v>
      </c>
      <c r="O419" s="8" t="n">
        <v>1.46333333333333</v>
      </c>
      <c r="P419" s="8" t="n">
        <v>88.5566666666667</v>
      </c>
      <c r="Q419" s="8" t="n">
        <v>11.2707321159323</v>
      </c>
      <c r="R419" s="10" t="n">
        <v>0</v>
      </c>
      <c r="S419" s="7" t="inlineStr">
        <is>
          <t>High_Quality_Observed</t>
        </is>
      </c>
    </row>
    <row r="420" ht="19" customHeight="1">
      <c r="A420" s="7" t="inlineStr">
        <is>
          <t>Philippines</t>
        </is>
      </c>
      <c r="B420" s="10" t="n">
        <v>2023</v>
      </c>
      <c r="C420" s="10" t="n">
        <v>1</v>
      </c>
      <c r="D420" s="6" t="inlineStr">
        <is>
          <t>2023 Q1</t>
        </is>
      </c>
      <c r="E420" s="11" t="n">
        <v>121.3</v>
      </c>
      <c r="F420" s="12" t="n">
        <v>8.303571428571431</v>
      </c>
      <c r="G420" s="10" t="n">
        <v>2.13303396014595</v>
      </c>
      <c r="H420" s="8" t="n">
        <v>5.8539703512618</v>
      </c>
      <c r="I420" s="11" t="n">
        <v>7.90030383657853</v>
      </c>
      <c r="J420" s="11" t="n">
        <v>115.389749425747</v>
      </c>
      <c r="K420" s="8" t="n">
        <v>1.56486567217542</v>
      </c>
      <c r="L420" s="8" t="n">
        <v>114.034689515825</v>
      </c>
      <c r="M420" s="8" t="n">
        <v>-8.224117849203459</v>
      </c>
      <c r="N420" s="8" t="n">
        <v>4.51666666666667</v>
      </c>
      <c r="O420" s="8" t="n">
        <v>0.863333333333333</v>
      </c>
      <c r="P420" s="8" t="n">
        <v>81.1733333333333</v>
      </c>
      <c r="Q420" s="8" t="n">
        <v>-19.0667685865266</v>
      </c>
      <c r="R420" s="10" t="n">
        <v>1</v>
      </c>
      <c r="S420" s="7" t="inlineStr">
        <is>
          <t>Minor_Imputation_1Var</t>
        </is>
      </c>
    </row>
    <row r="421" ht="19" customHeight="1">
      <c r="A421" s="7" t="inlineStr">
        <is>
          <t>Philippines</t>
        </is>
      </c>
      <c r="B421" s="10" t="n">
        <v>2023</v>
      </c>
      <c r="C421" s="10" t="n">
        <v>2</v>
      </c>
      <c r="D421" s="6" t="inlineStr">
        <is>
          <t>2023 Q2</t>
        </is>
      </c>
      <c r="E421" s="11" t="n">
        <v>120.966666666667</v>
      </c>
      <c r="F421" s="12" t="n">
        <v>6.04909409701928</v>
      </c>
      <c r="G421" s="10" t="n">
        <v>-0.274800769442152</v>
      </c>
      <c r="H421" s="8" t="n">
        <v>5.46987347009449</v>
      </c>
      <c r="I421" s="11" t="n">
        <v>7.90030383657853</v>
      </c>
      <c r="J421" s="11" t="n">
        <v>114.41874280086</v>
      </c>
      <c r="K421" s="8" t="n">
        <v>-1.91926373103407</v>
      </c>
      <c r="L421" s="8" t="n">
        <v>109.857789884183</v>
      </c>
      <c r="M421" s="8" t="n">
        <v>-18.2310247948031</v>
      </c>
      <c r="N421" s="8" t="n">
        <v>4.99</v>
      </c>
      <c r="O421" s="8" t="n">
        <v>0.473333333333334</v>
      </c>
      <c r="P421" s="8" t="n">
        <v>78.31666666666671</v>
      </c>
      <c r="Q421" s="8" t="n">
        <v>-31.0248656900449</v>
      </c>
      <c r="R421" s="10" t="n">
        <v>1</v>
      </c>
      <c r="S421" s="7" t="inlineStr">
        <is>
          <t>Minor_Imputation_1Var</t>
        </is>
      </c>
    </row>
    <row r="422" ht="19" customHeight="1">
      <c r="A422" s="7" t="inlineStr">
        <is>
          <t>Philippines</t>
        </is>
      </c>
      <c r="B422" s="10" t="n">
        <v>2023</v>
      </c>
      <c r="C422" s="10" t="n">
        <v>3</v>
      </c>
      <c r="D422" s="6" t="inlineStr">
        <is>
          <t>2023 Q3</t>
        </is>
      </c>
      <c r="E422" s="11" t="n">
        <v>122.533333333333</v>
      </c>
      <c r="F422" s="12" t="n">
        <v>5.359701920321</v>
      </c>
      <c r="G422" s="10" t="n">
        <v>1.29512262331219</v>
      </c>
      <c r="H422" s="8" t="n">
        <v>5.32690127372412</v>
      </c>
      <c r="I422" s="11" t="n">
        <v>7.90030383657853</v>
      </c>
      <c r="J422" s="11" t="n">
        <v>115.961331597612</v>
      </c>
      <c r="K422" s="8" t="n">
        <v>2.18521590601028</v>
      </c>
      <c r="L422" s="8" t="n">
        <v>107.510614988168</v>
      </c>
      <c r="M422" s="8" t="n">
        <v>-9.338584088911441</v>
      </c>
      <c r="N422" s="8" t="n">
        <v>5.26</v>
      </c>
      <c r="O422" s="8" t="n">
        <v>0.27</v>
      </c>
      <c r="P422" s="8" t="n">
        <v>86.66</v>
      </c>
      <c r="Q422" s="8" t="n">
        <v>-13.9537962533925</v>
      </c>
      <c r="R422" s="10" t="n">
        <v>1</v>
      </c>
      <c r="S422" s="7" t="inlineStr">
        <is>
          <t>Minor_Imputation_1Var</t>
        </is>
      </c>
    </row>
    <row r="423" ht="19" customHeight="1">
      <c r="A423" s="7" t="inlineStr">
        <is>
          <t>Philippines</t>
        </is>
      </c>
      <c r="B423" s="10" t="n">
        <v>2023</v>
      </c>
      <c r="C423" s="10" t="n">
        <v>4</v>
      </c>
      <c r="D423" s="6" t="inlineStr">
        <is>
          <t>2023 Q4</t>
        </is>
      </c>
      <c r="E423" s="11" t="n">
        <v>123.9</v>
      </c>
      <c r="F423" s="12" t="n">
        <v>4.32220039292732</v>
      </c>
      <c r="G423" s="10" t="n">
        <v>1.11534276387377</v>
      </c>
      <c r="H423" s="8" t="n">
        <v>5.42505361919044</v>
      </c>
      <c r="I423" s="11" t="n">
        <v>7.90030383657853</v>
      </c>
      <c r="J423" s="11" t="n">
        <v>117.257666401877</v>
      </c>
      <c r="K423" s="8" t="n">
        <v>3.38755528098387</v>
      </c>
      <c r="L423" s="8" t="n">
        <v>105.339533846651</v>
      </c>
      <c r="M423" s="8" t="n">
        <v>-8.56740995414912</v>
      </c>
      <c r="N423" s="8" t="n">
        <v>5.33</v>
      </c>
      <c r="O423" s="8" t="n">
        <v>0.0700000000000003</v>
      </c>
      <c r="P423" s="8" t="n">
        <v>83.7233333333333</v>
      </c>
      <c r="Q423" s="8" t="n">
        <v>-5.45789889712802</v>
      </c>
      <c r="R423" s="10" t="n">
        <v>1</v>
      </c>
      <c r="S423" s="7" t="inlineStr">
        <is>
          <t>Minor_Imputation_1Var</t>
        </is>
      </c>
    </row>
    <row r="424" ht="19" customHeight="1">
      <c r="A424" s="7" t="inlineStr">
        <is>
          <t>Philippines</t>
        </is>
      </c>
      <c r="B424" s="10" t="n">
        <v>2024</v>
      </c>
      <c r="C424" s="10" t="n">
        <v>1</v>
      </c>
      <c r="D424" s="6" t="inlineStr">
        <is>
          <t>2024 Q1</t>
        </is>
      </c>
      <c r="E424" s="11" t="n">
        <v>125.3</v>
      </c>
      <c r="F424" s="12" t="n">
        <v>3.29760923330584</v>
      </c>
      <c r="G424" s="10" t="n">
        <v>1.12994350282485</v>
      </c>
      <c r="H424" s="8" t="n">
        <v>5.7643306047241</v>
      </c>
      <c r="I424" s="11" t="n">
        <v>7.90030383657853</v>
      </c>
      <c r="J424" s="11" t="n">
        <v>117.115942899713</v>
      </c>
      <c r="K424" s="8" t="n">
        <v>1.4959677809832</v>
      </c>
      <c r="L424" s="8" t="n">
        <v>102.582568583479</v>
      </c>
      <c r="M424" s="8" t="n">
        <v>-10.0426641936497</v>
      </c>
      <c r="N424" s="8" t="n">
        <v>5.33</v>
      </c>
      <c r="O424" s="8" t="n">
        <v>0</v>
      </c>
      <c r="P424" s="8" t="n">
        <v>83.0033333333333</v>
      </c>
      <c r="Q424" s="8" t="n">
        <v>2.25443495400788</v>
      </c>
      <c r="R424" s="10" t="n">
        <v>1</v>
      </c>
      <c r="S424" s="7" t="inlineStr">
        <is>
          <t>Minor_Imputation_1Var</t>
        </is>
      </c>
    </row>
    <row r="425" ht="19" customHeight="1">
      <c r="A425" s="7" t="inlineStr">
        <is>
          <t>Philippines</t>
        </is>
      </c>
      <c r="B425" s="10" t="n">
        <v>2024</v>
      </c>
      <c r="C425" s="10" t="n">
        <v>2</v>
      </c>
      <c r="D425" s="6" t="inlineStr">
        <is>
          <t>2024 Q2</t>
        </is>
      </c>
      <c r="E425" s="11" t="n">
        <v>125.566666666667</v>
      </c>
      <c r="F425" s="12" t="n">
        <v>3.80270046844859</v>
      </c>
      <c r="G425" s="10" t="n">
        <v>0.212822559191284</v>
      </c>
      <c r="H425" s="8" t="n">
        <v>5.88020722597106</v>
      </c>
      <c r="I425" s="11" t="n">
        <v>7.90030383657853</v>
      </c>
      <c r="J425" s="11" t="n">
        <v>115.725855838831</v>
      </c>
      <c r="K425" s="8" t="n">
        <v>1.14239416198252</v>
      </c>
      <c r="L425" s="8" t="n">
        <v>104.519793640698</v>
      </c>
      <c r="M425" s="8" t="n">
        <v>-4.85900567371084</v>
      </c>
      <c r="N425" s="8" t="n">
        <v>5.33</v>
      </c>
      <c r="O425" s="8" t="n">
        <v>0</v>
      </c>
      <c r="P425" s="8" t="n">
        <v>84.6466666666667</v>
      </c>
      <c r="Q425" s="8" t="n">
        <v>8.082570759736109</v>
      </c>
      <c r="R425" s="10" t="n">
        <v>1</v>
      </c>
      <c r="S425" s="7" t="inlineStr">
        <is>
          <t>Minor_Imputation_1Var</t>
        </is>
      </c>
    </row>
    <row r="426" ht="19" customHeight="1">
      <c r="A426" s="7" t="inlineStr">
        <is>
          <t>Philippines</t>
        </is>
      </c>
      <c r="B426" s="10" t="n">
        <v>2024</v>
      </c>
      <c r="C426" s="10" t="n">
        <v>3</v>
      </c>
      <c r="D426" s="6" t="inlineStr">
        <is>
          <t>2024 Q3</t>
        </is>
      </c>
      <c r="E426" s="11" t="n">
        <v>126.466666666667</v>
      </c>
      <c r="F426" s="12" t="n">
        <v>3.21001088139281</v>
      </c>
      <c r="G426" s="10" t="n">
        <v>0.716750730023907</v>
      </c>
      <c r="H426" s="8" t="n">
        <v>5.7726835988153</v>
      </c>
      <c r="I426" s="11" t="n">
        <v>7.90030383657853</v>
      </c>
      <c r="J426" s="11" t="n">
        <v>114.823981364291</v>
      </c>
      <c r="K426" s="8" t="n">
        <v>-0.980801287508681</v>
      </c>
      <c r="L426" s="8" t="n">
        <v>106.377099329068</v>
      </c>
      <c r="M426" s="8" t="n">
        <v>-1.05432906250624</v>
      </c>
      <c r="N426" s="8" t="n">
        <v>5.26333333333333</v>
      </c>
      <c r="O426" s="8" t="n">
        <v>-0.0666666666666664</v>
      </c>
      <c r="P426" s="8" t="n">
        <v>79.84333333333331</v>
      </c>
      <c r="Q426" s="8" t="n">
        <v>-7.86598969151473</v>
      </c>
      <c r="R426" s="10" t="n">
        <v>1</v>
      </c>
      <c r="S426" s="7" t="inlineStr">
        <is>
          <t>Minor_Imputation_1Var</t>
        </is>
      </c>
    </row>
    <row r="427" ht="19" customHeight="1">
      <c r="A427" s="7" t="inlineStr">
        <is>
          <t>Philippines</t>
        </is>
      </c>
      <c r="B427" s="10" t="n">
        <v>2024</v>
      </c>
      <c r="C427" s="10" t="n">
        <v>4</v>
      </c>
      <c r="D427" s="6" t="inlineStr">
        <is>
          <t>2024 Q4</t>
        </is>
      </c>
      <c r="E427" s="11" t="n">
        <v>127.066666666667</v>
      </c>
      <c r="F427" s="12" t="n">
        <v>2.55582458972288</v>
      </c>
      <c r="G427" s="10" t="n">
        <v>0.474433315761735</v>
      </c>
      <c r="H427" s="8" t="n">
        <v>5.44175961572209</v>
      </c>
      <c r="I427" s="11" t="n">
        <v>7.90030383657853</v>
      </c>
      <c r="J427" s="11" t="n">
        <v>114.187205662897</v>
      </c>
      <c r="K427" s="8" t="n">
        <v>-2.61855862665427</v>
      </c>
      <c r="L427" s="8" t="n">
        <v>110.645361455409</v>
      </c>
      <c r="M427" s="8" t="n">
        <v>5.03688161035707</v>
      </c>
      <c r="N427" s="8" t="n">
        <v>4.65</v>
      </c>
      <c r="O427" s="8" t="n">
        <v>-0.613333333333333</v>
      </c>
      <c r="P427" s="8" t="n">
        <v>74.6133333333333</v>
      </c>
      <c r="Q427" s="8" t="n">
        <v>-10.8810765616913</v>
      </c>
      <c r="R427" s="10" t="n">
        <v>1</v>
      </c>
      <c r="S427" s="7" t="inlineStr">
        <is>
          <t>Minor_Imputation_1Var</t>
        </is>
      </c>
    </row>
    <row r="428" ht="19" customHeight="1">
      <c r="A428" s="7" t="inlineStr">
        <is>
          <t>Philippines</t>
        </is>
      </c>
      <c r="B428" s="10" t="n">
        <v>2025</v>
      </c>
      <c r="C428" s="10" t="n">
        <v>1</v>
      </c>
      <c r="D428" s="6" t="inlineStr">
        <is>
          <t>2025 Q1</t>
        </is>
      </c>
      <c r="E428" s="11" t="n">
        <v>128.1</v>
      </c>
      <c r="F428" s="12" t="n">
        <v>2.23463687150838</v>
      </c>
      <c r="G428" s="10" t="n">
        <v>0.81322140608604</v>
      </c>
      <c r="H428" s="8" t="n">
        <v>4.88743494577728</v>
      </c>
      <c r="I428" s="11" t="n">
        <v>7.90030383657853</v>
      </c>
      <c r="J428" s="11" t="n">
        <v>114.983977890931</v>
      </c>
      <c r="K428" s="8" t="n">
        <v>-1.82038837411573</v>
      </c>
      <c r="L428" s="8" t="n">
        <v>108.711496383905</v>
      </c>
      <c r="M428" s="8" t="n">
        <v>5.97462891118643</v>
      </c>
      <c r="N428" s="8" t="n">
        <v>4.33</v>
      </c>
      <c r="O428" s="8" t="n">
        <v>-0.32</v>
      </c>
      <c r="P428" s="8" t="n">
        <v>75.8133333333333</v>
      </c>
      <c r="Q428" s="8" t="n">
        <v>-8.662302718766311</v>
      </c>
      <c r="R428" s="10" t="n">
        <v>1</v>
      </c>
      <c r="S428" s="7" t="inlineStr">
        <is>
          <t>Minor_Imputation_1Var</t>
        </is>
      </c>
    </row>
    <row r="429" ht="19" customHeight="1">
      <c r="A429" s="6" t="inlineStr">
        <is>
          <t>Singapore</t>
        </is>
      </c>
      <c r="B429" s="10" t="n">
        <v>2010</v>
      </c>
      <c r="C429" s="10" t="n">
        <v>1</v>
      </c>
      <c r="D429" s="6" t="inlineStr">
        <is>
          <t>2010 Q1</t>
        </is>
      </c>
      <c r="E429" s="8" t="n">
        <v>85.9483333333333</v>
      </c>
      <c r="F429" s="9" t="inlineStr"/>
      <c r="G429" s="9" t="inlineStr"/>
      <c r="H429" s="8" t="n">
        <v>16.4061112791934</v>
      </c>
      <c r="I429" s="8" t="n">
        <v>8.134683296277061</v>
      </c>
      <c r="J429" s="8" t="n">
        <v>104.805468709456</v>
      </c>
      <c r="K429" s="9" t="inlineStr"/>
      <c r="L429" s="8" t="n">
        <v>99.24199528149821</v>
      </c>
      <c r="M429" s="9" t="inlineStr"/>
      <c r="N429" s="8" t="n">
        <v>0.133333333333333</v>
      </c>
      <c r="O429" s="9" t="inlineStr"/>
      <c r="P429" s="8" t="n">
        <v>76.25</v>
      </c>
      <c r="Q429" s="9" t="inlineStr"/>
      <c r="R429" s="10" t="n">
        <v>0</v>
      </c>
      <c r="S429" s="7" t="inlineStr">
        <is>
          <t>Baseline_Lag_Origin</t>
        </is>
      </c>
    </row>
    <row r="430" ht="19" customHeight="1">
      <c r="A430" s="6" t="inlineStr">
        <is>
          <t>Singapore</t>
        </is>
      </c>
      <c r="B430" s="10" t="n">
        <v>2010</v>
      </c>
      <c r="C430" s="10" t="n">
        <v>2</v>
      </c>
      <c r="D430" s="6" t="inlineStr">
        <is>
          <t>2010 Q2</t>
        </is>
      </c>
      <c r="E430" s="8" t="n">
        <v>86.95666666666671</v>
      </c>
      <c r="F430" s="9" t="inlineStr"/>
      <c r="G430" s="10" t="n">
        <v>1.17318544086562</v>
      </c>
      <c r="H430" s="8" t="n">
        <v>15.6515671046107</v>
      </c>
      <c r="I430" s="8" t="n">
        <v>8.316938082074801</v>
      </c>
      <c r="J430" s="8" t="n">
        <v>108.489423765313</v>
      </c>
      <c r="K430" s="9" t="inlineStr"/>
      <c r="L430" s="8" t="n">
        <v>96.4984622523225</v>
      </c>
      <c r="M430" s="9" t="inlineStr"/>
      <c r="N430" s="8" t="n">
        <v>0.193333333333333</v>
      </c>
      <c r="O430" s="8" t="n">
        <v>0.06</v>
      </c>
      <c r="P430" s="8" t="n">
        <v>78.51000000000001</v>
      </c>
      <c r="Q430" s="9" t="inlineStr"/>
      <c r="R430" s="10" t="n">
        <v>0</v>
      </c>
      <c r="S430" s="7" t="inlineStr">
        <is>
          <t>Baseline_Lag_Origin</t>
        </is>
      </c>
    </row>
    <row r="431" ht="19" customHeight="1">
      <c r="A431" s="6" t="inlineStr">
        <is>
          <t>Singapore</t>
        </is>
      </c>
      <c r="B431" s="10" t="n">
        <v>2010</v>
      </c>
      <c r="C431" s="10" t="n">
        <v>3</v>
      </c>
      <c r="D431" s="6" t="inlineStr">
        <is>
          <t>2010 Q3</t>
        </is>
      </c>
      <c r="E431" s="8" t="n">
        <v>87.962</v>
      </c>
      <c r="F431" s="9" t="inlineStr"/>
      <c r="G431" s="10" t="n">
        <v>1.15613140644766</v>
      </c>
      <c r="H431" s="8" t="n">
        <v>14.1424780009039</v>
      </c>
      <c r="I431" s="8" t="n">
        <v>8.681447835913909</v>
      </c>
      <c r="J431" s="8" t="n">
        <v>109.740701225659</v>
      </c>
      <c r="K431" s="9" t="inlineStr"/>
      <c r="L431" s="8" t="n">
        <v>107.356970480027</v>
      </c>
      <c r="M431" s="9" t="inlineStr"/>
      <c r="N431" s="8" t="n">
        <v>0.186666666666667</v>
      </c>
      <c r="O431" s="8" t="n">
        <v>-0.0066666666666666</v>
      </c>
      <c r="P431" s="8" t="n">
        <v>76.81999999999999</v>
      </c>
      <c r="Q431" s="9" t="inlineStr"/>
      <c r="R431" s="10" t="n">
        <v>0</v>
      </c>
      <c r="S431" s="7" t="inlineStr">
        <is>
          <t>Baseline_Lag_Origin</t>
        </is>
      </c>
    </row>
    <row r="432" ht="19" customHeight="1">
      <c r="A432" s="6" t="inlineStr">
        <is>
          <t>Singapore</t>
        </is>
      </c>
      <c r="B432" s="10" t="n">
        <v>2010</v>
      </c>
      <c r="C432" s="10" t="n">
        <v>4</v>
      </c>
      <c r="D432" s="6" t="inlineStr">
        <is>
          <t>2010 Q4</t>
        </is>
      </c>
      <c r="E432" s="8" t="n">
        <v>88.7656666666667</v>
      </c>
      <c r="F432" s="9" t="inlineStr"/>
      <c r="G432" s="10" t="n">
        <v>0.913652107349372</v>
      </c>
      <c r="H432" s="8" t="n">
        <v>11.8788424589509</v>
      </c>
      <c r="I432" s="8" t="n">
        <v>9.228212922324889</v>
      </c>
      <c r="J432" s="8" t="n">
        <v>111.087461574039</v>
      </c>
      <c r="K432" s="9" t="inlineStr"/>
      <c r="L432" s="8" t="n">
        <v>124.608736829891</v>
      </c>
      <c r="M432" s="9" t="inlineStr"/>
      <c r="N432" s="8" t="n">
        <v>0.186666666666667</v>
      </c>
      <c r="O432" s="8" t="n">
        <v>0</v>
      </c>
      <c r="P432" s="8" t="n">
        <v>86.4666666666667</v>
      </c>
      <c r="Q432" s="9" t="inlineStr"/>
      <c r="R432" s="10" t="n">
        <v>0</v>
      </c>
      <c r="S432" s="7" t="inlineStr">
        <is>
          <t>Baseline_Lag_Origin</t>
        </is>
      </c>
    </row>
    <row r="433" ht="19" customHeight="1">
      <c r="A433" s="6" t="inlineStr">
        <is>
          <t>Singapore</t>
        </is>
      </c>
      <c r="B433" s="10" t="n">
        <v>2011</v>
      </c>
      <c r="C433" s="10" t="n">
        <v>1</v>
      </c>
      <c r="D433" s="6" t="inlineStr">
        <is>
          <t>2011 Q1</t>
        </is>
      </c>
      <c r="E433" s="8" t="n">
        <v>90.40066666666669</v>
      </c>
      <c r="F433" s="10" t="n">
        <v>5.18024394500571</v>
      </c>
      <c r="G433" s="10" t="n">
        <v>1.84192837320736</v>
      </c>
      <c r="H433" s="8" t="n">
        <v>8.860658215169661</v>
      </c>
      <c r="I433" s="8" t="n">
        <v>9.95723388802508</v>
      </c>
      <c r="J433" s="8" t="n">
        <v>113.44692709045</v>
      </c>
      <c r="K433" s="8" t="n">
        <v>8.24523613834589</v>
      </c>
      <c r="L433" s="8" t="n">
        <v>121.875946057639</v>
      </c>
      <c r="M433" s="8" t="n">
        <v>22.8068276055313</v>
      </c>
      <c r="N433" s="8" t="n">
        <v>0.156666666666667</v>
      </c>
      <c r="O433" s="8" t="n">
        <v>-0.03</v>
      </c>
      <c r="P433" s="8" t="n">
        <v>104.96</v>
      </c>
      <c r="Q433" s="8" t="n">
        <v>37.6524590163934</v>
      </c>
      <c r="R433" s="10" t="n">
        <v>0</v>
      </c>
      <c r="S433" s="7" t="inlineStr">
        <is>
          <t>High_Quality_Observed</t>
        </is>
      </c>
    </row>
    <row r="434" ht="19" customHeight="1">
      <c r="A434" s="6" t="inlineStr">
        <is>
          <t>Singapore</t>
        </is>
      </c>
      <c r="B434" s="10" t="n">
        <v>2011</v>
      </c>
      <c r="C434" s="10" t="n">
        <v>2</v>
      </c>
      <c r="D434" s="6" t="inlineStr">
        <is>
          <t>2011 Q2</t>
        </is>
      </c>
      <c r="E434" s="8" t="n">
        <v>91.065</v>
      </c>
      <c r="F434" s="10" t="n">
        <v>4.7245754590409</v>
      </c>
      <c r="G434" s="10" t="n">
        <v>0.734876586455857</v>
      </c>
      <c r="H434" s="8" t="n">
        <v>6.59509595655449</v>
      </c>
      <c r="I434" s="8" t="n">
        <v>10.2612003669535</v>
      </c>
      <c r="J434" s="8" t="n">
        <v>114.772804377246</v>
      </c>
      <c r="K434" s="8" t="n">
        <v>5.79169876090873</v>
      </c>
      <c r="L434" s="8" t="n">
        <v>122.00081812372</v>
      </c>
      <c r="M434" s="8" t="n">
        <v>26.4277329152819</v>
      </c>
      <c r="N434" s="8" t="n">
        <v>0.0933333333333333</v>
      </c>
      <c r="O434" s="8" t="n">
        <v>-0.0633333333333333</v>
      </c>
      <c r="P434" s="8" t="n">
        <v>117.36</v>
      </c>
      <c r="Q434" s="8" t="n">
        <v>49.4841421474971</v>
      </c>
      <c r="R434" s="10" t="n">
        <v>0</v>
      </c>
      <c r="S434" s="7" t="inlineStr">
        <is>
          <t>High_Quality_Observed</t>
        </is>
      </c>
    </row>
    <row r="435" ht="19" customHeight="1">
      <c r="A435" s="6" t="inlineStr">
        <is>
          <t>Singapore</t>
        </is>
      </c>
      <c r="B435" s="10" t="n">
        <v>2011</v>
      </c>
      <c r="C435" s="10" t="n">
        <v>3</v>
      </c>
      <c r="D435" s="6" t="inlineStr">
        <is>
          <t>2011 Q3</t>
        </is>
      </c>
      <c r="E435" s="8" t="n">
        <v>92.83466666666671</v>
      </c>
      <c r="F435" s="10" t="n">
        <v>5.53951327467164</v>
      </c>
      <c r="G435" s="10" t="n">
        <v>1.9433005728509</v>
      </c>
      <c r="H435" s="8" t="n">
        <v>5.08215341747502</v>
      </c>
      <c r="I435" s="8" t="n">
        <v>10.1401126630628</v>
      </c>
      <c r="J435" s="8" t="n">
        <v>117.192589431241</v>
      </c>
      <c r="K435" s="8" t="n">
        <v>6.79045069181656</v>
      </c>
      <c r="L435" s="8" t="n">
        <v>118.888757234176</v>
      </c>
      <c r="M435" s="8" t="n">
        <v>10.7415351817278</v>
      </c>
      <c r="N435" s="8" t="n">
        <v>0.0833333333333333</v>
      </c>
      <c r="O435" s="8" t="n">
        <v>-0.01</v>
      </c>
      <c r="P435" s="8" t="n">
        <v>113.34</v>
      </c>
      <c r="Q435" s="8" t="n">
        <v>47.5397032022911</v>
      </c>
      <c r="R435" s="10" t="n">
        <v>0</v>
      </c>
      <c r="S435" s="7" t="inlineStr">
        <is>
          <t>High_Quality_Observed</t>
        </is>
      </c>
    </row>
    <row r="436" ht="19" customHeight="1">
      <c r="A436" s="6" t="inlineStr">
        <is>
          <t>Singapore</t>
        </is>
      </c>
      <c r="B436" s="10" t="n">
        <v>2011</v>
      </c>
      <c r="C436" s="10" t="n">
        <v>4</v>
      </c>
      <c r="D436" s="6" t="inlineStr">
        <is>
          <t>2011 Q4</t>
        </is>
      </c>
      <c r="E436" s="8" t="n">
        <v>93.68033333333329</v>
      </c>
      <c r="F436" s="10" t="n">
        <v>5.53667521601822</v>
      </c>
      <c r="G436" s="10" t="n">
        <v>0.910938442535847</v>
      </c>
      <c r="H436" s="8" t="n">
        <v>4.32182908509772</v>
      </c>
      <c r="I436" s="8" t="n">
        <v>9.593970655303041</v>
      </c>
      <c r="J436" s="8" t="n">
        <v>114.808604812319</v>
      </c>
      <c r="K436" s="8" t="n">
        <v>3.34974189305735</v>
      </c>
      <c r="L436" s="8" t="n">
        <v>112.174119298219</v>
      </c>
      <c r="M436" s="8" t="n">
        <v>-9.978929124887189</v>
      </c>
      <c r="N436" s="8" t="n">
        <v>0.07333333333333331</v>
      </c>
      <c r="O436" s="8" t="n">
        <v>-0.01</v>
      </c>
      <c r="P436" s="8" t="n">
        <v>109.396666666667</v>
      </c>
      <c r="Q436" s="8" t="n">
        <v>26.5188897455667</v>
      </c>
      <c r="R436" s="10" t="n">
        <v>0</v>
      </c>
      <c r="S436" s="7" t="inlineStr">
        <is>
          <t>High_Quality_Observed</t>
        </is>
      </c>
    </row>
    <row r="437" ht="19" customHeight="1">
      <c r="A437" s="6" t="inlineStr">
        <is>
          <t>Singapore</t>
        </is>
      </c>
      <c r="B437" s="10" t="n">
        <v>2012</v>
      </c>
      <c r="C437" s="10" t="n">
        <v>1</v>
      </c>
      <c r="D437" s="6" t="inlineStr">
        <is>
          <t>2012 Q1</t>
        </is>
      </c>
      <c r="E437" s="8" t="n">
        <v>94.8153333333333</v>
      </c>
      <c r="F437" s="10" t="n">
        <v>4.88344481235388</v>
      </c>
      <c r="G437" s="10" t="n">
        <v>1.21156699556291</v>
      </c>
      <c r="H437" s="8" t="n">
        <v>4.31412219900292</v>
      </c>
      <c r="I437" s="8" t="n">
        <v>8.622773797504509</v>
      </c>
      <c r="J437" s="8" t="n">
        <v>117.828786238105</v>
      </c>
      <c r="K437" s="8" t="n">
        <v>3.86247495638314</v>
      </c>
      <c r="L437" s="8" t="n">
        <v>112.921025549072</v>
      </c>
      <c r="M437" s="8" t="n">
        <v>-7.3475700482622</v>
      </c>
      <c r="N437" s="8" t="n">
        <v>0.103333333333333</v>
      </c>
      <c r="O437" s="8" t="n">
        <v>0.03</v>
      </c>
      <c r="P437" s="8" t="n">
        <v>118.49</v>
      </c>
      <c r="Q437" s="8" t="n">
        <v>12.890625</v>
      </c>
      <c r="R437" s="10" t="n">
        <v>0</v>
      </c>
      <c r="S437" s="7" t="inlineStr">
        <is>
          <t>High_Quality_Observed</t>
        </is>
      </c>
    </row>
    <row r="438" ht="19" customHeight="1">
      <c r="A438" s="6" t="inlineStr">
        <is>
          <t>Singapore</t>
        </is>
      </c>
      <c r="B438" s="10" t="n">
        <v>2012</v>
      </c>
      <c r="C438" s="10" t="n">
        <v>2</v>
      </c>
      <c r="D438" s="6" t="inlineStr">
        <is>
          <t>2012 Q2</t>
        </is>
      </c>
      <c r="E438" s="8" t="n">
        <v>95.85299999999999</v>
      </c>
      <c r="F438" s="10" t="n">
        <v>5.25778290232253</v>
      </c>
      <c r="G438" s="10" t="n">
        <v>1.09440807745584</v>
      </c>
      <c r="H438" s="8" t="n">
        <v>4.35958957444045</v>
      </c>
      <c r="I438" s="8" t="n">
        <v>7.6753089614702</v>
      </c>
      <c r="J438" s="8" t="n">
        <v>120.33613489321</v>
      </c>
      <c r="K438" s="8" t="n">
        <v>4.84725501494012</v>
      </c>
      <c r="L438" s="8" t="n">
        <v>108.674540730789</v>
      </c>
      <c r="M438" s="8" t="n">
        <v>-10.9231049413272</v>
      </c>
      <c r="N438" s="8" t="n">
        <v>0.153333333333333</v>
      </c>
      <c r="O438" s="8" t="n">
        <v>0.05</v>
      </c>
      <c r="P438" s="8" t="n">
        <v>108.416666666667</v>
      </c>
      <c r="Q438" s="8" t="n">
        <v>-7.6204271756419</v>
      </c>
      <c r="R438" s="10" t="n">
        <v>0</v>
      </c>
      <c r="S438" s="7" t="inlineStr">
        <is>
          <t>High_Quality_Observed</t>
        </is>
      </c>
    </row>
    <row r="439" ht="19" customHeight="1">
      <c r="A439" s="6" t="inlineStr">
        <is>
          <t>Singapore</t>
        </is>
      </c>
      <c r="B439" s="10" t="n">
        <v>2012</v>
      </c>
      <c r="C439" s="10" t="n">
        <v>3</v>
      </c>
      <c r="D439" s="6" t="inlineStr">
        <is>
          <t>2012 Q3</t>
        </is>
      </c>
      <c r="E439" s="8" t="n">
        <v>96.7293333333333</v>
      </c>
      <c r="F439" s="10" t="n">
        <v>4.1952718811938</v>
      </c>
      <c r="G439" s="10" t="n">
        <v>0.91424716319084</v>
      </c>
      <c r="H439" s="8" t="n">
        <v>4.45823125684445</v>
      </c>
      <c r="I439" s="8" t="n">
        <v>6.75157519970182</v>
      </c>
      <c r="J439" s="8" t="n">
        <v>122.507874351232</v>
      </c>
      <c r="K439" s="8" t="n">
        <v>4.53551282191742</v>
      </c>
      <c r="L439" s="8" t="n">
        <v>112.021404013206</v>
      </c>
      <c r="M439" s="8" t="n">
        <v>-5.77628480668088</v>
      </c>
      <c r="N439" s="8" t="n">
        <v>0.143333333333333</v>
      </c>
      <c r="O439" s="8" t="n">
        <v>-0.01</v>
      </c>
      <c r="P439" s="8" t="n">
        <v>109.613333333333</v>
      </c>
      <c r="Q439" s="8" t="n">
        <v>-3.28804187988943</v>
      </c>
      <c r="R439" s="10" t="n">
        <v>0</v>
      </c>
      <c r="S439" s="7" t="inlineStr">
        <is>
          <t>High_Quality_Observed</t>
        </is>
      </c>
    </row>
    <row r="440" ht="19" customHeight="1">
      <c r="A440" s="6" t="inlineStr">
        <is>
          <t>Singapore</t>
        </is>
      </c>
      <c r="B440" s="10" t="n">
        <v>2012</v>
      </c>
      <c r="C440" s="10" t="n">
        <v>4</v>
      </c>
      <c r="D440" s="6" t="inlineStr">
        <is>
          <t>2012 Q4</t>
        </is>
      </c>
      <c r="E440" s="8" t="n">
        <v>97.4203333333333</v>
      </c>
      <c r="F440" s="10" t="n">
        <v>3.99230005586373</v>
      </c>
      <c r="G440" s="10" t="n">
        <v>0.714364480957186</v>
      </c>
      <c r="H440" s="8" t="n">
        <v>4.61004734488074</v>
      </c>
      <c r="I440" s="8" t="n">
        <v>5.85157158854532</v>
      </c>
      <c r="J440" s="8" t="n">
        <v>124.151738289872</v>
      </c>
      <c r="K440" s="8" t="n">
        <v>8.13800802895126</v>
      </c>
      <c r="L440" s="8" t="n">
        <v>112.043606667623</v>
      </c>
      <c r="M440" s="8" t="n">
        <v>-0.116348255206267</v>
      </c>
      <c r="N440" s="8" t="n">
        <v>0.16</v>
      </c>
      <c r="O440" s="8" t="n">
        <v>0.0166666666666667</v>
      </c>
      <c r="P440" s="8" t="n">
        <v>110.086666666667</v>
      </c>
      <c r="Q440" s="8" t="n">
        <v>0.630732197812245</v>
      </c>
      <c r="R440" s="10" t="n">
        <v>0</v>
      </c>
      <c r="S440" s="7" t="inlineStr">
        <is>
          <t>High_Quality_Observed</t>
        </is>
      </c>
    </row>
    <row r="441" ht="19" customHeight="1">
      <c r="A441" s="6" t="inlineStr">
        <is>
          <t>Singapore</t>
        </is>
      </c>
      <c r="B441" s="10" t="n">
        <v>2013</v>
      </c>
      <c r="C441" s="10" t="n">
        <v>1</v>
      </c>
      <c r="D441" s="6" t="inlineStr">
        <is>
          <t>2013 Q1</t>
        </is>
      </c>
      <c r="E441" s="8" t="n">
        <v>98.6006666666667</v>
      </c>
      <c r="F441" s="10" t="n">
        <v>3.99232191698953</v>
      </c>
      <c r="G441" s="10" t="n">
        <v>1.21158827212664</v>
      </c>
      <c r="H441" s="8" t="n">
        <v>4.81503799038404</v>
      </c>
      <c r="I441" s="8" t="n">
        <v>4.9752972278821</v>
      </c>
      <c r="J441" s="8" t="n">
        <v>125.445975038906</v>
      </c>
      <c r="K441" s="8" t="n">
        <v>6.46462468467401</v>
      </c>
      <c r="L441" s="8" t="n">
        <v>112.344264317549</v>
      </c>
      <c r="M441" s="8" t="n">
        <v>-0.510765137598079</v>
      </c>
      <c r="N441" s="8" t="n">
        <v>0.143333333333333</v>
      </c>
      <c r="O441" s="8" t="n">
        <v>-0.0166666666666667</v>
      </c>
      <c r="P441" s="8" t="n">
        <v>112.493333333333</v>
      </c>
      <c r="Q441" s="8" t="n">
        <v>-5.06090528033308</v>
      </c>
      <c r="R441" s="10" t="n">
        <v>0</v>
      </c>
      <c r="S441" s="7" t="inlineStr">
        <is>
          <t>High_Quality_Observed</t>
        </is>
      </c>
    </row>
    <row r="442" ht="19" customHeight="1">
      <c r="A442" s="6" t="inlineStr">
        <is>
          <t>Singapore</t>
        </is>
      </c>
      <c r="B442" s="10" t="n">
        <v>2013</v>
      </c>
      <c r="C442" s="10" t="n">
        <v>2</v>
      </c>
      <c r="D442" s="6" t="inlineStr">
        <is>
          <t>2013 Q2</t>
        </is>
      </c>
      <c r="E442" s="8" t="n">
        <v>97.4083333333333</v>
      </c>
      <c r="F442" s="10" t="n">
        <v>1.62262353117097</v>
      </c>
      <c r="G442" s="10" t="n">
        <v>-1.20925483938581</v>
      </c>
      <c r="H442" s="8" t="n">
        <v>4.89807141957799</v>
      </c>
      <c r="I442" s="8" t="n">
        <v>4.36093158324164</v>
      </c>
      <c r="J442" s="8" t="n">
        <v>124.843687089308</v>
      </c>
      <c r="K442" s="8" t="n">
        <v>3.74580104313542</v>
      </c>
      <c r="L442" s="8" t="n">
        <v>111.205746192615</v>
      </c>
      <c r="M442" s="8" t="n">
        <v>2.32916140689856</v>
      </c>
      <c r="N442" s="8" t="n">
        <v>0.116666666666667</v>
      </c>
      <c r="O442" s="8" t="n">
        <v>-0.0266666666666667</v>
      </c>
      <c r="P442" s="8" t="n">
        <v>102.576666666667</v>
      </c>
      <c r="Q442" s="8" t="n">
        <v>-5.38662567255957</v>
      </c>
      <c r="R442" s="10" t="n">
        <v>0</v>
      </c>
      <c r="S442" s="7" t="inlineStr">
        <is>
          <t>High_Quality_Observed</t>
        </is>
      </c>
    </row>
    <row r="443" ht="19" customHeight="1">
      <c r="A443" s="6" t="inlineStr">
        <is>
          <t>Singapore</t>
        </is>
      </c>
      <c r="B443" s="10" t="n">
        <v>2013</v>
      </c>
      <c r="C443" s="10" t="n">
        <v>3</v>
      </c>
      <c r="D443" s="6" t="inlineStr">
        <is>
          <t>2013 Q3</t>
        </is>
      </c>
      <c r="E443" s="8" t="n">
        <v>98.504</v>
      </c>
      <c r="F443" s="10" t="n">
        <v>1.8346726949426</v>
      </c>
      <c r="G443" s="10" t="n">
        <v>1.12481820515016</v>
      </c>
      <c r="H443" s="8" t="n">
        <v>4.85914771554374</v>
      </c>
      <c r="I443" s="8" t="n">
        <v>4.00847404023723</v>
      </c>
      <c r="J443" s="8" t="n">
        <v>124.636894731972</v>
      </c>
      <c r="K443" s="8" t="n">
        <v>1.73786411038059</v>
      </c>
      <c r="L443" s="8" t="n">
        <v>106.517639660823</v>
      </c>
      <c r="M443" s="8" t="n">
        <v>-4.91313637859304</v>
      </c>
      <c r="N443" s="8" t="n">
        <v>0.0833333333333333</v>
      </c>
      <c r="O443" s="8" t="n">
        <v>-0.0333333333333333</v>
      </c>
      <c r="P443" s="8" t="n">
        <v>110.27</v>
      </c>
      <c r="Q443" s="8" t="n">
        <v>0.599075538255689</v>
      </c>
      <c r="R443" s="10" t="n">
        <v>0</v>
      </c>
      <c r="S443" s="7" t="inlineStr">
        <is>
          <t>High_Quality_Observed</t>
        </is>
      </c>
    </row>
    <row r="444" ht="19" customHeight="1">
      <c r="A444" s="6" t="inlineStr">
        <is>
          <t>Singapore</t>
        </is>
      </c>
      <c r="B444" s="10" t="n">
        <v>2013</v>
      </c>
      <c r="C444" s="10" t="n">
        <v>4</v>
      </c>
      <c r="D444" s="6" t="inlineStr">
        <is>
          <t>2013 Q4</t>
        </is>
      </c>
      <c r="E444" s="8" t="n">
        <v>99.3813333333333</v>
      </c>
      <c r="F444" s="10" t="n">
        <v>2.0129268017286</v>
      </c>
      <c r="G444" s="10" t="n">
        <v>0.890657570589348</v>
      </c>
      <c r="H444" s="8" t="n">
        <v>4.69826683932992</v>
      </c>
      <c r="I444" s="8" t="n">
        <v>3.91792424635386</v>
      </c>
      <c r="J444" s="8" t="n">
        <v>126.206693550692</v>
      </c>
      <c r="K444" s="8" t="n">
        <v>1.65519652735104</v>
      </c>
      <c r="L444" s="8" t="n">
        <v>108.042368791302</v>
      </c>
      <c r="M444" s="8" t="n">
        <v>-3.57114341043118</v>
      </c>
      <c r="N444" s="8" t="n">
        <v>0.0866666666666667</v>
      </c>
      <c r="O444" s="8" t="n">
        <v>0.0033333333333333</v>
      </c>
      <c r="P444" s="8" t="n">
        <v>109.21</v>
      </c>
      <c r="Q444" s="8" t="n">
        <v>-0.796342275782702</v>
      </c>
      <c r="R444" s="10" t="n">
        <v>0</v>
      </c>
      <c r="S444" s="7" t="inlineStr">
        <is>
          <t>High_Quality_Observed</t>
        </is>
      </c>
    </row>
    <row r="445" ht="19" customHeight="1">
      <c r="A445" s="6" t="inlineStr">
        <is>
          <t>Singapore</t>
        </is>
      </c>
      <c r="B445" s="10" t="n">
        <v>2014</v>
      </c>
      <c r="C445" s="10" t="n">
        <v>1</v>
      </c>
      <c r="D445" s="6" t="inlineStr">
        <is>
          <t>2014 Q1</t>
        </is>
      </c>
      <c r="E445" s="8" t="n">
        <v>99.5796666666667</v>
      </c>
      <c r="F445" s="10" t="n">
        <v>0.992893895240732</v>
      </c>
      <c r="G445" s="10" t="n">
        <v>0.19956799398948</v>
      </c>
      <c r="H445" s="8" t="n">
        <v>4.41542863008001</v>
      </c>
      <c r="I445" s="8" t="n">
        <v>4.08928211110333</v>
      </c>
      <c r="J445" s="8" t="n">
        <v>124.965663028207</v>
      </c>
      <c r="K445" s="8" t="n">
        <v>-0.382883556486591</v>
      </c>
      <c r="L445" s="8" t="n">
        <v>109.985285302654</v>
      </c>
      <c r="M445" s="8" t="n">
        <v>-2.09977699282194</v>
      </c>
      <c r="N445" s="8" t="n">
        <v>0.07333333333333331</v>
      </c>
      <c r="O445" s="8" t="n">
        <v>-0.0133333333333333</v>
      </c>
      <c r="P445" s="8" t="n">
        <v>108.166666666667</v>
      </c>
      <c r="Q445" s="8" t="n">
        <v>-3.84615384615383</v>
      </c>
      <c r="R445" s="10" t="n">
        <v>0</v>
      </c>
      <c r="S445" s="7" t="inlineStr">
        <is>
          <t>High_Quality_Observed</t>
        </is>
      </c>
    </row>
    <row r="446" ht="19" customHeight="1">
      <c r="A446" s="6" t="inlineStr">
        <is>
          <t>Singapore</t>
        </is>
      </c>
      <c r="B446" s="10" t="n">
        <v>2014</v>
      </c>
      <c r="C446" s="10" t="n">
        <v>2</v>
      </c>
      <c r="D446" s="6" t="inlineStr">
        <is>
          <t>2014 Q2</t>
        </is>
      </c>
      <c r="E446" s="8" t="n">
        <v>99.5086666666667</v>
      </c>
      <c r="F446" s="10" t="n">
        <v>2.15621524510223</v>
      </c>
      <c r="G446" s="10" t="n">
        <v>-0.0712996963904922</v>
      </c>
      <c r="H446" s="8" t="n">
        <v>4.11033815993858</v>
      </c>
      <c r="I446" s="8" t="n">
        <v>3.85480169898665</v>
      </c>
      <c r="J446" s="8" t="n">
        <v>124.855446504303</v>
      </c>
      <c r="K446" s="8" t="n">
        <v>0.009419310875125</v>
      </c>
      <c r="L446" s="8" t="n">
        <v>111.498689744988</v>
      </c>
      <c r="M446" s="8" t="n">
        <v>0.26342483406061</v>
      </c>
      <c r="N446" s="8" t="n">
        <v>0.0933333333333333</v>
      </c>
      <c r="O446" s="8" t="n">
        <v>0.02</v>
      </c>
      <c r="P446" s="8" t="n">
        <v>109.7</v>
      </c>
      <c r="Q446" s="8" t="n">
        <v>6.94439931108439</v>
      </c>
      <c r="R446" s="10" t="n">
        <v>0</v>
      </c>
      <c r="S446" s="7" t="inlineStr">
        <is>
          <t>High_Quality_Observed</t>
        </is>
      </c>
    </row>
    <row r="447" ht="19" customHeight="1">
      <c r="A447" s="6" t="inlineStr">
        <is>
          <t>Singapore</t>
        </is>
      </c>
      <c r="B447" s="10" t="n">
        <v>2014</v>
      </c>
      <c r="C447" s="10" t="n">
        <v>3</v>
      </c>
      <c r="D447" s="6" t="inlineStr">
        <is>
          <t>2014 Q3</t>
        </is>
      </c>
      <c r="E447" s="8" t="n">
        <v>99.5026666666667</v>
      </c>
      <c r="F447" s="10" t="n">
        <v>1.01383361758576</v>
      </c>
      <c r="G447" s="10" t="n">
        <v>-0.0060296255602554</v>
      </c>
      <c r="H447" s="8" t="n">
        <v>3.78299512388304</v>
      </c>
      <c r="I447" s="8" t="n">
        <v>3.21448277555395</v>
      </c>
      <c r="J447" s="8" t="n">
        <v>125.536046383159</v>
      </c>
      <c r="K447" s="8" t="n">
        <v>0.721416923231755</v>
      </c>
      <c r="L447" s="8" t="n">
        <v>104.211407968198</v>
      </c>
      <c r="M447" s="8" t="n">
        <v>-2.16511715802957</v>
      </c>
      <c r="N447" s="8" t="n">
        <v>0.09</v>
      </c>
      <c r="O447" s="8" t="n">
        <v>-0.0033333333333333</v>
      </c>
      <c r="P447" s="8" t="n">
        <v>101.823333333333</v>
      </c>
      <c r="Q447" s="8" t="n">
        <v>-7.65998609473715</v>
      </c>
      <c r="R447" s="10" t="n">
        <v>0</v>
      </c>
      <c r="S447" s="7" t="inlineStr">
        <is>
          <t>High_Quality_Observed</t>
        </is>
      </c>
    </row>
    <row r="448" ht="19" customHeight="1">
      <c r="A448" s="6" t="inlineStr">
        <is>
          <t>Singapore</t>
        </is>
      </c>
      <c r="B448" s="10" t="n">
        <v>2014</v>
      </c>
      <c r="C448" s="10" t="n">
        <v>4</v>
      </c>
      <c r="D448" s="6" t="inlineStr">
        <is>
          <t>2014 Q4</t>
        </is>
      </c>
      <c r="E448" s="8" t="n">
        <v>99.3413333333333</v>
      </c>
      <c r="F448" s="10" t="n">
        <v>-0.040249007191151</v>
      </c>
      <c r="G448" s="10" t="n">
        <v>-0.162139708148523</v>
      </c>
      <c r="H448" s="8" t="n">
        <v>3.43339919446602</v>
      </c>
      <c r="I448" s="8" t="n">
        <v>2.16832470037293</v>
      </c>
      <c r="J448" s="8" t="n">
        <v>125.991014263641</v>
      </c>
      <c r="K448" s="8" t="n">
        <v>-0.170893699045227</v>
      </c>
      <c r="L448" s="8" t="n">
        <v>99.4046630544031</v>
      </c>
      <c r="M448" s="8" t="n">
        <v>-7.9947393171137</v>
      </c>
      <c r="N448" s="8" t="n">
        <v>0.1</v>
      </c>
      <c r="O448" s="8" t="n">
        <v>0.01</v>
      </c>
      <c r="P448" s="8" t="n">
        <v>76.40333333333329</v>
      </c>
      <c r="Q448" s="8" t="n">
        <v>-30.0399841284376</v>
      </c>
      <c r="R448" s="10" t="n">
        <v>0</v>
      </c>
      <c r="S448" s="7" t="inlineStr">
        <is>
          <t>High_Quality_Observed</t>
        </is>
      </c>
    </row>
    <row r="449" ht="19" customHeight="1">
      <c r="A449" s="6" t="inlineStr">
        <is>
          <t>Singapore</t>
        </is>
      </c>
      <c r="B449" s="10" t="n">
        <v>2015</v>
      </c>
      <c r="C449" s="10" t="n">
        <v>1</v>
      </c>
      <c r="D449" s="6" t="inlineStr">
        <is>
          <t>2015 Q1</t>
        </is>
      </c>
      <c r="E449" s="8" t="n">
        <v>99.258</v>
      </c>
      <c r="F449" s="10" t="n">
        <v>-0.323024446088394</v>
      </c>
      <c r="G449" s="10" t="n">
        <v>-0.08388586154136619</v>
      </c>
      <c r="H449" s="8" t="n">
        <v>3.06155002217855</v>
      </c>
      <c r="I449" s="8" t="n">
        <v>0.716326427402953</v>
      </c>
      <c r="J449" s="8" t="n">
        <v>125.103274918948</v>
      </c>
      <c r="K449" s="8" t="n">
        <v>0.110119762025773</v>
      </c>
      <c r="L449" s="8" t="n">
        <v>100.657732001964</v>
      </c>
      <c r="M449" s="8" t="n">
        <v>-8.4807283765489</v>
      </c>
      <c r="N449" s="8" t="n">
        <v>0.11</v>
      </c>
      <c r="O449" s="8" t="n">
        <v>0.01</v>
      </c>
      <c r="P449" s="8" t="n">
        <v>53.9166666666667</v>
      </c>
      <c r="Q449" s="8" t="n">
        <v>-50.1540832049307</v>
      </c>
      <c r="R449" s="10" t="n">
        <v>0</v>
      </c>
      <c r="S449" s="7" t="inlineStr">
        <is>
          <t>High_Quality_Observed</t>
        </is>
      </c>
    </row>
    <row r="450" ht="19" customHeight="1">
      <c r="A450" s="6" t="inlineStr">
        <is>
          <t>Singapore</t>
        </is>
      </c>
      <c r="B450" s="10" t="n">
        <v>2015</v>
      </c>
      <c r="C450" s="10" t="n">
        <v>2</v>
      </c>
      <c r="D450" s="6" t="inlineStr">
        <is>
          <t>2015 Q2</t>
        </is>
      </c>
      <c r="E450" s="8" t="n">
        <v>99.093</v>
      </c>
      <c r="F450" s="10" t="n">
        <v>-0.417719059646393</v>
      </c>
      <c r="G450" s="10" t="n">
        <v>-0.166233452215425</v>
      </c>
      <c r="H450" s="8" t="n">
        <v>2.87891014332129</v>
      </c>
      <c r="I450" s="8" t="n">
        <v>0.458592894437492</v>
      </c>
      <c r="J450" s="8" t="n">
        <v>126.542773213926</v>
      </c>
      <c r="K450" s="8" t="n">
        <v>1.35142419242775</v>
      </c>
      <c r="L450" s="8" t="n">
        <v>96.8474817130345</v>
      </c>
      <c r="M450" s="8" t="n">
        <v>-13.1402513029193</v>
      </c>
      <c r="N450" s="8" t="n">
        <v>0.123333333333333</v>
      </c>
      <c r="O450" s="8" t="n">
        <v>0.0133333333333333</v>
      </c>
      <c r="P450" s="8" t="n">
        <v>61.6933333333333</v>
      </c>
      <c r="Q450" s="8" t="n">
        <v>-43.761774536615</v>
      </c>
      <c r="R450" s="10" t="n">
        <v>0</v>
      </c>
      <c r="S450" s="7" t="inlineStr">
        <is>
          <t>High_Quality_Observed</t>
        </is>
      </c>
    </row>
    <row r="451" ht="19" customHeight="1">
      <c r="A451" s="6" t="inlineStr">
        <is>
          <t>Singapore</t>
        </is>
      </c>
      <c r="B451" s="10" t="n">
        <v>2015</v>
      </c>
      <c r="C451" s="10" t="n">
        <v>3</v>
      </c>
      <c r="D451" s="6" t="inlineStr">
        <is>
          <t>2015 Q3</t>
        </is>
      </c>
      <c r="E451" s="8" t="n">
        <v>98.8803333333333</v>
      </c>
      <c r="F451" s="10" t="n">
        <v>-0.625443874201026</v>
      </c>
      <c r="G451" s="10" t="n">
        <v>-0.214613208467462</v>
      </c>
      <c r="H451" s="8" t="n">
        <v>2.88547937529819</v>
      </c>
      <c r="I451" s="8" t="n">
        <v>1.39512384379276</v>
      </c>
      <c r="J451" s="8" t="n">
        <v>124.123158343851</v>
      </c>
      <c r="K451" s="8" t="n">
        <v>-1.12548393868981</v>
      </c>
      <c r="L451" s="8" t="n">
        <v>92.7459060049042</v>
      </c>
      <c r="M451" s="8" t="n">
        <v>-11.002156277164</v>
      </c>
      <c r="N451" s="8" t="n">
        <v>0.136666666666667</v>
      </c>
      <c r="O451" s="8" t="n">
        <v>0.0133333333333333</v>
      </c>
      <c r="P451" s="8" t="n">
        <v>50.2333333333333</v>
      </c>
      <c r="Q451" s="8" t="n">
        <v>-50.666186532229</v>
      </c>
      <c r="R451" s="10" t="n">
        <v>0</v>
      </c>
      <c r="S451" s="7" t="inlineStr">
        <is>
          <t>High_Quality_Observed</t>
        </is>
      </c>
    </row>
    <row r="452" ht="19" customHeight="1">
      <c r="A452" s="6" t="inlineStr">
        <is>
          <t>Singapore</t>
        </is>
      </c>
      <c r="B452" s="10" t="n">
        <v>2015</v>
      </c>
      <c r="C452" s="10" t="n">
        <v>4</v>
      </c>
      <c r="D452" s="6" t="inlineStr">
        <is>
          <t>2015 Q4</t>
        </is>
      </c>
      <c r="E452" s="8" t="n">
        <v>98.6213333333333</v>
      </c>
      <c r="F452" s="10" t="n">
        <v>-0.724773843717297</v>
      </c>
      <c r="G452" s="10" t="n">
        <v>-0.261932773959106</v>
      </c>
      <c r="H452" s="8" t="n">
        <v>3.08125772463792</v>
      </c>
      <c r="I452" s="8" t="n">
        <v>3.5259202119911</v>
      </c>
      <c r="J452" s="8" t="n">
        <v>123.580780908244</v>
      </c>
      <c r="K452" s="8" t="n">
        <v>-1.91302004312258</v>
      </c>
      <c r="L452" s="8" t="n">
        <v>90.3005619231251</v>
      </c>
      <c r="M452" s="8" t="n">
        <v>-9.15862581446042</v>
      </c>
      <c r="N452" s="8" t="n">
        <v>0.16</v>
      </c>
      <c r="O452" s="8" t="n">
        <v>0.0233333333333333</v>
      </c>
      <c r="P452" s="8" t="n">
        <v>43.57</v>
      </c>
      <c r="Q452" s="8" t="n">
        <v>-42.9736922472842</v>
      </c>
      <c r="R452" s="10" t="n">
        <v>0</v>
      </c>
      <c r="S452" s="7" t="inlineStr">
        <is>
          <t>High_Quality_Observed</t>
        </is>
      </c>
    </row>
    <row r="453" ht="19" customHeight="1">
      <c r="A453" s="6" t="inlineStr">
        <is>
          <t>Singapore</t>
        </is>
      </c>
      <c r="B453" s="10" t="n">
        <v>2016</v>
      </c>
      <c r="C453" s="10" t="n">
        <v>1</v>
      </c>
      <c r="D453" s="6" t="inlineStr">
        <is>
          <t>2016 Q1</t>
        </is>
      </c>
      <c r="E453" s="8" t="n">
        <v>98.4223333333333</v>
      </c>
      <c r="F453" s="10" t="n">
        <v>-0.841913666068894</v>
      </c>
      <c r="G453" s="10" t="n">
        <v>-0.201781899791798</v>
      </c>
      <c r="H453" s="8" t="n">
        <v>3.46624538716847</v>
      </c>
      <c r="I453" s="8" t="n">
        <v>6.85098412977097</v>
      </c>
      <c r="J453" s="8" t="n">
        <v>123.18741556723</v>
      </c>
      <c r="K453" s="8" t="n">
        <v>-1.53142222132792</v>
      </c>
      <c r="L453" s="8" t="n">
        <v>91.66230580090431</v>
      </c>
      <c r="M453" s="8" t="n">
        <v>-8.936647013747329</v>
      </c>
      <c r="N453" s="8" t="n">
        <v>0.36</v>
      </c>
      <c r="O453" s="8" t="n">
        <v>0.2</v>
      </c>
      <c r="P453" s="8" t="n">
        <v>33.6966666666667</v>
      </c>
      <c r="Q453" s="8" t="n">
        <v>-37.5023183925811</v>
      </c>
      <c r="R453" s="10" t="n">
        <v>0</v>
      </c>
      <c r="S453" s="7" t="inlineStr">
        <is>
          <t>High_Quality_Observed</t>
        </is>
      </c>
    </row>
    <row r="454" ht="19" customHeight="1">
      <c r="A454" s="6" t="inlineStr">
        <is>
          <t>Singapore</t>
        </is>
      </c>
      <c r="B454" s="10" t="n">
        <v>2016</v>
      </c>
      <c r="C454" s="10" t="n">
        <v>2</v>
      </c>
      <c r="D454" s="6" t="inlineStr">
        <is>
          <t>2016 Q2</t>
        </is>
      </c>
      <c r="E454" s="8" t="n">
        <v>98.1793333333333</v>
      </c>
      <c r="F454" s="10" t="n">
        <v>-0.922029473995811</v>
      </c>
      <c r="G454" s="10" t="n">
        <v>-0.246895183003848</v>
      </c>
      <c r="H454" s="8" t="n">
        <v>3.79812336196791</v>
      </c>
      <c r="I454" s="8" t="n">
        <v>8.65818225211981</v>
      </c>
      <c r="J454" s="8" t="n">
        <v>123.636358020705</v>
      </c>
      <c r="K454" s="8" t="n">
        <v>-2.29678480991374</v>
      </c>
      <c r="L454" s="8" t="n">
        <v>96.9846126235507</v>
      </c>
      <c r="M454" s="8" t="n">
        <v>0.141594709630688</v>
      </c>
      <c r="N454" s="8" t="n">
        <v>0.373333333333333</v>
      </c>
      <c r="O454" s="8" t="n">
        <v>0.0133333333333334</v>
      </c>
      <c r="P454" s="8" t="n">
        <v>45.5233333333333</v>
      </c>
      <c r="Q454" s="8" t="n">
        <v>-26.2102874432678</v>
      </c>
      <c r="R454" s="10" t="n">
        <v>0</v>
      </c>
      <c r="S454" s="7" t="inlineStr">
        <is>
          <t>High_Quality_Observed</t>
        </is>
      </c>
    </row>
    <row r="455" ht="19" customHeight="1">
      <c r="A455" s="6" t="inlineStr">
        <is>
          <t>Singapore</t>
        </is>
      </c>
      <c r="B455" s="10" t="n">
        <v>2016</v>
      </c>
      <c r="C455" s="10" t="n">
        <v>3</v>
      </c>
      <c r="D455" s="6" t="inlineStr">
        <is>
          <t>2016 Q3</t>
        </is>
      </c>
      <c r="E455" s="8" t="n">
        <v>98.49866666666669</v>
      </c>
      <c r="F455" s="10" t="n">
        <v>-0.385988450686192</v>
      </c>
      <c r="G455" s="10" t="n">
        <v>0.32525514534627</v>
      </c>
      <c r="H455" s="8" t="n">
        <v>4.07689198094705</v>
      </c>
      <c r="I455" s="8" t="n">
        <v>8.94751638623562</v>
      </c>
      <c r="J455" s="8" t="n">
        <v>123.548281756393</v>
      </c>
      <c r="K455" s="8" t="n">
        <v>-0.463150144685531</v>
      </c>
      <c r="L455" s="8" t="n">
        <v>100.864699533998</v>
      </c>
      <c r="M455" s="8" t="n">
        <v>8.75380259767431</v>
      </c>
      <c r="N455" s="8" t="n">
        <v>0.396666666666667</v>
      </c>
      <c r="O455" s="8" t="n">
        <v>0.0233333333333333</v>
      </c>
      <c r="P455" s="8" t="n">
        <v>45.7866666666667</v>
      </c>
      <c r="Q455" s="8" t="n">
        <v>-8.852023888520231</v>
      </c>
      <c r="R455" s="10" t="n">
        <v>0</v>
      </c>
      <c r="S455" s="7" t="inlineStr">
        <is>
          <t>High_Quality_Observed</t>
        </is>
      </c>
    </row>
    <row r="456" ht="19" customHeight="1">
      <c r="A456" s="6" t="inlineStr">
        <is>
          <t>Singapore</t>
        </is>
      </c>
      <c r="B456" s="10" t="n">
        <v>2016</v>
      </c>
      <c r="C456" s="10" t="n">
        <v>4</v>
      </c>
      <c r="D456" s="6" t="inlineStr">
        <is>
          <t>2016 Q4</t>
        </is>
      </c>
      <c r="E456" s="8" t="n">
        <v>98.6453333333333</v>
      </c>
      <c r="F456" s="10" t="n">
        <v>0.0243355055025374</v>
      </c>
      <c r="G456" s="10" t="n">
        <v>0.148902184801147</v>
      </c>
      <c r="H456" s="8" t="n">
        <v>4.30255152281413</v>
      </c>
      <c r="I456" s="8" t="n">
        <v>7.71898682147112</v>
      </c>
      <c r="J456" s="8" t="n">
        <v>121.431843349797</v>
      </c>
      <c r="K456" s="8" t="n">
        <v>-1.73889300800139</v>
      </c>
      <c r="L456" s="8" t="n">
        <v>101.835604997953</v>
      </c>
      <c r="M456" s="8" t="n">
        <v>12.7740545896579</v>
      </c>
      <c r="N456" s="8" t="n">
        <v>0.45</v>
      </c>
      <c r="O456" s="8" t="n">
        <v>0.0533333333333333</v>
      </c>
      <c r="P456" s="8" t="n">
        <v>49.1866666666667</v>
      </c>
      <c r="Q456" s="8" t="n">
        <v>12.8911330426134</v>
      </c>
      <c r="R456" s="10" t="n">
        <v>0</v>
      </c>
      <c r="S456" s="7" t="inlineStr">
        <is>
          <t>High_Quality_Observed</t>
        </is>
      </c>
    </row>
    <row r="457" ht="19" customHeight="1">
      <c r="A457" s="6" t="inlineStr">
        <is>
          <t>Singapore</t>
        </is>
      </c>
      <c r="B457" s="10" t="n">
        <v>2017</v>
      </c>
      <c r="C457" s="10" t="n">
        <v>1</v>
      </c>
      <c r="D457" s="6" t="inlineStr">
        <is>
          <t>2017 Q1</t>
        </is>
      </c>
      <c r="E457" s="8" t="n">
        <v>99.03766666666669</v>
      </c>
      <c r="F457" s="10" t="n">
        <v>0.625196855727195</v>
      </c>
      <c r="G457" s="10" t="n">
        <v>0.397721128892736</v>
      </c>
      <c r="H457" s="8" t="n">
        <v>4.47510221328366</v>
      </c>
      <c r="I457" s="8" t="n">
        <v>4.97259232923329</v>
      </c>
      <c r="J457" s="8" t="n">
        <v>121.669312680992</v>
      </c>
      <c r="K457" s="8" t="n">
        <v>-1.23235224900811</v>
      </c>
      <c r="L457" s="8" t="n">
        <v>100.125779631695</v>
      </c>
      <c r="M457" s="8" t="n">
        <v>9.23331980015236</v>
      </c>
      <c r="N457" s="8" t="n">
        <v>0.7</v>
      </c>
      <c r="O457" s="8" t="n">
        <v>0.25</v>
      </c>
      <c r="P457" s="8" t="n">
        <v>53.68</v>
      </c>
      <c r="Q457" s="8" t="n">
        <v>59.30359085963</v>
      </c>
      <c r="R457" s="10" t="n">
        <v>0</v>
      </c>
      <c r="S457" s="7" t="inlineStr">
        <is>
          <t>High_Quality_Observed</t>
        </is>
      </c>
    </row>
    <row r="458" ht="19" customHeight="1">
      <c r="A458" s="6" t="inlineStr">
        <is>
          <t>Singapore</t>
        </is>
      </c>
      <c r="B458" s="10" t="n">
        <v>2017</v>
      </c>
      <c r="C458" s="10" t="n">
        <v>2</v>
      </c>
      <c r="D458" s="6" t="inlineStr">
        <is>
          <t>2017 Q2</t>
        </is>
      </c>
      <c r="E458" s="8" t="n">
        <v>98.93866666666671</v>
      </c>
      <c r="F458" s="10" t="n">
        <v>0.773414635802516</v>
      </c>
      <c r="G458" s="10" t="n">
        <v>-0.099961967332296</v>
      </c>
      <c r="H458" s="8" t="n">
        <v>4.48479909865614</v>
      </c>
      <c r="I458" s="8" t="n">
        <v>3.16442085011264</v>
      </c>
      <c r="J458" s="8" t="n">
        <v>121.47831969838</v>
      </c>
      <c r="K458" s="8" t="n">
        <v>-1.7454722517495</v>
      </c>
      <c r="L458" s="8" t="n">
        <v>99.4605526807123</v>
      </c>
      <c r="M458" s="8" t="n">
        <v>2.55292049963849</v>
      </c>
      <c r="N458" s="8" t="n">
        <v>0.95</v>
      </c>
      <c r="O458" s="8" t="n">
        <v>0.25</v>
      </c>
      <c r="P458" s="8" t="n">
        <v>49.67</v>
      </c>
      <c r="Q458" s="8" t="n">
        <v>9.10888189207</v>
      </c>
      <c r="R458" s="10" t="n">
        <v>0</v>
      </c>
      <c r="S458" s="7" t="inlineStr">
        <is>
          <t>High_Quality_Observed</t>
        </is>
      </c>
    </row>
    <row r="459" ht="19" customHeight="1">
      <c r="A459" s="6" t="inlineStr">
        <is>
          <t>Singapore</t>
        </is>
      </c>
      <c r="B459" s="10" t="n">
        <v>2017</v>
      </c>
      <c r="C459" s="10" t="n">
        <v>3</v>
      </c>
      <c r="D459" s="6" t="inlineStr">
        <is>
          <t>2017 Q3</t>
        </is>
      </c>
      <c r="E459" s="8" t="n">
        <v>98.93933333333329</v>
      </c>
      <c r="F459" s="10" t="n">
        <v>0.447383382516175</v>
      </c>
      <c r="G459" s="10" t="n">
        <v>0.0006738181230092</v>
      </c>
      <c r="H459" s="8" t="n">
        <v>4.33164218866914</v>
      </c>
      <c r="I459" s="8" t="n">
        <v>2.29447057587654</v>
      </c>
      <c r="J459" s="8" t="n">
        <v>121.441267358794</v>
      </c>
      <c r="K459" s="8" t="n">
        <v>-1.70541780722894</v>
      </c>
      <c r="L459" s="8" t="n">
        <v>102.480667511988</v>
      </c>
      <c r="M459" s="8" t="n">
        <v>1.60211450136303</v>
      </c>
      <c r="N459" s="8" t="n">
        <v>1.15333333333333</v>
      </c>
      <c r="O459" s="8" t="n">
        <v>0.203333333333333</v>
      </c>
      <c r="P459" s="8" t="n">
        <v>52.11</v>
      </c>
      <c r="Q459" s="8" t="n">
        <v>13.8104251601631</v>
      </c>
      <c r="R459" s="10" t="n">
        <v>0</v>
      </c>
      <c r="S459" s="7" t="inlineStr">
        <is>
          <t>High_Quality_Observed</t>
        </is>
      </c>
    </row>
    <row r="460" ht="19" customHeight="1">
      <c r="A460" s="6" t="inlineStr">
        <is>
          <t>Singapore</t>
        </is>
      </c>
      <c r="B460" s="10" t="n">
        <v>2017</v>
      </c>
      <c r="C460" s="10" t="n">
        <v>4</v>
      </c>
      <c r="D460" s="6" t="inlineStr">
        <is>
          <t>2017 Q4</t>
        </is>
      </c>
      <c r="E460" s="8" t="n">
        <v>99.099</v>
      </c>
      <c r="F460" s="10" t="n">
        <v>0.459896734429077</v>
      </c>
      <c r="G460" s="10" t="n">
        <v>0.161378353064845</v>
      </c>
      <c r="H460" s="8" t="n">
        <v>4.01563133012136</v>
      </c>
      <c r="I460" s="8" t="n">
        <v>2.3627406365907</v>
      </c>
      <c r="J460" s="8" t="n">
        <v>121.519266166778</v>
      </c>
      <c r="K460" s="8" t="n">
        <v>0.07199332116640809</v>
      </c>
      <c r="L460" s="8" t="n">
        <v>100.792675769869</v>
      </c>
      <c r="M460" s="8" t="n">
        <v>-1.0241302421728</v>
      </c>
      <c r="N460" s="8" t="n">
        <v>1.20333333333333</v>
      </c>
      <c r="O460" s="8" t="n">
        <v>0.05</v>
      </c>
      <c r="P460" s="8" t="n">
        <v>61.53</v>
      </c>
      <c r="Q460" s="8" t="n">
        <v>25.0948766603416</v>
      </c>
      <c r="R460" s="10" t="n">
        <v>0</v>
      </c>
      <c r="S460" s="7" t="inlineStr">
        <is>
          <t>High_Quality_Observed</t>
        </is>
      </c>
    </row>
    <row r="461" ht="19" customHeight="1">
      <c r="A461" s="6" t="inlineStr">
        <is>
          <t>Singapore</t>
        </is>
      </c>
      <c r="B461" s="10" t="n">
        <v>2018</v>
      </c>
      <c r="C461" s="10" t="n">
        <v>1</v>
      </c>
      <c r="D461" s="6" t="inlineStr">
        <is>
          <t>2018 Q1</t>
        </is>
      </c>
      <c r="E461" s="8" t="n">
        <v>99.27833333333329</v>
      </c>
      <c r="F461" s="10" t="n">
        <v>0.243005186578849</v>
      </c>
      <c r="G461" s="10" t="n">
        <v>0.180963817327462</v>
      </c>
      <c r="H461" s="8" t="n">
        <v>3.53676620702843</v>
      </c>
      <c r="I461" s="8" t="n">
        <v>3.36923110059288</v>
      </c>
      <c r="J461" s="8" t="n">
        <v>120.729328371518</v>
      </c>
      <c r="K461" s="8" t="n">
        <v>-0.77257304143642</v>
      </c>
      <c r="L461" s="8" t="n">
        <v>96.02404012089779</v>
      </c>
      <c r="M461" s="8" t="n">
        <v>-4.09658683895945</v>
      </c>
      <c r="N461" s="8" t="n">
        <v>1.44666666666667</v>
      </c>
      <c r="O461" s="8" t="n">
        <v>0.243333333333333</v>
      </c>
      <c r="P461" s="8" t="n">
        <v>66.8066666666667</v>
      </c>
      <c r="Q461" s="8" t="n">
        <v>24.4535519125683</v>
      </c>
      <c r="R461" s="10" t="n">
        <v>0</v>
      </c>
      <c r="S461" s="7" t="inlineStr">
        <is>
          <t>High_Quality_Observed</t>
        </is>
      </c>
    </row>
    <row r="462" ht="19" customHeight="1">
      <c r="A462" s="6" t="inlineStr">
        <is>
          <t>Singapore</t>
        </is>
      </c>
      <c r="B462" s="10" t="n">
        <v>2018</v>
      </c>
      <c r="C462" s="10" t="n">
        <v>2</v>
      </c>
      <c r="D462" s="6" t="inlineStr">
        <is>
          <t>2018 Q2</t>
        </is>
      </c>
      <c r="E462" s="8" t="n">
        <v>99.2623333333333</v>
      </c>
      <c r="F462" s="10" t="n">
        <v>0.327138698722451</v>
      </c>
      <c r="G462" s="10" t="n">
        <v>-0.0161163060083624</v>
      </c>
      <c r="H462" s="8" t="n">
        <v>3.20515721994062</v>
      </c>
      <c r="I462" s="8" t="n">
        <v>3.98488612521664</v>
      </c>
      <c r="J462" s="8" t="n">
        <v>120.916913311677</v>
      </c>
      <c r="K462" s="8" t="n">
        <v>-0.462145334325659</v>
      </c>
      <c r="L462" s="8" t="n">
        <v>96.1737638878632</v>
      </c>
      <c r="M462" s="8" t="n">
        <v>-3.30461545231933</v>
      </c>
      <c r="N462" s="8" t="n">
        <v>1.73666666666667</v>
      </c>
      <c r="O462" s="8" t="n">
        <v>0.29</v>
      </c>
      <c r="P462" s="8" t="n">
        <v>74.5</v>
      </c>
      <c r="Q462" s="8" t="n">
        <v>49.9899335615059</v>
      </c>
      <c r="R462" s="10" t="n">
        <v>0</v>
      </c>
      <c r="S462" s="7" t="inlineStr">
        <is>
          <t>High_Quality_Observed</t>
        </is>
      </c>
    </row>
    <row r="463" ht="19" customHeight="1">
      <c r="A463" s="6" t="inlineStr">
        <is>
          <t>Singapore</t>
        </is>
      </c>
      <c r="B463" s="10" t="n">
        <v>2018</v>
      </c>
      <c r="C463" s="10" t="n">
        <v>3</v>
      </c>
      <c r="D463" s="6" t="inlineStr">
        <is>
          <t>2018 Q3</t>
        </is>
      </c>
      <c r="E463" s="8" t="n">
        <v>99.63</v>
      </c>
      <c r="F463" s="10" t="n">
        <v>0.69807087171263</v>
      </c>
      <c r="G463" s="10" t="n">
        <v>0.370398976449615</v>
      </c>
      <c r="H463" s="8" t="n">
        <v>3.02080403729912</v>
      </c>
      <c r="I463" s="8" t="n">
        <v>4.20970632627731</v>
      </c>
      <c r="J463" s="8" t="n">
        <v>120.659172724249</v>
      </c>
      <c r="K463" s="8" t="n">
        <v>-0.644010599983402</v>
      </c>
      <c r="L463" s="8" t="n">
        <v>93.2694805076009</v>
      </c>
      <c r="M463" s="8" t="n">
        <v>-8.98821917149397</v>
      </c>
      <c r="N463" s="8" t="n">
        <v>1.92333333333333</v>
      </c>
      <c r="O463" s="8" t="n">
        <v>0.186666666666667</v>
      </c>
      <c r="P463" s="8" t="n">
        <v>75.2233333333333</v>
      </c>
      <c r="Q463" s="8" t="n">
        <v>44.3548902961683</v>
      </c>
      <c r="R463" s="10" t="n">
        <v>0</v>
      </c>
      <c r="S463" s="7" t="inlineStr">
        <is>
          <t>High_Quality_Observed</t>
        </is>
      </c>
    </row>
    <row r="464" ht="19" customHeight="1">
      <c r="A464" s="6" t="inlineStr">
        <is>
          <t>Singapore</t>
        </is>
      </c>
      <c r="B464" s="10" t="n">
        <v>2018</v>
      </c>
      <c r="C464" s="10" t="n">
        <v>4</v>
      </c>
      <c r="D464" s="6" t="inlineStr">
        <is>
          <t>2018 Q4</t>
        </is>
      </c>
      <c r="E464" s="8" t="n">
        <v>99.581</v>
      </c>
      <c r="F464" s="10" t="n">
        <v>0.486382304564126</v>
      </c>
      <c r="G464" s="10" t="n">
        <v>-0.0491819733012044</v>
      </c>
      <c r="H464" s="8" t="n">
        <v>2.98370647465766</v>
      </c>
      <c r="I464" s="8" t="n">
        <v>4.0436919284834</v>
      </c>
      <c r="J464" s="8" t="n">
        <v>120.838001499175</v>
      </c>
      <c r="K464" s="8" t="n">
        <v>-0.560622763034491</v>
      </c>
      <c r="L464" s="8" t="n">
        <v>90.7369363173618</v>
      </c>
      <c r="M464" s="8" t="n">
        <v>-9.976656910534739</v>
      </c>
      <c r="N464" s="8" t="n">
        <v>2.22</v>
      </c>
      <c r="O464" s="8" t="n">
        <v>0.296666666666667</v>
      </c>
      <c r="P464" s="8" t="n">
        <v>67.7133333333333</v>
      </c>
      <c r="Q464" s="8" t="n">
        <v>10.0492984452029</v>
      </c>
      <c r="R464" s="10" t="n">
        <v>0</v>
      </c>
      <c r="S464" s="7" t="inlineStr">
        <is>
          <t>High_Quality_Observed</t>
        </is>
      </c>
    </row>
    <row r="465" ht="19" customHeight="1">
      <c r="A465" s="6" t="inlineStr">
        <is>
          <t>Singapore</t>
        </is>
      </c>
      <c r="B465" s="10" t="n">
        <v>2019</v>
      </c>
      <c r="C465" s="10" t="n">
        <v>1</v>
      </c>
      <c r="D465" s="6" t="inlineStr">
        <is>
          <t>2019 Q1</t>
        </is>
      </c>
      <c r="E465" s="8" t="n">
        <v>99.7706666666667</v>
      </c>
      <c r="F465" s="10" t="n">
        <v>0.495912166132251</v>
      </c>
      <c r="G465" s="10" t="n">
        <v>0.190464713817562</v>
      </c>
      <c r="H465" s="8" t="n">
        <v>3.09386449504264</v>
      </c>
      <c r="I465" s="8" t="n">
        <v>3.48684276581674</v>
      </c>
      <c r="J465" s="8" t="n">
        <v>121.416371895118</v>
      </c>
      <c r="K465" s="8" t="n">
        <v>0.569077566211496</v>
      </c>
      <c r="L465" s="8" t="n">
        <v>93.8324987094736</v>
      </c>
      <c r="M465" s="8" t="n">
        <v>-2.2822841120463</v>
      </c>
      <c r="N465" s="8" t="n">
        <v>2.40333333333333</v>
      </c>
      <c r="O465" s="8" t="n">
        <v>0.183333333333333</v>
      </c>
      <c r="P465" s="8" t="n">
        <v>63.17</v>
      </c>
      <c r="Q465" s="8" t="n">
        <v>-5.4435685061371</v>
      </c>
      <c r="R465" s="10" t="n">
        <v>0</v>
      </c>
      <c r="S465" s="7" t="inlineStr">
        <is>
          <t>High_Quality_Observed</t>
        </is>
      </c>
    </row>
    <row r="466" ht="19" customHeight="1">
      <c r="A466" s="6" t="inlineStr">
        <is>
          <t>Singapore</t>
        </is>
      </c>
      <c r="B466" s="10" t="n">
        <v>2019</v>
      </c>
      <c r="C466" s="10" t="n">
        <v>2</v>
      </c>
      <c r="D466" s="6" t="inlineStr">
        <is>
          <t>2019 Q2</t>
        </is>
      </c>
      <c r="E466" s="8" t="n">
        <v>100.038666666667</v>
      </c>
      <c r="F466" s="10" t="n">
        <v>0.782102643836047</v>
      </c>
      <c r="G466" s="10" t="n">
        <v>0.268616026086499</v>
      </c>
      <c r="H466" s="8" t="n">
        <v>2.36389414334682</v>
      </c>
      <c r="I466" s="8" t="n">
        <v>3.84990596300593</v>
      </c>
      <c r="J466" s="8" t="n">
        <v>121.122391568039</v>
      </c>
      <c r="K466" s="8" t="n">
        <v>0.169933428446689</v>
      </c>
      <c r="L466" s="8" t="n">
        <v>94.8842784155444</v>
      </c>
      <c r="M466" s="8" t="n">
        <v>-1.34078715461562</v>
      </c>
      <c r="N466" s="8" t="n">
        <v>2.39666666666667</v>
      </c>
      <c r="O466" s="8" t="n">
        <v>-0.0066666666666668</v>
      </c>
      <c r="P466" s="8" t="n">
        <v>68.9233333333333</v>
      </c>
      <c r="Q466" s="8" t="n">
        <v>-7.48545861297539</v>
      </c>
      <c r="R466" s="10" t="n">
        <v>0</v>
      </c>
      <c r="S466" s="7" t="inlineStr">
        <is>
          <t>High_Quality_Observed</t>
        </is>
      </c>
    </row>
    <row r="467" ht="19" customHeight="1">
      <c r="A467" s="6" t="inlineStr">
        <is>
          <t>Singapore</t>
        </is>
      </c>
      <c r="B467" s="10" t="n">
        <v>2019</v>
      </c>
      <c r="C467" s="10" t="n">
        <v>3</v>
      </c>
      <c r="D467" s="6" t="inlineStr">
        <is>
          <t>2019 Q3</t>
        </is>
      </c>
      <c r="E467" s="8" t="n">
        <v>99.98099999999999</v>
      </c>
      <c r="F467" s="10" t="n">
        <v>0.352303523035236</v>
      </c>
      <c r="G467" s="10" t="n">
        <v>-0.0576443775073598</v>
      </c>
      <c r="H467" s="8" t="n">
        <v>0.793794689699816</v>
      </c>
      <c r="I467" s="8" t="n">
        <v>5.13288188298259</v>
      </c>
      <c r="J467" s="8" t="n">
        <v>119.819043008997</v>
      </c>
      <c r="K467" s="8" t="n">
        <v>-0.696283337838288</v>
      </c>
      <c r="L467" s="8" t="n">
        <v>94.5983508132319</v>
      </c>
      <c r="M467" s="8" t="n">
        <v>1.42476434777905</v>
      </c>
      <c r="N467" s="8" t="n">
        <v>2.19</v>
      </c>
      <c r="O467" s="8" t="n">
        <v>-0.206666666666667</v>
      </c>
      <c r="P467" s="8" t="n">
        <v>61.93</v>
      </c>
      <c r="Q467" s="8" t="n">
        <v>-17.6718216865334</v>
      </c>
      <c r="R467" s="10" t="n">
        <v>0</v>
      </c>
      <c r="S467" s="7" t="inlineStr">
        <is>
          <t>High_Quality_Observed</t>
        </is>
      </c>
    </row>
    <row r="468" ht="19" customHeight="1">
      <c r="A468" s="6" t="inlineStr">
        <is>
          <t>Singapore</t>
        </is>
      </c>
      <c r="B468" s="10" t="n">
        <v>2019</v>
      </c>
      <c r="C468" s="10" t="n">
        <v>4</v>
      </c>
      <c r="D468" s="6" t="inlineStr">
        <is>
          <t>2019 Q4</t>
        </is>
      </c>
      <c r="E468" s="8" t="n">
        <v>100.209666666667</v>
      </c>
      <c r="F468" s="10" t="n">
        <v>0.631311863374195</v>
      </c>
      <c r="G468" s="10" t="n">
        <v>0.228710121589759</v>
      </c>
      <c r="H468" s="8" t="n">
        <v>-1.61643543606546</v>
      </c>
      <c r="I468" s="8" t="n">
        <v>7.33577180879458</v>
      </c>
      <c r="J468" s="8" t="n">
        <v>120.395446650753</v>
      </c>
      <c r="K468" s="8" t="n">
        <v>-0.366238139435138</v>
      </c>
      <c r="L468" s="8" t="n">
        <v>98.5900431134575</v>
      </c>
      <c r="M468" s="8" t="n">
        <v>8.654807088293911</v>
      </c>
      <c r="N468" s="8" t="n">
        <v>1.64333333333333</v>
      </c>
      <c r="O468" s="8" t="n">
        <v>-0.546666666666667</v>
      </c>
      <c r="P468" s="8" t="n">
        <v>63.41</v>
      </c>
      <c r="Q468" s="8" t="n">
        <v>-6.35522299891701</v>
      </c>
      <c r="R468" s="10" t="n">
        <v>0</v>
      </c>
      <c r="S468" s="7" t="inlineStr">
        <is>
          <t>High_Quality_Observed</t>
        </is>
      </c>
    </row>
    <row r="469" ht="19" customHeight="1">
      <c r="A469" s="6" t="inlineStr">
        <is>
          <t>Singapore</t>
        </is>
      </c>
      <c r="B469" s="10" t="n">
        <v>2020</v>
      </c>
      <c r="C469" s="10" t="n">
        <v>1</v>
      </c>
      <c r="D469" s="6" t="inlineStr">
        <is>
          <t>2020 Q1</t>
        </is>
      </c>
      <c r="E469" s="8" t="n">
        <v>100.138666666667</v>
      </c>
      <c r="F469" s="10" t="n">
        <v>0.368845886566516</v>
      </c>
      <c r="G469" s="10" t="n">
        <v>-0.0708514481304157</v>
      </c>
      <c r="H469" s="8" t="n">
        <v>-4.86679864408999</v>
      </c>
      <c r="I469" s="8" t="n">
        <v>10.4585779432958</v>
      </c>
      <c r="J469" s="8" t="n">
        <v>118.590302251151</v>
      </c>
      <c r="K469" s="8" t="n">
        <v>-2.32758531642556</v>
      </c>
      <c r="L469" s="8" t="n">
        <v>101.264856657347</v>
      </c>
      <c r="M469" s="8" t="n">
        <v>7.92087821393919</v>
      </c>
      <c r="N469" s="8" t="n">
        <v>1.26</v>
      </c>
      <c r="O469" s="8" t="n">
        <v>-0.383333333333333</v>
      </c>
      <c r="P469" s="8" t="n">
        <v>50.44</v>
      </c>
      <c r="Q469" s="8" t="n">
        <v>-20.1519708722495</v>
      </c>
      <c r="R469" s="10" t="n">
        <v>0</v>
      </c>
      <c r="S469" s="7" t="inlineStr">
        <is>
          <t>High_Quality_Observed</t>
        </is>
      </c>
    </row>
    <row r="470" ht="19" customHeight="1">
      <c r="A470" s="6" t="inlineStr">
        <is>
          <t>Singapore</t>
        </is>
      </c>
      <c r="B470" s="10" t="n">
        <v>2020</v>
      </c>
      <c r="C470" s="10" t="n">
        <v>2</v>
      </c>
      <c r="D470" s="6" t="inlineStr">
        <is>
          <t>2020 Q2</t>
        </is>
      </c>
      <c r="E470" s="8" t="n">
        <v>99.3306666666667</v>
      </c>
      <c r="F470" s="10" t="n">
        <v>-0.707726345812953</v>
      </c>
      <c r="G470" s="10" t="n">
        <v>-0.80688112484022</v>
      </c>
      <c r="H470" s="8" t="n">
        <v>-5.66456144302173</v>
      </c>
      <c r="I470" s="8" t="n">
        <v>12.8006798116737</v>
      </c>
      <c r="J470" s="8" t="n">
        <v>117.665215800962</v>
      </c>
      <c r="K470" s="8" t="n">
        <v>-2.85428294663026</v>
      </c>
      <c r="L470" s="8" t="n">
        <v>94.2610802411244</v>
      </c>
      <c r="M470" s="8" t="n">
        <v>-0.656798138560644</v>
      </c>
      <c r="N470" s="8" t="n">
        <v>0.06</v>
      </c>
      <c r="O470" s="8" t="n">
        <v>-1.2</v>
      </c>
      <c r="P470" s="8" t="n">
        <v>29.3433333333333</v>
      </c>
      <c r="Q470" s="8" t="n">
        <v>-57.426125646854</v>
      </c>
      <c r="R470" s="10" t="n">
        <v>0</v>
      </c>
      <c r="S470" s="7" t="inlineStr">
        <is>
          <t>High_Quality_Observed</t>
        </is>
      </c>
    </row>
    <row r="471" ht="19" customHeight="1">
      <c r="A471" s="6" t="inlineStr">
        <is>
          <t>Singapore</t>
        </is>
      </c>
      <c r="B471" s="10" t="n">
        <v>2020</v>
      </c>
      <c r="C471" s="10" t="n">
        <v>3</v>
      </c>
      <c r="D471" s="6" t="inlineStr">
        <is>
          <t>2020 Q3</t>
        </is>
      </c>
      <c r="E471" s="8" t="n">
        <v>99.708</v>
      </c>
      <c r="F471" s="10" t="n">
        <v>-0.273051879857178</v>
      </c>
      <c r="G471" s="10" t="n">
        <v>0.379875969824695</v>
      </c>
      <c r="H471" s="8" t="n">
        <v>-4.00972463043943</v>
      </c>
      <c r="I471" s="8" t="n">
        <v>14.3620797561054</v>
      </c>
      <c r="J471" s="8" t="n">
        <v>117.550837634053</v>
      </c>
      <c r="K471" s="8" t="n">
        <v>-1.89302578119728</v>
      </c>
      <c r="L471" s="8" t="n">
        <v>97.88852553233011</v>
      </c>
      <c r="M471" s="8" t="n">
        <v>3.47804659469599</v>
      </c>
      <c r="N471" s="8" t="n">
        <v>0.0933333333333333</v>
      </c>
      <c r="O471" s="8" t="n">
        <v>0.0333333333333333</v>
      </c>
      <c r="P471" s="8" t="n">
        <v>42.9633333333333</v>
      </c>
      <c r="Q471" s="8" t="n">
        <v>-30.6259755638086</v>
      </c>
      <c r="R471" s="10" t="n">
        <v>0</v>
      </c>
      <c r="S471" s="7" t="inlineStr">
        <is>
          <t>High_Quality_Observed</t>
        </is>
      </c>
    </row>
    <row r="472" ht="19" customHeight="1">
      <c r="A472" s="6" t="inlineStr">
        <is>
          <t>Singapore</t>
        </is>
      </c>
      <c r="B472" s="10" t="n">
        <v>2020</v>
      </c>
      <c r="C472" s="10" t="n">
        <v>4</v>
      </c>
      <c r="D472" s="6" t="inlineStr">
        <is>
          <t>2020 Q4</t>
        </is>
      </c>
      <c r="E472" s="8" t="n">
        <v>100.095</v>
      </c>
      <c r="F472" s="10" t="n">
        <v>-0.114426751910157</v>
      </c>
      <c r="G472" s="10" t="n">
        <v>0.388133349380193</v>
      </c>
      <c r="H472" s="8" t="n">
        <v>0.09771344834434111</v>
      </c>
      <c r="I472" s="8" t="n">
        <v>15.1427793380136</v>
      </c>
      <c r="J472" s="8" t="n">
        <v>117.863077583461</v>
      </c>
      <c r="K472" s="8" t="n">
        <v>-2.10337611408067</v>
      </c>
      <c r="L472" s="8" t="n">
        <v>107.405441783652</v>
      </c>
      <c r="M472" s="8" t="n">
        <v>8.9414695356711</v>
      </c>
      <c r="N472" s="8" t="n">
        <v>0.09</v>
      </c>
      <c r="O472" s="8" t="n">
        <v>-0.0033333333333333</v>
      </c>
      <c r="P472" s="8" t="n">
        <v>44.29</v>
      </c>
      <c r="Q472" s="8" t="n">
        <v>-30.152972717237</v>
      </c>
      <c r="R472" s="10" t="n">
        <v>0</v>
      </c>
      <c r="S472" s="7" t="inlineStr">
        <is>
          <t>High_Quality_Observed</t>
        </is>
      </c>
    </row>
    <row r="473" ht="19" customHeight="1">
      <c r="A473" s="6" t="inlineStr">
        <is>
          <t>Singapore</t>
        </is>
      </c>
      <c r="B473" s="10" t="n">
        <v>2021</v>
      </c>
      <c r="C473" s="10" t="n">
        <v>1</v>
      </c>
      <c r="D473" s="6" t="inlineStr">
        <is>
          <t>2021 Q1</t>
        </is>
      </c>
      <c r="E473" s="11" t="n">
        <v>100.898</v>
      </c>
      <c r="F473" s="12" t="n">
        <v>0.758281849169151</v>
      </c>
      <c r="G473" s="10" t="n">
        <v>0.8022378740196729</v>
      </c>
      <c r="H473" s="8" t="n">
        <v>6.65775690082044</v>
      </c>
      <c r="I473" s="11" t="n">
        <v>9.07118990871103</v>
      </c>
      <c r="J473" s="11" t="n">
        <v>118.113544112902</v>
      </c>
      <c r="K473" s="8" t="n">
        <v>-0.402021184868173</v>
      </c>
      <c r="L473" s="8" t="n">
        <v>106.418456967928</v>
      </c>
      <c r="M473" s="8" t="n">
        <v>5.08922886053087</v>
      </c>
      <c r="N473" s="8" t="n">
        <v>0.08</v>
      </c>
      <c r="O473" s="8" t="n">
        <v>-0.01</v>
      </c>
      <c r="P473" s="8" t="n">
        <v>60.82</v>
      </c>
      <c r="Q473" s="8" t="n">
        <v>20.578905630452</v>
      </c>
      <c r="R473" s="10" t="n">
        <v>1</v>
      </c>
      <c r="S473" s="7" t="inlineStr">
        <is>
          <t>Minor_Imputation_1Var</t>
        </is>
      </c>
    </row>
    <row r="474" ht="19" customHeight="1">
      <c r="A474" s="6" t="inlineStr">
        <is>
          <t>Singapore</t>
        </is>
      </c>
      <c r="B474" s="10" t="n">
        <v>2021</v>
      </c>
      <c r="C474" s="10" t="n">
        <v>2</v>
      </c>
      <c r="D474" s="6" t="inlineStr">
        <is>
          <t>2021 Q2</t>
        </is>
      </c>
      <c r="E474" s="11" t="n">
        <v>101.607666666667</v>
      </c>
      <c r="F474" s="12" t="n">
        <v>2.29234341861526</v>
      </c>
      <c r="G474" s="10" t="n">
        <v>0.703350578471995</v>
      </c>
      <c r="H474" s="8" t="n">
        <v>10.6751035749638</v>
      </c>
      <c r="I474" s="11" t="n">
        <v>9.07118990871103</v>
      </c>
      <c r="J474" s="11" t="n">
        <v>118.824351660708</v>
      </c>
      <c r="K474" s="8" t="n">
        <v>0.9851134439821549</v>
      </c>
      <c r="L474" s="8" t="n">
        <v>114.551815876528</v>
      </c>
      <c r="M474" s="8" t="n">
        <v>21.5261013172124</v>
      </c>
      <c r="N474" s="8" t="n">
        <v>0.07000000000000001</v>
      </c>
      <c r="O474" s="8" t="n">
        <v>-0.01</v>
      </c>
      <c r="P474" s="8" t="n">
        <v>68.8333333333333</v>
      </c>
      <c r="Q474" s="8" t="n">
        <v>134.579120754288</v>
      </c>
      <c r="R474" s="10" t="n">
        <v>1</v>
      </c>
      <c r="S474" s="7" t="inlineStr">
        <is>
          <t>Minor_Imputation_1Var</t>
        </is>
      </c>
    </row>
    <row r="475" ht="19" customHeight="1">
      <c r="A475" s="6" t="inlineStr">
        <is>
          <t>Singapore</t>
        </is>
      </c>
      <c r="B475" s="10" t="n">
        <v>2021</v>
      </c>
      <c r="C475" s="10" t="n">
        <v>3</v>
      </c>
      <c r="D475" s="6" t="inlineStr">
        <is>
          <t>2021 Q3</t>
        </is>
      </c>
      <c r="E475" s="11" t="n">
        <v>102.186666666667</v>
      </c>
      <c r="F475" s="12" t="n">
        <v>2.48592556932912</v>
      </c>
      <c r="G475" s="10" t="n">
        <v>0.569838890109997</v>
      </c>
      <c r="H475" s="8" t="n">
        <v>12.1497574881364</v>
      </c>
      <c r="I475" s="11" t="n">
        <v>9.07118990871103</v>
      </c>
      <c r="J475" s="11" t="n">
        <v>118.213397493305</v>
      </c>
      <c r="K475" s="8" t="n">
        <v>0.563636867748718</v>
      </c>
      <c r="L475" s="8" t="n">
        <v>116.298331246585</v>
      </c>
      <c r="M475" s="8" t="n">
        <v>18.8069087915464</v>
      </c>
      <c r="N475" s="8" t="n">
        <v>0.09</v>
      </c>
      <c r="O475" s="8" t="n">
        <v>0.02</v>
      </c>
      <c r="P475" s="8" t="n">
        <v>73.47</v>
      </c>
      <c r="Q475" s="8" t="n">
        <v>71.0062844285825</v>
      </c>
      <c r="R475" s="10" t="n">
        <v>1</v>
      </c>
      <c r="S475" s="7" t="inlineStr">
        <is>
          <t>Minor_Imputation_1Var</t>
        </is>
      </c>
    </row>
    <row r="476" ht="19" customHeight="1">
      <c r="A476" s="6" t="inlineStr">
        <is>
          <t>Singapore</t>
        </is>
      </c>
      <c r="B476" s="10" t="n">
        <v>2021</v>
      </c>
      <c r="C476" s="10" t="n">
        <v>4</v>
      </c>
      <c r="D476" s="6" t="inlineStr">
        <is>
          <t>2021 Q4</t>
        </is>
      </c>
      <c r="E476" s="11" t="n">
        <v>103.782666666667</v>
      </c>
      <c r="F476" s="12" t="n">
        <v>3.68416670829379</v>
      </c>
      <c r="G476" s="10" t="n">
        <v>1.56184759916493</v>
      </c>
      <c r="H476" s="8" t="n">
        <v>11.0817201149885</v>
      </c>
      <c r="I476" s="11" t="n">
        <v>9.07118990871103</v>
      </c>
      <c r="J476" s="11" t="n">
        <v>119.577884839659</v>
      </c>
      <c r="K476" s="8" t="n">
        <v>1.4549147123569</v>
      </c>
      <c r="L476" s="8" t="n">
        <v>122.679602624024</v>
      </c>
      <c r="M476" s="8" t="n">
        <v>14.2210306914792</v>
      </c>
      <c r="N476" s="8" t="n">
        <v>0.08</v>
      </c>
      <c r="O476" s="8" t="n">
        <v>-0.01</v>
      </c>
      <c r="P476" s="8" t="n">
        <v>79.5866666666667</v>
      </c>
      <c r="Q476" s="8" t="n">
        <v>79.69443817265</v>
      </c>
      <c r="R476" s="10" t="n">
        <v>1</v>
      </c>
      <c r="S476" s="7" t="inlineStr">
        <is>
          <t>Minor_Imputation_1Var</t>
        </is>
      </c>
    </row>
    <row r="477" ht="19" customHeight="1">
      <c r="A477" s="6" t="inlineStr">
        <is>
          <t>Singapore</t>
        </is>
      </c>
      <c r="B477" s="10" t="n">
        <v>2022</v>
      </c>
      <c r="C477" s="10" t="n">
        <v>1</v>
      </c>
      <c r="D477" s="6" t="inlineStr">
        <is>
          <t>2022 Q1</t>
        </is>
      </c>
      <c r="E477" s="11" t="n">
        <v>105.514</v>
      </c>
      <c r="F477" s="12" t="n">
        <v>4.57491724315646</v>
      </c>
      <c r="G477" s="10" t="n">
        <v>1.66822976219534</v>
      </c>
      <c r="H477" s="8" t="n">
        <v>7.4709903874722</v>
      </c>
      <c r="I477" s="11" t="n">
        <v>9.07118990871103</v>
      </c>
      <c r="J477" s="11" t="n">
        <v>121.249727875352</v>
      </c>
      <c r="K477" s="8" t="n">
        <v>2.65522788771118</v>
      </c>
      <c r="L477" s="8" t="n">
        <v>124.25343875034</v>
      </c>
      <c r="M477" s="8" t="n">
        <v>16.7592937264516</v>
      </c>
      <c r="N477" s="8" t="n">
        <v>0.12</v>
      </c>
      <c r="O477" s="8" t="n">
        <v>0.04</v>
      </c>
      <c r="P477" s="8" t="n">
        <v>100.296666666667</v>
      </c>
      <c r="Q477" s="8" t="n">
        <v>64.9073769593335</v>
      </c>
      <c r="R477" s="10" t="n">
        <v>1</v>
      </c>
      <c r="S477" s="7" t="inlineStr">
        <is>
          <t>Minor_Imputation_1Var</t>
        </is>
      </c>
    </row>
    <row r="478" ht="19" customHeight="1">
      <c r="A478" s="6" t="inlineStr">
        <is>
          <t>Singapore</t>
        </is>
      </c>
      <c r="B478" s="10" t="n">
        <v>2022</v>
      </c>
      <c r="C478" s="10" t="n">
        <v>2</v>
      </c>
      <c r="D478" s="6" t="inlineStr">
        <is>
          <t>2022 Q2</t>
        </is>
      </c>
      <c r="E478" s="11" t="n">
        <v>107.605333333333</v>
      </c>
      <c r="F478" s="12" t="n">
        <v>5.90276980411584</v>
      </c>
      <c r="G478" s="10" t="n">
        <v>1.98204345710837</v>
      </c>
      <c r="H478" s="8" t="n">
        <v>4.64241521544948</v>
      </c>
      <c r="I478" s="11" t="n">
        <v>9.07118990871103</v>
      </c>
      <c r="J478" s="11" t="n">
        <v>124.06321317901</v>
      </c>
      <c r="K478" s="8" t="n">
        <v>4.40891235263061</v>
      </c>
      <c r="L478" s="8" t="n">
        <v>134.351432934678</v>
      </c>
      <c r="M478" s="8" t="n">
        <v>17.2844200736996</v>
      </c>
      <c r="N478" s="8" t="n">
        <v>0.77</v>
      </c>
      <c r="O478" s="8" t="n">
        <v>0.65</v>
      </c>
      <c r="P478" s="8" t="n">
        <v>113.543333333333</v>
      </c>
      <c r="Q478" s="8" t="n">
        <v>64.95399515738499</v>
      </c>
      <c r="R478" s="10" t="n">
        <v>1</v>
      </c>
      <c r="S478" s="7" t="inlineStr">
        <is>
          <t>Minor_Imputation_1Var</t>
        </is>
      </c>
    </row>
    <row r="479" ht="19" customHeight="1">
      <c r="A479" s="6" t="inlineStr">
        <is>
          <t>Singapore</t>
        </is>
      </c>
      <c r="B479" s="10" t="n">
        <v>2022</v>
      </c>
      <c r="C479" s="10" t="n">
        <v>3</v>
      </c>
      <c r="D479" s="6" t="inlineStr">
        <is>
          <t>2022 Q3</t>
        </is>
      </c>
      <c r="E479" s="11" t="n">
        <v>109.679333333333</v>
      </c>
      <c r="F479" s="12" t="n">
        <v>7.33233298538623</v>
      </c>
      <c r="G479" s="10" t="n">
        <v>1.92741375892149</v>
      </c>
      <c r="H479" s="8" t="n">
        <v>2.59599177033013</v>
      </c>
      <c r="I479" s="11" t="n">
        <v>9.07118990871103</v>
      </c>
      <c r="J479" s="11" t="n">
        <v>127.707976835236</v>
      </c>
      <c r="K479" s="8" t="n">
        <v>8.031728673112969</v>
      </c>
      <c r="L479" s="8" t="n">
        <v>118.584751746656</v>
      </c>
      <c r="M479" s="8" t="n">
        <v>1.96599596534466</v>
      </c>
      <c r="N479" s="8" t="n">
        <v>2.19</v>
      </c>
      <c r="O479" s="8" t="n">
        <v>1.42</v>
      </c>
      <c r="P479" s="8" t="n">
        <v>100.713333333333</v>
      </c>
      <c r="Q479" s="8" t="n">
        <v>37.0808946962479</v>
      </c>
      <c r="R479" s="10" t="n">
        <v>1</v>
      </c>
      <c r="S479" s="7" t="inlineStr">
        <is>
          <t>Minor_Imputation_1Var</t>
        </is>
      </c>
    </row>
    <row r="480" ht="19" customHeight="1">
      <c r="A480" s="6" t="inlineStr">
        <is>
          <t>Singapore</t>
        </is>
      </c>
      <c r="B480" s="10" t="n">
        <v>2022</v>
      </c>
      <c r="C480" s="10" t="n">
        <v>4</v>
      </c>
      <c r="D480" s="6" t="inlineStr">
        <is>
          <t>2022 Q4</t>
        </is>
      </c>
      <c r="E480" s="11" t="n">
        <v>110.679333333333</v>
      </c>
      <c r="F480" s="12" t="n">
        <v>6.64529722368539</v>
      </c>
      <c r="G480" s="10" t="n">
        <v>0.911748794972</v>
      </c>
      <c r="H480" s="8" t="n">
        <v>1.33171800561325</v>
      </c>
      <c r="I480" s="11" t="n">
        <v>9.07118990871103</v>
      </c>
      <c r="J480" s="11" t="n">
        <v>129.716366930275</v>
      </c>
      <c r="K480" s="8" t="n">
        <v>8.478559479631651</v>
      </c>
      <c r="L480" s="8" t="n">
        <v>115.210051245214</v>
      </c>
      <c r="M480" s="8" t="n">
        <v>-6.08866610181539</v>
      </c>
      <c r="N480" s="8" t="n">
        <v>3.65333333333333</v>
      </c>
      <c r="O480" s="8" t="n">
        <v>1.46333333333333</v>
      </c>
      <c r="P480" s="8" t="n">
        <v>88.5566666666667</v>
      </c>
      <c r="Q480" s="8" t="n">
        <v>11.2707321159323</v>
      </c>
      <c r="R480" s="10" t="n">
        <v>1</v>
      </c>
      <c r="S480" s="7" t="inlineStr">
        <is>
          <t>Minor_Imputation_1Var</t>
        </is>
      </c>
    </row>
    <row r="481" ht="19" customHeight="1">
      <c r="A481" s="6" t="inlineStr">
        <is>
          <t>Singapore</t>
        </is>
      </c>
      <c r="B481" s="10" t="n">
        <v>2023</v>
      </c>
      <c r="C481" s="10" t="n">
        <v>1</v>
      </c>
      <c r="D481" s="6" t="inlineStr">
        <is>
          <t>2023 Q1</t>
        </is>
      </c>
      <c r="E481" s="11" t="n">
        <v>111.999666666667</v>
      </c>
      <c r="F481" s="12" t="n">
        <v>6.14673566225019</v>
      </c>
      <c r="G481" s="10" t="n">
        <v>1.19293574831796</v>
      </c>
      <c r="H481" s="8" t="n">
        <v>0.849592657044287</v>
      </c>
      <c r="I481" s="11" t="n">
        <v>9.07118990871103</v>
      </c>
      <c r="J481" s="11" t="n">
        <v>130.967686894605</v>
      </c>
      <c r="K481" s="8" t="n">
        <v>8.014829550168811</v>
      </c>
      <c r="L481" s="8" t="n">
        <v>114.034689515825</v>
      </c>
      <c r="M481" s="8" t="n">
        <v>-8.224117849203459</v>
      </c>
      <c r="N481" s="8" t="n">
        <v>4.51666666666667</v>
      </c>
      <c r="O481" s="8" t="n">
        <v>0.863333333333333</v>
      </c>
      <c r="P481" s="8" t="n">
        <v>81.1733333333333</v>
      </c>
      <c r="Q481" s="8" t="n">
        <v>-19.0667685865266</v>
      </c>
      <c r="R481" s="10" t="n">
        <v>1</v>
      </c>
      <c r="S481" s="7" t="inlineStr">
        <is>
          <t>Minor_Imputation_1Var</t>
        </is>
      </c>
    </row>
    <row r="482" ht="19" customHeight="1">
      <c r="A482" s="6" t="inlineStr">
        <is>
          <t>Singapore</t>
        </is>
      </c>
      <c r="B482" s="10" t="n">
        <v>2023</v>
      </c>
      <c r="C482" s="10" t="n">
        <v>2</v>
      </c>
      <c r="D482" s="6" t="inlineStr">
        <is>
          <t>2023 Q2</t>
        </is>
      </c>
      <c r="E482" s="11" t="n">
        <v>113.093</v>
      </c>
      <c r="F482" s="12" t="n">
        <v>5.09980917922284</v>
      </c>
      <c r="G482" s="10" t="n">
        <v>0.976193381527923</v>
      </c>
      <c r="H482" s="8" t="n">
        <v>0.897012481732378</v>
      </c>
      <c r="I482" s="11" t="n">
        <v>9.07118990871103</v>
      </c>
      <c r="J482" s="11" t="n">
        <v>131.684134472379</v>
      </c>
      <c r="K482" s="8" t="n">
        <v>6.14277278339816</v>
      </c>
      <c r="L482" s="8" t="n">
        <v>109.857789884183</v>
      </c>
      <c r="M482" s="8" t="n">
        <v>-18.2310247948031</v>
      </c>
      <c r="N482" s="8" t="n">
        <v>4.99</v>
      </c>
      <c r="O482" s="8" t="n">
        <v>0.473333333333334</v>
      </c>
      <c r="P482" s="8" t="n">
        <v>78.31666666666671</v>
      </c>
      <c r="Q482" s="8" t="n">
        <v>-31.0248656900449</v>
      </c>
      <c r="R482" s="10" t="n">
        <v>1</v>
      </c>
      <c r="S482" s="7" t="inlineStr">
        <is>
          <t>Minor_Imputation_1Var</t>
        </is>
      </c>
    </row>
    <row r="483" ht="19" customHeight="1">
      <c r="A483" s="6" t="inlineStr">
        <is>
          <t>Singapore</t>
        </is>
      </c>
      <c r="B483" s="10" t="n">
        <v>2023</v>
      </c>
      <c r="C483" s="10" t="n">
        <v>3</v>
      </c>
      <c r="D483" s="6" t="inlineStr">
        <is>
          <t>2023 Q3</t>
        </is>
      </c>
      <c r="E483" s="11" t="n">
        <v>114.164</v>
      </c>
      <c r="F483" s="12" t="n">
        <v>4.08888942918448</v>
      </c>
      <c r="G483" s="10" t="n">
        <v>0.947008214478351</v>
      </c>
      <c r="H483" s="8" t="n">
        <v>1.47397752699283</v>
      </c>
      <c r="I483" s="11" t="n">
        <v>9.07118990871103</v>
      </c>
      <c r="J483" s="11" t="n">
        <v>132.786701293934</v>
      </c>
      <c r="K483" s="8" t="n">
        <v>3.97682633814651</v>
      </c>
      <c r="L483" s="8" t="n">
        <v>107.510614988168</v>
      </c>
      <c r="M483" s="8" t="n">
        <v>-9.338584088911441</v>
      </c>
      <c r="N483" s="8" t="n">
        <v>5.26</v>
      </c>
      <c r="O483" s="8" t="n">
        <v>0.27</v>
      </c>
      <c r="P483" s="8" t="n">
        <v>86.66</v>
      </c>
      <c r="Q483" s="8" t="n">
        <v>-13.9537962533925</v>
      </c>
      <c r="R483" s="10" t="n">
        <v>1</v>
      </c>
      <c r="S483" s="7" t="inlineStr">
        <is>
          <t>Minor_Imputation_1Var</t>
        </is>
      </c>
    </row>
    <row r="484" ht="19" customHeight="1">
      <c r="A484" s="6" t="inlineStr">
        <is>
          <t>Singapore</t>
        </is>
      </c>
      <c r="B484" s="10" t="n">
        <v>2023</v>
      </c>
      <c r="C484" s="10" t="n">
        <v>4</v>
      </c>
      <c r="D484" s="6" t="inlineStr">
        <is>
          <t>2023 Q4</t>
        </is>
      </c>
      <c r="E484" s="11" t="n">
        <v>115.121333333333</v>
      </c>
      <c r="F484" s="12" t="n">
        <v>4.0133960570778</v>
      </c>
      <c r="G484" s="10" t="n">
        <v>0.838559732782085</v>
      </c>
      <c r="H484" s="8" t="n">
        <v>2.58048836979521</v>
      </c>
      <c r="I484" s="11" t="n">
        <v>9.07118990871103</v>
      </c>
      <c r="J484" s="11" t="n">
        <v>134.410505502557</v>
      </c>
      <c r="K484" s="8" t="n">
        <v>3.61877123401508</v>
      </c>
      <c r="L484" s="8" t="n">
        <v>105.339533846651</v>
      </c>
      <c r="M484" s="8" t="n">
        <v>-8.56740995414912</v>
      </c>
      <c r="N484" s="8" t="n">
        <v>5.33</v>
      </c>
      <c r="O484" s="8" t="n">
        <v>0.0700000000000003</v>
      </c>
      <c r="P484" s="8" t="n">
        <v>83.7233333333333</v>
      </c>
      <c r="Q484" s="8" t="n">
        <v>-5.45789889712802</v>
      </c>
      <c r="R484" s="10" t="n">
        <v>1</v>
      </c>
      <c r="S484" s="7" t="inlineStr">
        <is>
          <t>Minor_Imputation_1Var</t>
        </is>
      </c>
    </row>
    <row r="485" ht="19" customHeight="1">
      <c r="A485" s="6" t="inlineStr">
        <is>
          <t>Singapore</t>
        </is>
      </c>
      <c r="B485" s="10" t="n">
        <v>2024</v>
      </c>
      <c r="C485" s="10" t="n">
        <v>1</v>
      </c>
      <c r="D485" s="6" t="inlineStr">
        <is>
          <t>2024 Q1</t>
        </is>
      </c>
      <c r="E485" s="11" t="n">
        <v>115.335333333333</v>
      </c>
      <c r="F485" s="12" t="n">
        <v>2.97828267346034</v>
      </c>
      <c r="G485" s="10" t="n">
        <v>0.185890828227597</v>
      </c>
      <c r="H485" s="8" t="n">
        <v>4.21654611669896</v>
      </c>
      <c r="I485" s="11" t="n">
        <v>9.07118990871103</v>
      </c>
      <c r="J485" s="11" t="n">
        <v>134.677170464195</v>
      </c>
      <c r="K485" s="8" t="n">
        <v>2.83236549224195</v>
      </c>
      <c r="L485" s="8" t="n">
        <v>102.582568583479</v>
      </c>
      <c r="M485" s="8" t="n">
        <v>-10.0426641936497</v>
      </c>
      <c r="N485" s="8" t="n">
        <v>5.33</v>
      </c>
      <c r="O485" s="8" t="n">
        <v>0</v>
      </c>
      <c r="P485" s="8" t="n">
        <v>83.0033333333333</v>
      </c>
      <c r="Q485" s="8" t="n">
        <v>2.25443495400788</v>
      </c>
      <c r="R485" s="10" t="n">
        <v>1</v>
      </c>
      <c r="S485" s="7" t="inlineStr">
        <is>
          <t>Minor_Imputation_1Var</t>
        </is>
      </c>
    </row>
    <row r="486" ht="19" customHeight="1">
      <c r="A486" s="6" t="inlineStr">
        <is>
          <t>Singapore</t>
        </is>
      </c>
      <c r="B486" s="10" t="n">
        <v>2024</v>
      </c>
      <c r="C486" s="10" t="n">
        <v>2</v>
      </c>
      <c r="D486" s="6" t="inlineStr">
        <is>
          <t>2024 Q2</t>
        </is>
      </c>
      <c r="E486" s="11" t="n">
        <v>116.220333333333</v>
      </c>
      <c r="F486" s="12" t="n">
        <v>2.76527577598378</v>
      </c>
      <c r="G486" s="10" t="n">
        <v>0.76732773420114</v>
      </c>
      <c r="H486" s="8" t="n">
        <v>5.32175507695791</v>
      </c>
      <c r="I486" s="11" t="n">
        <v>9.07118990871103</v>
      </c>
      <c r="J486" s="11" t="n">
        <v>135.471374616555</v>
      </c>
      <c r="K486" s="8" t="n">
        <v>2.87600336923639</v>
      </c>
      <c r="L486" s="8" t="n">
        <v>104.519793640698</v>
      </c>
      <c r="M486" s="8" t="n">
        <v>-4.85900567371084</v>
      </c>
      <c r="N486" s="8" t="n">
        <v>5.33</v>
      </c>
      <c r="O486" s="8" t="n">
        <v>0</v>
      </c>
      <c r="P486" s="8" t="n">
        <v>84.6466666666667</v>
      </c>
      <c r="Q486" s="8" t="n">
        <v>8.082570759736109</v>
      </c>
      <c r="R486" s="10" t="n">
        <v>1</v>
      </c>
      <c r="S486" s="7" t="inlineStr">
        <is>
          <t>Minor_Imputation_1Var</t>
        </is>
      </c>
    </row>
    <row r="487" ht="19" customHeight="1">
      <c r="A487" s="6" t="inlineStr">
        <is>
          <t>Singapore</t>
        </is>
      </c>
      <c r="B487" s="10" t="n">
        <v>2024</v>
      </c>
      <c r="C487" s="10" t="n">
        <v>3</v>
      </c>
      <c r="D487" s="6" t="inlineStr">
        <is>
          <t>2024 Q3</t>
        </is>
      </c>
      <c r="E487" s="11" t="n">
        <v>116.66</v>
      </c>
      <c r="F487" s="12" t="n">
        <v>2.18632843978837</v>
      </c>
      <c r="G487" s="10" t="n">
        <v>0.378304427509812</v>
      </c>
      <c r="H487" s="8" t="n">
        <v>5.89611635581672</v>
      </c>
      <c r="I487" s="11" t="n">
        <v>9.07118990871103</v>
      </c>
      <c r="J487" s="11" t="n">
        <v>136.015354185704</v>
      </c>
      <c r="K487" s="8" t="n">
        <v>2.43145801522959</v>
      </c>
      <c r="L487" s="8" t="n">
        <v>106.377099329068</v>
      </c>
      <c r="M487" s="8" t="n">
        <v>-1.05432906250624</v>
      </c>
      <c r="N487" s="8" t="n">
        <v>5.26333333333333</v>
      </c>
      <c r="O487" s="8" t="n">
        <v>-0.0666666666666664</v>
      </c>
      <c r="P487" s="8" t="n">
        <v>79.84333333333331</v>
      </c>
      <c r="Q487" s="8" t="n">
        <v>-7.86598969151473</v>
      </c>
      <c r="R487" s="10" t="n">
        <v>1</v>
      </c>
      <c r="S487" s="7" t="inlineStr">
        <is>
          <t>Minor_Imputation_1Var</t>
        </is>
      </c>
    </row>
    <row r="488" ht="19" customHeight="1">
      <c r="A488" s="6" t="inlineStr">
        <is>
          <t>Singapore</t>
        </is>
      </c>
      <c r="B488" s="10" t="n">
        <v>2024</v>
      </c>
      <c r="C488" s="10" t="n">
        <v>4</v>
      </c>
      <c r="D488" s="6" t="inlineStr">
        <is>
          <t>2024 Q4</t>
        </is>
      </c>
      <c r="E488" s="11" t="n">
        <v>116.915</v>
      </c>
      <c r="F488" s="12" t="n">
        <v>1.55806627210711</v>
      </c>
      <c r="G488" s="10" t="n">
        <v>0.218583919081095</v>
      </c>
      <c r="H488" s="8" t="n">
        <v>5.93963052757344</v>
      </c>
      <c r="I488" s="11" t="n">
        <v>9.07118990871103</v>
      </c>
      <c r="J488" s="11" t="n">
        <v>135.781733927167</v>
      </c>
      <c r="K488" s="8" t="n">
        <v>1.02017950121007</v>
      </c>
      <c r="L488" s="8" t="n">
        <v>110.645361455409</v>
      </c>
      <c r="M488" s="8" t="n">
        <v>5.03688161035707</v>
      </c>
      <c r="N488" s="8" t="n">
        <v>4.65</v>
      </c>
      <c r="O488" s="8" t="n">
        <v>-0.613333333333333</v>
      </c>
      <c r="P488" s="8" t="n">
        <v>74.6133333333333</v>
      </c>
      <c r="Q488" s="8" t="n">
        <v>-10.8810765616913</v>
      </c>
      <c r="R488" s="10" t="n">
        <v>1</v>
      </c>
      <c r="S488" s="7" t="inlineStr">
        <is>
          <t>Minor_Imputation_1Var</t>
        </is>
      </c>
    </row>
    <row r="489" ht="19" customHeight="1">
      <c r="A489" s="6" t="inlineStr">
        <is>
          <t>Singapore</t>
        </is>
      </c>
      <c r="B489" s="10" t="n">
        <v>2025</v>
      </c>
      <c r="C489" s="10" t="n">
        <v>1</v>
      </c>
      <c r="D489" s="6" t="inlineStr">
        <is>
          <t>2025 Q1</t>
        </is>
      </c>
      <c r="E489" s="11" t="n">
        <v>117.36807687317</v>
      </c>
      <c r="F489" s="12" t="n">
        <v>1.7624638357457</v>
      </c>
      <c r="G489" s="10" t="n">
        <v>0.387526727254905</v>
      </c>
      <c r="H489" s="8" t="n">
        <v>5.45229763577801</v>
      </c>
      <c r="I489" s="11" t="n">
        <v>9.07118990871103</v>
      </c>
      <c r="J489" s="11" t="n">
        <v>134.80616193521</v>
      </c>
      <c r="K489" s="8" t="n">
        <v>0.0957782752415426</v>
      </c>
      <c r="L489" s="8" t="n">
        <v>108.711496383905</v>
      </c>
      <c r="M489" s="8" t="n">
        <v>5.97462891118643</v>
      </c>
      <c r="N489" s="8" t="n">
        <v>4.33</v>
      </c>
      <c r="O489" s="8" t="n">
        <v>-0.32</v>
      </c>
      <c r="P489" s="8" t="n">
        <v>75.8133333333333</v>
      </c>
      <c r="Q489" s="8" t="n">
        <v>-8.662302718766311</v>
      </c>
      <c r="R489" s="10" t="n">
        <v>2</v>
      </c>
      <c r="S489" s="7" t="inlineStr">
        <is>
          <t>Major_Imputation_MultiVar</t>
        </is>
      </c>
    </row>
    <row r="490" ht="19" customHeight="1">
      <c r="A490" s="6" t="inlineStr">
        <is>
          <t>Thailand</t>
        </is>
      </c>
      <c r="B490" s="10" t="n">
        <v>2010</v>
      </c>
      <c r="C490" s="10" t="n">
        <v>1</v>
      </c>
      <c r="D490" s="6" t="inlineStr">
        <is>
          <t>2010 Q1</t>
        </is>
      </c>
      <c r="E490" s="8" t="n">
        <v>87.30760918108631</v>
      </c>
      <c r="F490" s="9" t="inlineStr"/>
      <c r="G490" s="9" t="inlineStr"/>
      <c r="H490" s="8" t="n">
        <v>9.543645749474861</v>
      </c>
      <c r="I490" s="8" t="n">
        <v>9.69780352899895</v>
      </c>
      <c r="J490" s="8" t="n">
        <v>101.554809842604</v>
      </c>
      <c r="K490" s="9" t="inlineStr"/>
      <c r="L490" s="8" t="n">
        <v>99.24199528149821</v>
      </c>
      <c r="M490" s="9" t="inlineStr"/>
      <c r="N490" s="8" t="n">
        <v>0.133333333333333</v>
      </c>
      <c r="O490" s="9" t="inlineStr"/>
      <c r="P490" s="8" t="n">
        <v>76.25</v>
      </c>
      <c r="Q490" s="9" t="inlineStr"/>
      <c r="R490" s="10" t="n">
        <v>0</v>
      </c>
      <c r="S490" s="7" t="inlineStr">
        <is>
          <t>Baseline_Lag_Origin</t>
        </is>
      </c>
    </row>
    <row r="491" ht="19" customHeight="1">
      <c r="A491" s="6" t="inlineStr">
        <is>
          <t>Thailand</t>
        </is>
      </c>
      <c r="B491" s="10" t="n">
        <v>2010</v>
      </c>
      <c r="C491" s="10" t="n">
        <v>2</v>
      </c>
      <c r="D491" s="6" t="inlineStr">
        <is>
          <t>2010 Q2</t>
        </is>
      </c>
      <c r="E491" s="8" t="n">
        <v>88.2271166666667</v>
      </c>
      <c r="F491" s="9" t="inlineStr"/>
      <c r="G491" s="10" t="n">
        <v>1.05318138270536</v>
      </c>
      <c r="H491" s="8" t="n">
        <v>8.731544150001881</v>
      </c>
      <c r="I491" s="8" t="n">
        <v>10.1958438567985</v>
      </c>
      <c r="J491" s="8" t="n">
        <v>104.979662779692</v>
      </c>
      <c r="K491" s="9" t="inlineStr"/>
      <c r="L491" s="8" t="n">
        <v>96.4984622523225</v>
      </c>
      <c r="M491" s="9" t="inlineStr"/>
      <c r="N491" s="8" t="n">
        <v>0.193333333333333</v>
      </c>
      <c r="O491" s="8" t="n">
        <v>0.06</v>
      </c>
      <c r="P491" s="8" t="n">
        <v>78.51000000000001</v>
      </c>
      <c r="Q491" s="9" t="inlineStr"/>
      <c r="R491" s="10" t="n">
        <v>0</v>
      </c>
      <c r="S491" s="7" t="inlineStr">
        <is>
          <t>Baseline_Lag_Origin</t>
        </is>
      </c>
    </row>
    <row r="492" ht="19" customHeight="1">
      <c r="A492" s="6" t="inlineStr">
        <is>
          <t>Thailand</t>
        </is>
      </c>
      <c r="B492" s="10" t="n">
        <v>2010</v>
      </c>
      <c r="C492" s="10" t="n">
        <v>3</v>
      </c>
      <c r="D492" s="6" t="inlineStr">
        <is>
          <t>2010 Q3</t>
        </is>
      </c>
      <c r="E492" s="8" t="n">
        <v>88.69450999999999</v>
      </c>
      <c r="F492" s="9" t="inlineStr"/>
      <c r="G492" s="10" t="n">
        <v>0.529761541566875</v>
      </c>
      <c r="H492" s="8" t="n">
        <v>7.10734013894131</v>
      </c>
      <c r="I492" s="8" t="n">
        <v>11.1919250104253</v>
      </c>
      <c r="J492" s="8" t="n">
        <v>105.612444358991</v>
      </c>
      <c r="K492" s="9" t="inlineStr"/>
      <c r="L492" s="8" t="n">
        <v>107.356970480027</v>
      </c>
      <c r="M492" s="9" t="inlineStr"/>
      <c r="N492" s="8" t="n">
        <v>0.186666666666667</v>
      </c>
      <c r="O492" s="8" t="n">
        <v>-0.0066666666666666</v>
      </c>
      <c r="P492" s="8" t="n">
        <v>76.81999999999999</v>
      </c>
      <c r="Q492" s="9" t="inlineStr"/>
      <c r="R492" s="10" t="n">
        <v>0</v>
      </c>
      <c r="S492" s="7" t="inlineStr">
        <is>
          <t>Baseline_Lag_Origin</t>
        </is>
      </c>
    </row>
    <row r="493" ht="19" customHeight="1">
      <c r="A493" s="6" t="inlineStr">
        <is>
          <t>Thailand</t>
        </is>
      </c>
      <c r="B493" s="10" t="n">
        <v>2010</v>
      </c>
      <c r="C493" s="10" t="n">
        <v>4</v>
      </c>
      <c r="D493" s="6" t="inlineStr">
        <is>
          <t>2010 Q4</t>
        </is>
      </c>
      <c r="E493" s="8" t="n">
        <v>88.91446000000001</v>
      </c>
      <c r="F493" s="9" t="inlineStr"/>
      <c r="G493" s="10" t="n">
        <v>0.247986036565306</v>
      </c>
      <c r="H493" s="8" t="n">
        <v>4.67103209208628</v>
      </c>
      <c r="I493" s="8" t="n">
        <v>12.6860479859855</v>
      </c>
      <c r="J493" s="8" t="n">
        <v>108.052106064296</v>
      </c>
      <c r="K493" s="9" t="inlineStr"/>
      <c r="L493" s="8" t="n">
        <v>124.608736829891</v>
      </c>
      <c r="M493" s="9" t="inlineStr"/>
      <c r="N493" s="8" t="n">
        <v>0.186666666666667</v>
      </c>
      <c r="O493" s="8" t="n">
        <v>0</v>
      </c>
      <c r="P493" s="8" t="n">
        <v>86.4666666666667</v>
      </c>
      <c r="Q493" s="9" t="inlineStr"/>
      <c r="R493" s="10" t="n">
        <v>0</v>
      </c>
      <c r="S493" s="7" t="inlineStr">
        <is>
          <t>Baseline_Lag_Origin</t>
        </is>
      </c>
    </row>
    <row r="494" ht="19" customHeight="1">
      <c r="A494" s="6" t="inlineStr">
        <is>
          <t>Thailand</t>
        </is>
      </c>
      <c r="B494" s="10" t="n">
        <v>2011</v>
      </c>
      <c r="C494" s="10" t="n">
        <v>1</v>
      </c>
      <c r="D494" s="6" t="inlineStr">
        <is>
          <t>2011 Q1</t>
        </is>
      </c>
      <c r="E494" s="8" t="n">
        <v>89.94089</v>
      </c>
      <c r="F494" s="10" t="n">
        <v>3.01609543957613</v>
      </c>
      <c r="G494" s="10" t="n">
        <v>1.15440165750316</v>
      </c>
      <c r="H494" s="8" t="n">
        <v>1.42261757315622</v>
      </c>
      <c r="I494" s="8" t="n">
        <v>14.6782142775673</v>
      </c>
      <c r="J494" s="8" t="n">
        <v>105.288776709976</v>
      </c>
      <c r="K494" s="8" t="n">
        <v>3.67679962491072</v>
      </c>
      <c r="L494" s="8" t="n">
        <v>121.875946057639</v>
      </c>
      <c r="M494" s="8" t="n">
        <v>22.8068276055313</v>
      </c>
      <c r="N494" s="8" t="n">
        <v>0.156666666666667</v>
      </c>
      <c r="O494" s="8" t="n">
        <v>-0.03</v>
      </c>
      <c r="P494" s="8" t="n">
        <v>104.96</v>
      </c>
      <c r="Q494" s="8" t="n">
        <v>37.6524590163934</v>
      </c>
      <c r="R494" s="10" t="n">
        <v>0</v>
      </c>
      <c r="S494" s="7" t="inlineStr">
        <is>
          <t>High_Quality_Observed</t>
        </is>
      </c>
    </row>
    <row r="495" ht="19" customHeight="1">
      <c r="A495" s="6" t="inlineStr">
        <is>
          <t>Thailand</t>
        </is>
      </c>
      <c r="B495" s="10" t="n">
        <v>2011</v>
      </c>
      <c r="C495" s="10" t="n">
        <v>2</v>
      </c>
      <c r="D495" s="6" t="inlineStr">
        <is>
          <t>2011 Q2</t>
        </is>
      </c>
      <c r="E495" s="8" t="n">
        <v>91.84711666666669</v>
      </c>
      <c r="F495" s="10" t="n">
        <v>4.10304692793808</v>
      </c>
      <c r="G495" s="10" t="n">
        <v>2.11942161865051</v>
      </c>
      <c r="H495" s="8" t="n">
        <v>-0.10974183588176</v>
      </c>
      <c r="I495" s="8" t="n">
        <v>15.6521819043358</v>
      </c>
      <c r="J495" s="8" t="n">
        <v>104.704506731938</v>
      </c>
      <c r="K495" s="8" t="n">
        <v>-0.262104145192077</v>
      </c>
      <c r="L495" s="8" t="n">
        <v>122.00081812372</v>
      </c>
      <c r="M495" s="8" t="n">
        <v>26.4277329152819</v>
      </c>
      <c r="N495" s="8" t="n">
        <v>0.0933333333333333</v>
      </c>
      <c r="O495" s="8" t="n">
        <v>-0.0633333333333333</v>
      </c>
      <c r="P495" s="8" t="n">
        <v>117.36</v>
      </c>
      <c r="Q495" s="8" t="n">
        <v>49.4841421474971</v>
      </c>
      <c r="R495" s="10" t="n">
        <v>0</v>
      </c>
      <c r="S495" s="7" t="inlineStr">
        <is>
          <t>High_Quality_Observed</t>
        </is>
      </c>
    </row>
    <row r="496" ht="19" customHeight="1">
      <c r="A496" s="6" t="inlineStr">
        <is>
          <t>Thailand</t>
        </is>
      </c>
      <c r="B496" s="10" t="n">
        <v>2011</v>
      </c>
      <c r="C496" s="10" t="n">
        <v>3</v>
      </c>
      <c r="D496" s="6" t="inlineStr">
        <is>
          <t>2011 Q3</t>
        </is>
      </c>
      <c r="E496" s="8" t="n">
        <v>92.36033</v>
      </c>
      <c r="F496" s="10" t="n">
        <v>4.13308557654808</v>
      </c>
      <c r="G496" s="10" t="n">
        <v>0.558769128481074</v>
      </c>
      <c r="H496" s="8" t="n">
        <v>0.073952332588232</v>
      </c>
      <c r="I496" s="8" t="n">
        <v>15.6079518402495</v>
      </c>
      <c r="J496" s="8" t="n">
        <v>104.857052157509</v>
      </c>
      <c r="K496" s="8" t="n">
        <v>-0.715249236079685</v>
      </c>
      <c r="L496" s="8" t="n">
        <v>118.888757234176</v>
      </c>
      <c r="M496" s="8" t="n">
        <v>10.7415351817278</v>
      </c>
      <c r="N496" s="8" t="n">
        <v>0.0833333333333333</v>
      </c>
      <c r="O496" s="8" t="n">
        <v>-0.01</v>
      </c>
      <c r="P496" s="8" t="n">
        <v>113.34</v>
      </c>
      <c r="Q496" s="8" t="n">
        <v>47.5397032022911</v>
      </c>
      <c r="R496" s="10" t="n">
        <v>0</v>
      </c>
      <c r="S496" s="7" t="inlineStr">
        <is>
          <t>High_Quality_Observed</t>
        </is>
      </c>
    </row>
    <row r="497" ht="19" customHeight="1">
      <c r="A497" s="6" t="inlineStr">
        <is>
          <t>Thailand</t>
        </is>
      </c>
      <c r="B497" s="10" t="n">
        <v>2011</v>
      </c>
      <c r="C497" s="10" t="n">
        <v>4</v>
      </c>
      <c r="D497" s="6" t="inlineStr">
        <is>
          <t>2011 Q4</t>
        </is>
      </c>
      <c r="E497" s="8" t="n">
        <v>92.4458666666667</v>
      </c>
      <c r="F497" s="10" t="n">
        <v>3.97168994409534</v>
      </c>
      <c r="G497" s="10" t="n">
        <v>0.09261191105172099</v>
      </c>
      <c r="H497" s="8" t="n">
        <v>1.97370026226952</v>
      </c>
      <c r="I497" s="8" t="n">
        <v>14.5455240410968</v>
      </c>
      <c r="J497" s="8" t="n">
        <v>104.366420470424</v>
      </c>
      <c r="K497" s="8" t="n">
        <v>-3.4110261503641</v>
      </c>
      <c r="L497" s="8" t="n">
        <v>112.174119298219</v>
      </c>
      <c r="M497" s="8" t="n">
        <v>-9.978929124887189</v>
      </c>
      <c r="N497" s="8" t="n">
        <v>0.07333333333333331</v>
      </c>
      <c r="O497" s="8" t="n">
        <v>-0.01</v>
      </c>
      <c r="P497" s="8" t="n">
        <v>109.396666666667</v>
      </c>
      <c r="Q497" s="8" t="n">
        <v>26.5188897455667</v>
      </c>
      <c r="R497" s="10" t="n">
        <v>0</v>
      </c>
      <c r="S497" s="7" t="inlineStr">
        <is>
          <t>High_Quality_Observed</t>
        </is>
      </c>
    </row>
    <row r="498" ht="19" customHeight="1">
      <c r="A498" s="6" t="inlineStr">
        <is>
          <t>Thailand</t>
        </is>
      </c>
      <c r="B498" s="10" t="n">
        <v>2012</v>
      </c>
      <c r="C498" s="10" t="n">
        <v>1</v>
      </c>
      <c r="D498" s="6" t="inlineStr">
        <is>
          <t>2012 Q1</t>
        </is>
      </c>
      <c r="E498" s="8" t="n">
        <v>92.98963000000001</v>
      </c>
      <c r="F498" s="10" t="n">
        <v>3.38971517849114</v>
      </c>
      <c r="G498" s="10" t="n">
        <v>0.588196479669545</v>
      </c>
      <c r="H498" s="8" t="n">
        <v>5.58950385291192</v>
      </c>
      <c r="I498" s="8" t="n">
        <v>12.464897444435</v>
      </c>
      <c r="J498" s="8" t="n">
        <v>104.794201236359</v>
      </c>
      <c r="K498" s="8" t="n">
        <v>-0.46973237705985</v>
      </c>
      <c r="L498" s="8" t="n">
        <v>112.921025549072</v>
      </c>
      <c r="M498" s="8" t="n">
        <v>-7.3475700482622</v>
      </c>
      <c r="N498" s="8" t="n">
        <v>0.103333333333333</v>
      </c>
      <c r="O498" s="8" t="n">
        <v>0.03</v>
      </c>
      <c r="P498" s="8" t="n">
        <v>118.49</v>
      </c>
      <c r="Q498" s="8" t="n">
        <v>12.890625</v>
      </c>
      <c r="R498" s="10" t="n">
        <v>0</v>
      </c>
      <c r="S498" s="7" t="inlineStr">
        <is>
          <t>High_Quality_Observed</t>
        </is>
      </c>
    </row>
    <row r="499" ht="19" customHeight="1">
      <c r="A499" s="6" t="inlineStr">
        <is>
          <t>Thailand</t>
        </is>
      </c>
      <c r="B499" s="10" t="n">
        <v>2012</v>
      </c>
      <c r="C499" s="10" t="n">
        <v>2</v>
      </c>
      <c r="D499" s="6" t="inlineStr">
        <is>
          <t>2012 Q2</t>
        </is>
      </c>
      <c r="E499" s="8" t="n">
        <v>94.15964</v>
      </c>
      <c r="F499" s="10" t="n">
        <v>2.51779633075035</v>
      </c>
      <c r="G499" s="10" t="n">
        <v>1.25821556661747</v>
      </c>
      <c r="H499" s="8" t="n">
        <v>7.69714132599865</v>
      </c>
      <c r="I499" s="8" t="n">
        <v>10.7968677483501</v>
      </c>
      <c r="J499" s="8" t="n">
        <v>105.214145752999</v>
      </c>
      <c r="K499" s="8" t="n">
        <v>0.486740291290633</v>
      </c>
      <c r="L499" s="8" t="n">
        <v>108.674540730789</v>
      </c>
      <c r="M499" s="8" t="n">
        <v>-10.9231049413272</v>
      </c>
      <c r="N499" s="8" t="n">
        <v>0.153333333333333</v>
      </c>
      <c r="O499" s="8" t="n">
        <v>0.05</v>
      </c>
      <c r="P499" s="8" t="n">
        <v>108.416666666667</v>
      </c>
      <c r="Q499" s="8" t="n">
        <v>-7.6204271756419</v>
      </c>
      <c r="R499" s="10" t="n">
        <v>0</v>
      </c>
      <c r="S499" s="7" t="inlineStr">
        <is>
          <t>High_Quality_Observed</t>
        </is>
      </c>
    </row>
    <row r="500" ht="19" customHeight="1">
      <c r="A500" s="6" t="inlineStr">
        <is>
          <t>Thailand</t>
        </is>
      </c>
      <c r="B500" s="10" t="n">
        <v>2012</v>
      </c>
      <c r="C500" s="10" t="n">
        <v>3</v>
      </c>
      <c r="D500" s="6" t="inlineStr">
        <is>
          <t>2012 Q3</t>
        </is>
      </c>
      <c r="E500" s="8" t="n">
        <v>95.0699833333333</v>
      </c>
      <c r="F500" s="10" t="n">
        <v>2.93378481143727</v>
      </c>
      <c r="G500" s="10" t="n">
        <v>0.966808425917232</v>
      </c>
      <c r="H500" s="8" t="n">
        <v>8.29661478915923</v>
      </c>
      <c r="I500" s="8" t="n">
        <v>9.541433284816209</v>
      </c>
      <c r="J500" s="8" t="n">
        <v>105.802404018206</v>
      </c>
      <c r="K500" s="8" t="n">
        <v>0.9015624998469201</v>
      </c>
      <c r="L500" s="8" t="n">
        <v>112.021404013206</v>
      </c>
      <c r="M500" s="8" t="n">
        <v>-5.77628480668088</v>
      </c>
      <c r="N500" s="8" t="n">
        <v>0.143333333333333</v>
      </c>
      <c r="O500" s="8" t="n">
        <v>-0.01</v>
      </c>
      <c r="P500" s="8" t="n">
        <v>109.613333333333</v>
      </c>
      <c r="Q500" s="8" t="n">
        <v>-3.28804187988943</v>
      </c>
      <c r="R500" s="10" t="n">
        <v>0</v>
      </c>
      <c r="S500" s="7" t="inlineStr">
        <is>
          <t>High_Quality_Observed</t>
        </is>
      </c>
    </row>
    <row r="501" ht="19" customHeight="1">
      <c r="A501" s="6" t="inlineStr">
        <is>
          <t>Thailand</t>
        </is>
      </c>
      <c r="B501" s="10" t="n">
        <v>2012</v>
      </c>
      <c r="C501" s="10" t="n">
        <v>4</v>
      </c>
      <c r="D501" s="6" t="inlineStr">
        <is>
          <t>2012 Q4</t>
        </is>
      </c>
      <c r="E501" s="8" t="n">
        <v>95.42740000000001</v>
      </c>
      <c r="F501" s="10" t="n">
        <v>3.22516672820419</v>
      </c>
      <c r="G501" s="10" t="n">
        <v>0.375951119517404</v>
      </c>
      <c r="H501" s="8" t="n">
        <v>7.38792484187505</v>
      </c>
      <c r="I501" s="8" t="n">
        <v>8.698592798380449</v>
      </c>
      <c r="J501" s="8" t="n">
        <v>107.813209334965</v>
      </c>
      <c r="K501" s="8" t="n">
        <v>3.30258415398819</v>
      </c>
      <c r="L501" s="8" t="n">
        <v>112.043606667623</v>
      </c>
      <c r="M501" s="8" t="n">
        <v>-0.116348255206267</v>
      </c>
      <c r="N501" s="8" t="n">
        <v>0.16</v>
      </c>
      <c r="O501" s="8" t="n">
        <v>0.0166666666666667</v>
      </c>
      <c r="P501" s="8" t="n">
        <v>110.086666666667</v>
      </c>
      <c r="Q501" s="8" t="n">
        <v>0.630732197812245</v>
      </c>
      <c r="R501" s="10" t="n">
        <v>0</v>
      </c>
      <c r="S501" s="7" t="inlineStr">
        <is>
          <t>High_Quality_Observed</t>
        </is>
      </c>
    </row>
    <row r="502" ht="19" customHeight="1">
      <c r="A502" s="6" t="inlineStr">
        <is>
          <t>Thailand</t>
        </is>
      </c>
      <c r="B502" s="10" t="n">
        <v>2013</v>
      </c>
      <c r="C502" s="10" t="n">
        <v>1</v>
      </c>
      <c r="D502" s="6" t="inlineStr">
        <is>
          <t>2013 Q1</t>
        </is>
      </c>
      <c r="E502" s="8" t="n">
        <v>95.87035666666669</v>
      </c>
      <c r="F502" s="10" t="n">
        <v>3.09790098817111</v>
      </c>
      <c r="G502" s="10" t="n">
        <v>0.464181845745215</v>
      </c>
      <c r="H502" s="8" t="n">
        <v>4.9710705754534</v>
      </c>
      <c r="I502" s="8" t="n">
        <v>8.26834544620862</v>
      </c>
      <c r="J502" s="8" t="n">
        <v>113.787235792141</v>
      </c>
      <c r="K502" s="8" t="n">
        <v>8.581614678754001</v>
      </c>
      <c r="L502" s="8" t="n">
        <v>112.344264317549</v>
      </c>
      <c r="M502" s="8" t="n">
        <v>-0.510765137598079</v>
      </c>
      <c r="N502" s="8" t="n">
        <v>0.143333333333333</v>
      </c>
      <c r="O502" s="8" t="n">
        <v>-0.0166666666666667</v>
      </c>
      <c r="P502" s="8" t="n">
        <v>112.493333333333</v>
      </c>
      <c r="Q502" s="8" t="n">
        <v>-5.06090528033308</v>
      </c>
      <c r="R502" s="10" t="n">
        <v>0</v>
      </c>
      <c r="S502" s="7" t="inlineStr">
        <is>
          <t>High_Quality_Observed</t>
        </is>
      </c>
    </row>
    <row r="503" ht="19" customHeight="1">
      <c r="A503" s="6" t="inlineStr">
        <is>
          <t>Thailand</t>
        </is>
      </c>
      <c r="B503" s="10" t="n">
        <v>2013</v>
      </c>
      <c r="C503" s="10" t="n">
        <v>2</v>
      </c>
      <c r="D503" s="6" t="inlineStr">
        <is>
          <t>2013 Q2</t>
        </is>
      </c>
      <c r="E503" s="8" t="n">
        <v>96.33774333333329</v>
      </c>
      <c r="F503" s="10" t="n">
        <v>2.3132026984527</v>
      </c>
      <c r="G503" s="10" t="n">
        <v>0.48751948247332</v>
      </c>
      <c r="H503" s="8" t="n">
        <v>3.09089975038103</v>
      </c>
      <c r="I503" s="8" t="n">
        <v>7.71724874041759</v>
      </c>
      <c r="J503" s="8" t="n">
        <v>115.556941664381</v>
      </c>
      <c r="K503" s="8" t="n">
        <v>9.83023322326151</v>
      </c>
      <c r="L503" s="8" t="n">
        <v>111.205746192615</v>
      </c>
      <c r="M503" s="8" t="n">
        <v>2.32916140689856</v>
      </c>
      <c r="N503" s="8" t="n">
        <v>0.116666666666667</v>
      </c>
      <c r="O503" s="8" t="n">
        <v>-0.0266666666666667</v>
      </c>
      <c r="P503" s="8" t="n">
        <v>102.576666666667</v>
      </c>
      <c r="Q503" s="8" t="n">
        <v>-5.38662567255957</v>
      </c>
      <c r="R503" s="10" t="n">
        <v>0</v>
      </c>
      <c r="S503" s="7" t="inlineStr">
        <is>
          <t>High_Quality_Observed</t>
        </is>
      </c>
    </row>
    <row r="504" ht="19" customHeight="1">
      <c r="A504" s="6" t="inlineStr">
        <is>
          <t>Thailand</t>
        </is>
      </c>
      <c r="B504" s="10" t="n">
        <v>2013</v>
      </c>
      <c r="C504" s="10" t="n">
        <v>3</v>
      </c>
      <c r="D504" s="6" t="inlineStr">
        <is>
          <t>2013 Q3</t>
        </is>
      </c>
      <c r="E504" s="8" t="n">
        <v>96.6585033333333</v>
      </c>
      <c r="F504" s="10" t="n">
        <v>1.67089542282799</v>
      </c>
      <c r="G504" s="10" t="n">
        <v>0.33295361599881</v>
      </c>
      <c r="H504" s="8" t="n">
        <v>1.74741048657137</v>
      </c>
      <c r="I504" s="8" t="n">
        <v>7.04530212989888</v>
      </c>
      <c r="J504" s="8" t="n">
        <v>110.169410705038</v>
      </c>
      <c r="K504" s="8" t="n">
        <v>4.12751177759694</v>
      </c>
      <c r="L504" s="8" t="n">
        <v>106.517639660823</v>
      </c>
      <c r="M504" s="8" t="n">
        <v>-4.91313637859304</v>
      </c>
      <c r="N504" s="8" t="n">
        <v>0.0833333333333333</v>
      </c>
      <c r="O504" s="8" t="n">
        <v>-0.0333333333333333</v>
      </c>
      <c r="P504" s="8" t="n">
        <v>110.27</v>
      </c>
      <c r="Q504" s="8" t="n">
        <v>0.599075538255689</v>
      </c>
      <c r="R504" s="10" t="n">
        <v>0</v>
      </c>
      <c r="S504" s="7" t="inlineStr">
        <is>
          <t>High_Quality_Observed</t>
        </is>
      </c>
    </row>
    <row r="505" ht="19" customHeight="1">
      <c r="A505" s="6" t="inlineStr">
        <is>
          <t>Thailand</t>
        </is>
      </c>
      <c r="B505" s="10" t="n">
        <v>2013</v>
      </c>
      <c r="C505" s="10" t="n">
        <v>4</v>
      </c>
      <c r="D505" s="6" t="inlineStr">
        <is>
          <t>2013 Q4</t>
        </is>
      </c>
      <c r="E505" s="8" t="n">
        <v>97.0311966666667</v>
      </c>
      <c r="F505" s="10" t="n">
        <v>1.68064588018395</v>
      </c>
      <c r="G505" s="10" t="n">
        <v>0.385577388931901</v>
      </c>
      <c r="H505" s="8" t="n">
        <v>0.940601440453837</v>
      </c>
      <c r="I505" s="8" t="n">
        <v>6.2525049427074</v>
      </c>
      <c r="J505" s="8" t="n">
        <v>108.849451055062</v>
      </c>
      <c r="K505" s="8" t="n">
        <v>0.9611454166783771</v>
      </c>
      <c r="L505" s="8" t="n">
        <v>108.042368791302</v>
      </c>
      <c r="M505" s="8" t="n">
        <v>-3.57114341043118</v>
      </c>
      <c r="N505" s="8" t="n">
        <v>0.0866666666666667</v>
      </c>
      <c r="O505" s="8" t="n">
        <v>0.0033333333333333</v>
      </c>
      <c r="P505" s="8" t="n">
        <v>109.21</v>
      </c>
      <c r="Q505" s="8" t="n">
        <v>-0.796342275782702</v>
      </c>
      <c r="R505" s="10" t="n">
        <v>0</v>
      </c>
      <c r="S505" s="7" t="inlineStr">
        <is>
          <t>High_Quality_Observed</t>
        </is>
      </c>
    </row>
    <row r="506" ht="19" customHeight="1">
      <c r="A506" s="6" t="inlineStr">
        <is>
          <t>Thailand</t>
        </is>
      </c>
      <c r="B506" s="10" t="n">
        <v>2014</v>
      </c>
      <c r="C506" s="10" t="n">
        <v>1</v>
      </c>
      <c r="D506" s="6" t="inlineStr">
        <is>
          <t>2014 Q1</t>
        </is>
      </c>
      <c r="E506" s="8" t="n">
        <v>97.7887966666667</v>
      </c>
      <c r="F506" s="10" t="n">
        <v>2.00107735769699</v>
      </c>
      <c r="G506" s="10" t="n">
        <v>0.780779817240229</v>
      </c>
      <c r="H506" s="8" t="n">
        <v>0.670471805257575</v>
      </c>
      <c r="I506" s="8" t="n">
        <v>5.33885638602955</v>
      </c>
      <c r="J506" s="8" t="n">
        <v>107.201853544888</v>
      </c>
      <c r="K506" s="8" t="n">
        <v>-5.78745252172502</v>
      </c>
      <c r="L506" s="8" t="n">
        <v>109.985285302654</v>
      </c>
      <c r="M506" s="8" t="n">
        <v>-2.09977699282194</v>
      </c>
      <c r="N506" s="8" t="n">
        <v>0.07333333333333331</v>
      </c>
      <c r="O506" s="8" t="n">
        <v>-0.0133333333333333</v>
      </c>
      <c r="P506" s="8" t="n">
        <v>108.166666666667</v>
      </c>
      <c r="Q506" s="8" t="n">
        <v>-3.84615384615383</v>
      </c>
      <c r="R506" s="10" t="n">
        <v>0</v>
      </c>
      <c r="S506" s="7" t="inlineStr">
        <is>
          <t>High_Quality_Observed</t>
        </is>
      </c>
    </row>
    <row r="507" ht="19" customHeight="1">
      <c r="A507" s="6" t="inlineStr">
        <is>
          <t>Thailand</t>
        </is>
      </c>
      <c r="B507" s="10" t="n">
        <v>2014</v>
      </c>
      <c r="C507" s="10" t="n">
        <v>2</v>
      </c>
      <c r="D507" s="6" t="inlineStr">
        <is>
          <t>2014 Q2</t>
        </is>
      </c>
      <c r="E507" s="8" t="n">
        <v>98.7205266666667</v>
      </c>
      <c r="F507" s="10" t="n">
        <v>2.47336428162821</v>
      </c>
      <c r="G507" s="10" t="n">
        <v>0.952798307945235</v>
      </c>
      <c r="H507" s="8" t="n">
        <v>0.6880187369706759</v>
      </c>
      <c r="I507" s="8" t="n">
        <v>4.69699452929783</v>
      </c>
      <c r="J507" s="8" t="n">
        <v>106.813419697291</v>
      </c>
      <c r="K507" s="8" t="n">
        <v>-7.56641863410011</v>
      </c>
      <c r="L507" s="8" t="n">
        <v>111.498689744988</v>
      </c>
      <c r="M507" s="8" t="n">
        <v>0.26342483406061</v>
      </c>
      <c r="N507" s="8" t="n">
        <v>0.0933333333333333</v>
      </c>
      <c r="O507" s="8" t="n">
        <v>0.02</v>
      </c>
      <c r="P507" s="8" t="n">
        <v>109.7</v>
      </c>
      <c r="Q507" s="8" t="n">
        <v>6.94439931108439</v>
      </c>
      <c r="R507" s="10" t="n">
        <v>0</v>
      </c>
      <c r="S507" s="7" t="inlineStr">
        <is>
          <t>High_Quality_Observed</t>
        </is>
      </c>
    </row>
    <row r="508" ht="19" customHeight="1">
      <c r="A508" s="6" t="inlineStr">
        <is>
          <t>Thailand</t>
        </is>
      </c>
      <c r="B508" s="10" t="n">
        <v>2014</v>
      </c>
      <c r="C508" s="10" t="n">
        <v>3</v>
      </c>
      <c r="D508" s="6" t="inlineStr">
        <is>
          <t>2014 Q3</t>
        </is>
      </c>
      <c r="E508" s="8" t="n">
        <v>98.5922266666667</v>
      </c>
      <c r="F508" s="10" t="n">
        <v>2.0005723931652</v>
      </c>
      <c r="G508" s="10" t="n">
        <v>-0.129962839879516</v>
      </c>
      <c r="H508" s="8" t="n">
        <v>0.993242253190631</v>
      </c>
      <c r="I508" s="8" t="n">
        <v>4.32691873058616</v>
      </c>
      <c r="J508" s="8" t="n">
        <v>108.938602402541</v>
      </c>
      <c r="K508" s="8" t="n">
        <v>-1.11719604799572</v>
      </c>
      <c r="L508" s="8" t="n">
        <v>104.211407968198</v>
      </c>
      <c r="M508" s="8" t="n">
        <v>-2.16511715802957</v>
      </c>
      <c r="N508" s="8" t="n">
        <v>0.09</v>
      </c>
      <c r="O508" s="8" t="n">
        <v>-0.0033333333333333</v>
      </c>
      <c r="P508" s="8" t="n">
        <v>101.823333333333</v>
      </c>
      <c r="Q508" s="8" t="n">
        <v>-7.65998609473715</v>
      </c>
      <c r="R508" s="10" t="n">
        <v>0</v>
      </c>
      <c r="S508" s="7" t="inlineStr">
        <is>
          <t>High_Quality_Observed</t>
        </is>
      </c>
    </row>
    <row r="509" ht="19" customHeight="1">
      <c r="A509" s="6" t="inlineStr">
        <is>
          <t>Thailand</t>
        </is>
      </c>
      <c r="B509" s="10" t="n">
        <v>2014</v>
      </c>
      <c r="C509" s="10" t="n">
        <v>4</v>
      </c>
      <c r="D509" s="6" t="inlineStr">
        <is>
          <t>2014 Q4</t>
        </is>
      </c>
      <c r="E509" s="8" t="n">
        <v>98.10956</v>
      </c>
      <c r="F509" s="10" t="n">
        <v>1.11135734730539</v>
      </c>
      <c r="G509" s="10" t="n">
        <v>-0.489558541261592</v>
      </c>
      <c r="H509" s="8" t="n">
        <v>1.58614265903408</v>
      </c>
      <c r="I509" s="8" t="n">
        <v>4.22862861989407</v>
      </c>
      <c r="J509" s="8" t="n">
        <v>111.436341234083</v>
      </c>
      <c r="K509" s="8" t="n">
        <v>2.37657622886245</v>
      </c>
      <c r="L509" s="8" t="n">
        <v>99.4046630544031</v>
      </c>
      <c r="M509" s="8" t="n">
        <v>-7.9947393171137</v>
      </c>
      <c r="N509" s="8" t="n">
        <v>0.1</v>
      </c>
      <c r="O509" s="8" t="n">
        <v>0.01</v>
      </c>
      <c r="P509" s="8" t="n">
        <v>76.40333333333329</v>
      </c>
      <c r="Q509" s="8" t="n">
        <v>-30.0399841284376</v>
      </c>
      <c r="R509" s="10" t="n">
        <v>0</v>
      </c>
      <c r="S509" s="7" t="inlineStr">
        <is>
          <t>High_Quality_Observed</t>
        </is>
      </c>
    </row>
    <row r="510" ht="19" customHeight="1">
      <c r="A510" s="6" t="inlineStr">
        <is>
          <t>Thailand</t>
        </is>
      </c>
      <c r="B510" s="10" t="n">
        <v>2015</v>
      </c>
      <c r="C510" s="10" t="n">
        <v>1</v>
      </c>
      <c r="D510" s="6" t="inlineStr">
        <is>
          <t>2015 Q1</t>
        </is>
      </c>
      <c r="E510" s="8" t="n">
        <v>97.2969633333333</v>
      </c>
      <c r="F510" s="10" t="n">
        <v>-0.50295468407271</v>
      </c>
      <c r="G510" s="10" t="n">
        <v>-0.828254317588073</v>
      </c>
      <c r="H510" s="8" t="n">
        <v>2.46672054749996</v>
      </c>
      <c r="I510" s="8" t="n">
        <v>4.40212409885864</v>
      </c>
      <c r="J510" s="8" t="n">
        <v>115.93625541826</v>
      </c>
      <c r="K510" s="8" t="n">
        <v>8.14762206486961</v>
      </c>
      <c r="L510" s="8" t="n">
        <v>100.657732001964</v>
      </c>
      <c r="M510" s="8" t="n">
        <v>-8.4807283765489</v>
      </c>
      <c r="N510" s="8" t="n">
        <v>0.11</v>
      </c>
      <c r="O510" s="8" t="n">
        <v>0.01</v>
      </c>
      <c r="P510" s="8" t="n">
        <v>53.9166666666667</v>
      </c>
      <c r="Q510" s="8" t="n">
        <v>-50.1540832049307</v>
      </c>
      <c r="R510" s="10" t="n">
        <v>0</v>
      </c>
      <c r="S510" s="7" t="inlineStr">
        <is>
          <t>High_Quality_Observed</t>
        </is>
      </c>
    </row>
    <row r="511" ht="19" customHeight="1">
      <c r="A511" s="6" t="inlineStr">
        <is>
          <t>Thailand</t>
        </is>
      </c>
      <c r="B511" s="10" t="n">
        <v>2015</v>
      </c>
      <c r="C511" s="10" t="n">
        <v>2</v>
      </c>
      <c r="D511" s="6" t="inlineStr">
        <is>
          <t>2015 Q2</t>
        </is>
      </c>
      <c r="E511" s="8" t="n">
        <v>97.60856333333329</v>
      </c>
      <c r="F511" s="10" t="n">
        <v>-1.12637500110582</v>
      </c>
      <c r="G511" s="10" t="n">
        <v>0.320256654806861</v>
      </c>
      <c r="H511" s="8" t="n">
        <v>3.08588210007009</v>
      </c>
      <c r="I511" s="8" t="n">
        <v>4.48492721321736</v>
      </c>
      <c r="J511" s="8" t="n">
        <v>113.849446902647</v>
      </c>
      <c r="K511" s="8" t="n">
        <v>6.58721275406782</v>
      </c>
      <c r="L511" s="8" t="n">
        <v>96.8474817130345</v>
      </c>
      <c r="M511" s="8" t="n">
        <v>-13.1402513029193</v>
      </c>
      <c r="N511" s="8" t="n">
        <v>0.123333333333333</v>
      </c>
      <c r="O511" s="8" t="n">
        <v>0.0133333333333333</v>
      </c>
      <c r="P511" s="8" t="n">
        <v>61.6933333333333</v>
      </c>
      <c r="Q511" s="8" t="n">
        <v>-43.761774536615</v>
      </c>
      <c r="R511" s="10" t="n">
        <v>0</v>
      </c>
      <c r="S511" s="7" t="inlineStr">
        <is>
          <t>High_Quality_Observed</t>
        </is>
      </c>
    </row>
    <row r="512" ht="19" customHeight="1">
      <c r="A512" s="6" t="inlineStr">
        <is>
          <t>Thailand</t>
        </is>
      </c>
      <c r="B512" s="10" t="n">
        <v>2015</v>
      </c>
      <c r="C512" s="10" t="n">
        <v>3</v>
      </c>
      <c r="D512" s="6" t="inlineStr">
        <is>
          <t>2015 Q3</t>
        </is>
      </c>
      <c r="E512" s="8" t="n">
        <v>97.50469333333329</v>
      </c>
      <c r="F512" s="10" t="n">
        <v>-1.10306194524868</v>
      </c>
      <c r="G512" s="10" t="n">
        <v>-0.106414843588354</v>
      </c>
      <c r="H512" s="8" t="n">
        <v>3.44362793596513</v>
      </c>
      <c r="I512" s="8" t="n">
        <v>4.47703804572955</v>
      </c>
      <c r="J512" s="8" t="n">
        <v>109.087680555417</v>
      </c>
      <c r="K512" s="8" t="n">
        <v>0.136846030321625</v>
      </c>
      <c r="L512" s="8" t="n">
        <v>92.7459060049042</v>
      </c>
      <c r="M512" s="8" t="n">
        <v>-11.002156277164</v>
      </c>
      <c r="N512" s="8" t="n">
        <v>0.136666666666667</v>
      </c>
      <c r="O512" s="8" t="n">
        <v>0.0133333333333333</v>
      </c>
      <c r="P512" s="8" t="n">
        <v>50.2333333333333</v>
      </c>
      <c r="Q512" s="8" t="n">
        <v>-50.666186532229</v>
      </c>
      <c r="R512" s="10" t="n">
        <v>0</v>
      </c>
      <c r="S512" s="7" t="inlineStr">
        <is>
          <t>High_Quality_Observed</t>
        </is>
      </c>
    </row>
    <row r="513" ht="19" customHeight="1">
      <c r="A513" s="6" t="inlineStr">
        <is>
          <t>Thailand</t>
        </is>
      </c>
      <c r="B513" s="10" t="n">
        <v>2015</v>
      </c>
      <c r="C513" s="10" t="n">
        <v>4</v>
      </c>
      <c r="D513" s="6" t="inlineStr">
        <is>
          <t>2015 Q4</t>
        </is>
      </c>
      <c r="E513" s="8" t="n">
        <v>97.26031</v>
      </c>
      <c r="F513" s="10" t="n">
        <v>-0.865613911631036</v>
      </c>
      <c r="G513" s="10" t="n">
        <v>-0.250637507773988</v>
      </c>
      <c r="H513" s="8" t="n">
        <v>3.53995841292426</v>
      </c>
      <c r="I513" s="8" t="n">
        <v>4.37845658851307</v>
      </c>
      <c r="J513" s="8" t="n">
        <v>107.990305624006</v>
      </c>
      <c r="K513" s="8" t="n">
        <v>-3.09238043165678</v>
      </c>
      <c r="L513" s="8" t="n">
        <v>90.3005619231251</v>
      </c>
      <c r="M513" s="8" t="n">
        <v>-9.15862581446042</v>
      </c>
      <c r="N513" s="8" t="n">
        <v>0.16</v>
      </c>
      <c r="O513" s="8" t="n">
        <v>0.0233333333333333</v>
      </c>
      <c r="P513" s="8" t="n">
        <v>43.57</v>
      </c>
      <c r="Q513" s="8" t="n">
        <v>-42.9736922472842</v>
      </c>
      <c r="R513" s="10" t="n">
        <v>0</v>
      </c>
      <c r="S513" s="7" t="inlineStr">
        <is>
          <t>High_Quality_Observed</t>
        </is>
      </c>
    </row>
    <row r="514" ht="19" customHeight="1">
      <c r="A514" s="6" t="inlineStr">
        <is>
          <t>Thailand</t>
        </is>
      </c>
      <c r="B514" s="10" t="n">
        <v>2016</v>
      </c>
      <c r="C514" s="10" t="n">
        <v>1</v>
      </c>
      <c r="D514" s="6" t="inlineStr">
        <is>
          <t>2016 Q1</t>
        </is>
      </c>
      <c r="E514" s="8" t="n">
        <v>96.8143</v>
      </c>
      <c r="F514" s="10" t="n">
        <v>-0.496072350870558</v>
      </c>
      <c r="G514" s="10" t="n">
        <v>-0.458573492105874</v>
      </c>
      <c r="H514" s="8" t="n">
        <v>3.37487362724199</v>
      </c>
      <c r="I514" s="8" t="n">
        <v>4.18918274298891</v>
      </c>
      <c r="J514" s="8" t="n">
        <v>107.767940991496</v>
      </c>
      <c r="K514" s="8" t="n">
        <v>-7.04552203906833</v>
      </c>
      <c r="L514" s="8" t="n">
        <v>91.66230580090431</v>
      </c>
      <c r="M514" s="8" t="n">
        <v>-8.936647013747329</v>
      </c>
      <c r="N514" s="8" t="n">
        <v>0.36</v>
      </c>
      <c r="O514" s="8" t="n">
        <v>0.2</v>
      </c>
      <c r="P514" s="8" t="n">
        <v>33.6966666666667</v>
      </c>
      <c r="Q514" s="8" t="n">
        <v>-37.5023183925811</v>
      </c>
      <c r="R514" s="10" t="n">
        <v>0</v>
      </c>
      <c r="S514" s="7" t="inlineStr">
        <is>
          <t>High_Quality_Observed</t>
        </is>
      </c>
    </row>
    <row r="515" ht="19" customHeight="1">
      <c r="A515" s="6" t="inlineStr">
        <is>
          <t>Thailand</t>
        </is>
      </c>
      <c r="B515" s="10" t="n">
        <v>2016</v>
      </c>
      <c r="C515" s="10" t="n">
        <v>2</v>
      </c>
      <c r="D515" s="6" t="inlineStr">
        <is>
          <t>2016 Q2</t>
        </is>
      </c>
      <c r="E515" s="8" t="n">
        <v>97.9048833333333</v>
      </c>
      <c r="F515" s="10" t="n">
        <v>0.30357992155674</v>
      </c>
      <c r="G515" s="10" t="n">
        <v>1.12646926469884</v>
      </c>
      <c r="H515" s="8" t="n">
        <v>3.33295335747748</v>
      </c>
      <c r="I515" s="8" t="n">
        <v>4.12651472747467</v>
      </c>
      <c r="J515" s="8" t="n">
        <v>106.262131158294</v>
      </c>
      <c r="K515" s="8" t="n">
        <v>-6.6643413303898</v>
      </c>
      <c r="L515" s="8" t="n">
        <v>96.9846126235507</v>
      </c>
      <c r="M515" s="8" t="n">
        <v>0.141594709630688</v>
      </c>
      <c r="N515" s="8" t="n">
        <v>0.373333333333333</v>
      </c>
      <c r="O515" s="8" t="n">
        <v>0.0133333333333334</v>
      </c>
      <c r="P515" s="8" t="n">
        <v>45.5233333333333</v>
      </c>
      <c r="Q515" s="8" t="n">
        <v>-26.2102874432678</v>
      </c>
      <c r="R515" s="10" t="n">
        <v>0</v>
      </c>
      <c r="S515" s="7" t="inlineStr">
        <is>
          <t>High_Quality_Observed</t>
        </is>
      </c>
    </row>
    <row r="516" ht="19" customHeight="1">
      <c r="A516" s="6" t="inlineStr">
        <is>
          <t>Thailand</t>
        </is>
      </c>
      <c r="B516" s="10" t="n">
        <v>2016</v>
      </c>
      <c r="C516" s="10" t="n">
        <v>3</v>
      </c>
      <c r="D516" s="6" t="inlineStr">
        <is>
          <t>2016 Q3</t>
        </is>
      </c>
      <c r="E516" s="8" t="n">
        <v>97.7551933333333</v>
      </c>
      <c r="F516" s="10" t="n">
        <v>0.256910710075897</v>
      </c>
      <c r="G516" s="10" t="n">
        <v>-0.152893292860934</v>
      </c>
      <c r="H516" s="8" t="n">
        <v>3.41419756173629</v>
      </c>
      <c r="I516" s="8" t="n">
        <v>4.19045247928746</v>
      </c>
      <c r="J516" s="8" t="n">
        <v>106.423813063627</v>
      </c>
      <c r="K516" s="8" t="n">
        <v>-2.44195080345189</v>
      </c>
      <c r="L516" s="8" t="n">
        <v>100.864699533998</v>
      </c>
      <c r="M516" s="8" t="n">
        <v>8.75380259767431</v>
      </c>
      <c r="N516" s="8" t="n">
        <v>0.396666666666667</v>
      </c>
      <c r="O516" s="8" t="n">
        <v>0.0233333333333333</v>
      </c>
      <c r="P516" s="8" t="n">
        <v>45.7866666666667</v>
      </c>
      <c r="Q516" s="8" t="n">
        <v>-8.852023888520231</v>
      </c>
      <c r="R516" s="10" t="n">
        <v>0</v>
      </c>
      <c r="S516" s="7" t="inlineStr">
        <is>
          <t>High_Quality_Observed</t>
        </is>
      </c>
    </row>
    <row r="517" ht="19" customHeight="1">
      <c r="A517" s="6" t="inlineStr">
        <is>
          <t>Thailand</t>
        </is>
      </c>
      <c r="B517" s="10" t="n">
        <v>2016</v>
      </c>
      <c r="C517" s="10" t="n">
        <v>4</v>
      </c>
      <c r="D517" s="6" t="inlineStr">
        <is>
          <t>2016 Q4</t>
        </is>
      </c>
      <c r="E517" s="8" t="n">
        <v>97.92932</v>
      </c>
      <c r="F517" s="10" t="n">
        <v>0.687855097315637</v>
      </c>
      <c r="G517" s="10" t="n">
        <v>0.178125233789794</v>
      </c>
      <c r="H517" s="8" t="n">
        <v>3.61860632123303</v>
      </c>
      <c r="I517" s="8" t="n">
        <v>4.38099606240225</v>
      </c>
      <c r="J517" s="8" t="n">
        <v>107.724608197206</v>
      </c>
      <c r="K517" s="8" t="n">
        <v>-0.246038220991751</v>
      </c>
      <c r="L517" s="8" t="n">
        <v>101.835604997953</v>
      </c>
      <c r="M517" s="8" t="n">
        <v>12.7740545896579</v>
      </c>
      <c r="N517" s="8" t="n">
        <v>0.45</v>
      </c>
      <c r="O517" s="8" t="n">
        <v>0.0533333333333333</v>
      </c>
      <c r="P517" s="8" t="n">
        <v>49.1866666666667</v>
      </c>
      <c r="Q517" s="8" t="n">
        <v>12.8911330426134</v>
      </c>
      <c r="R517" s="10" t="n">
        <v>0</v>
      </c>
      <c r="S517" s="7" t="inlineStr">
        <is>
          <t>High_Quality_Observed</t>
        </is>
      </c>
    </row>
    <row r="518" ht="19" customHeight="1">
      <c r="A518" s="6" t="inlineStr">
        <is>
          <t>Thailand</t>
        </is>
      </c>
      <c r="B518" s="10" t="n">
        <v>2017</v>
      </c>
      <c r="C518" s="10" t="n">
        <v>1</v>
      </c>
      <c r="D518" s="6" t="inlineStr">
        <is>
          <t>2017 Q1</t>
        </is>
      </c>
      <c r="E518" s="8" t="n">
        <v>98.0257133333333</v>
      </c>
      <c r="F518" s="10" t="n">
        <v>1.25127520762256</v>
      </c>
      <c r="G518" s="10" t="n">
        <v>0.0984315354516152</v>
      </c>
      <c r="H518" s="8" t="n">
        <v>3.94617984040939</v>
      </c>
      <c r="I518" s="8" t="n">
        <v>4.69814566732828</v>
      </c>
      <c r="J518" s="8" t="n">
        <v>109.672449862268</v>
      </c>
      <c r="K518" s="8" t="n">
        <v>1.76723137999037</v>
      </c>
      <c r="L518" s="8" t="n">
        <v>100.125779631695</v>
      </c>
      <c r="M518" s="8" t="n">
        <v>9.23331980015236</v>
      </c>
      <c r="N518" s="8" t="n">
        <v>0.7</v>
      </c>
      <c r="O518" s="8" t="n">
        <v>0.25</v>
      </c>
      <c r="P518" s="8" t="n">
        <v>53.68</v>
      </c>
      <c r="Q518" s="8" t="n">
        <v>59.30359085963</v>
      </c>
      <c r="R518" s="10" t="n">
        <v>0</v>
      </c>
      <c r="S518" s="7" t="inlineStr">
        <is>
          <t>High_Quality_Observed</t>
        </is>
      </c>
    </row>
    <row r="519" ht="19" customHeight="1">
      <c r="A519" s="6" t="inlineStr">
        <is>
          <t>Thailand</t>
        </is>
      </c>
      <c r="B519" s="10" t="n">
        <v>2017</v>
      </c>
      <c r="C519" s="10" t="n">
        <v>2</v>
      </c>
      <c r="D519" s="6" t="inlineStr">
        <is>
          <t>2017 Q2</t>
        </is>
      </c>
      <c r="E519" s="8" t="n">
        <v>97.9997333333333</v>
      </c>
      <c r="F519" s="10" t="n">
        <v>0.0968797436559754</v>
      </c>
      <c r="G519" s="10" t="n">
        <v>-0.0265032501336138</v>
      </c>
      <c r="H519" s="8" t="n">
        <v>4.16980962330552</v>
      </c>
      <c r="I519" s="8" t="n">
        <v>4.9508555222313</v>
      </c>
      <c r="J519" s="8" t="n">
        <v>109.708401573631</v>
      </c>
      <c r="K519" s="8" t="n">
        <v>3.24317833434338</v>
      </c>
      <c r="L519" s="8" t="n">
        <v>99.4605526807123</v>
      </c>
      <c r="M519" s="8" t="n">
        <v>2.55292049963849</v>
      </c>
      <c r="N519" s="8" t="n">
        <v>0.95</v>
      </c>
      <c r="O519" s="8" t="n">
        <v>0.25</v>
      </c>
      <c r="P519" s="8" t="n">
        <v>49.67</v>
      </c>
      <c r="Q519" s="8" t="n">
        <v>9.10888189207</v>
      </c>
      <c r="R519" s="10" t="n">
        <v>0</v>
      </c>
      <c r="S519" s="7" t="inlineStr">
        <is>
          <t>High_Quality_Observed</t>
        </is>
      </c>
    </row>
    <row r="520" ht="19" customHeight="1">
      <c r="A520" s="6" t="inlineStr">
        <is>
          <t>Thailand</t>
        </is>
      </c>
      <c r="B520" s="10" t="n">
        <v>2017</v>
      </c>
      <c r="C520" s="10" t="n">
        <v>3</v>
      </c>
      <c r="D520" s="6" t="inlineStr">
        <is>
          <t>2017 Q3</t>
        </is>
      </c>
      <c r="E520" s="8" t="n">
        <v>98.1945733333333</v>
      </c>
      <c r="F520" s="10" t="n">
        <v>0.44946972638249</v>
      </c>
      <c r="G520" s="10" t="n">
        <v>0.198816867528895</v>
      </c>
      <c r="H520" s="8" t="n">
        <v>4.28949589363712</v>
      </c>
      <c r="I520" s="8" t="n">
        <v>5.13912587979719</v>
      </c>
      <c r="J520" s="8" t="n">
        <v>110.444725725224</v>
      </c>
      <c r="K520" s="8" t="n">
        <v>3.77820766409949</v>
      </c>
      <c r="L520" s="8" t="n">
        <v>102.480667511988</v>
      </c>
      <c r="M520" s="8" t="n">
        <v>1.60211450136303</v>
      </c>
      <c r="N520" s="8" t="n">
        <v>1.15333333333333</v>
      </c>
      <c r="O520" s="8" t="n">
        <v>0.203333333333333</v>
      </c>
      <c r="P520" s="8" t="n">
        <v>52.11</v>
      </c>
      <c r="Q520" s="8" t="n">
        <v>13.8104251601631</v>
      </c>
      <c r="R520" s="10" t="n">
        <v>0</v>
      </c>
      <c r="S520" s="7" t="inlineStr">
        <is>
          <t>High_Quality_Observed</t>
        </is>
      </c>
    </row>
    <row r="521" ht="19" customHeight="1">
      <c r="A521" s="6" t="inlineStr">
        <is>
          <t>Thailand</t>
        </is>
      </c>
      <c r="B521" s="10" t="n">
        <v>2017</v>
      </c>
      <c r="C521" s="10" t="n">
        <v>4</v>
      </c>
      <c r="D521" s="6" t="inlineStr">
        <is>
          <t>2017 Q4</t>
        </is>
      </c>
      <c r="E521" s="8" t="n">
        <v>98.78233</v>
      </c>
      <c r="F521" s="10" t="n">
        <v>0.871046587477586</v>
      </c>
      <c r="G521" s="10" t="n">
        <v>0.598563287882969</v>
      </c>
      <c r="H521" s="8" t="n">
        <v>4.30523877103641</v>
      </c>
      <c r="I521" s="8" t="n">
        <v>5.26295692832535</v>
      </c>
      <c r="J521" s="8" t="n">
        <v>112.262442529514</v>
      </c>
      <c r="K521" s="8" t="n">
        <v>4.21243985775441</v>
      </c>
      <c r="L521" s="8" t="n">
        <v>100.792675769869</v>
      </c>
      <c r="M521" s="8" t="n">
        <v>-1.0241302421728</v>
      </c>
      <c r="N521" s="8" t="n">
        <v>1.20333333333333</v>
      </c>
      <c r="O521" s="8" t="n">
        <v>0.05</v>
      </c>
      <c r="P521" s="8" t="n">
        <v>61.53</v>
      </c>
      <c r="Q521" s="8" t="n">
        <v>25.0948766603416</v>
      </c>
      <c r="R521" s="10" t="n">
        <v>0</v>
      </c>
      <c r="S521" s="7" t="inlineStr">
        <is>
          <t>High_Quality_Observed</t>
        </is>
      </c>
    </row>
    <row r="522" ht="19" customHeight="1">
      <c r="A522" s="6" t="inlineStr">
        <is>
          <t>Thailand</t>
        </is>
      </c>
      <c r="B522" s="10" t="n">
        <v>2018</v>
      </c>
      <c r="C522" s="10" t="n">
        <v>1</v>
      </c>
      <c r="D522" s="6" t="inlineStr">
        <is>
          <t>2018 Q1</t>
        </is>
      </c>
      <c r="E522" s="8" t="n">
        <v>98.6427</v>
      </c>
      <c r="F522" s="10" t="n">
        <v>0.629413085287744</v>
      </c>
      <c r="G522" s="10" t="n">
        <v>-0.141351191048045</v>
      </c>
      <c r="H522" s="8" t="n">
        <v>4.21703827126297</v>
      </c>
      <c r="I522" s="8" t="n">
        <v>5.32234879164889</v>
      </c>
      <c r="J522" s="8" t="n">
        <v>113.575005760464</v>
      </c>
      <c r="K522" s="8" t="n">
        <v>3.55837396091505</v>
      </c>
      <c r="L522" s="8" t="n">
        <v>96.02404012089779</v>
      </c>
      <c r="M522" s="8" t="n">
        <v>-4.09658683895945</v>
      </c>
      <c r="N522" s="8" t="n">
        <v>1.44666666666667</v>
      </c>
      <c r="O522" s="8" t="n">
        <v>0.243333333333333</v>
      </c>
      <c r="P522" s="8" t="n">
        <v>66.8066666666667</v>
      </c>
      <c r="Q522" s="8" t="n">
        <v>24.4535519125683</v>
      </c>
      <c r="R522" s="10" t="n">
        <v>0</v>
      </c>
      <c r="S522" s="7" t="inlineStr">
        <is>
          <t>High_Quality_Observed</t>
        </is>
      </c>
    </row>
    <row r="523" ht="19" customHeight="1">
      <c r="A523" s="6" t="inlineStr">
        <is>
          <t>Thailand</t>
        </is>
      </c>
      <c r="B523" s="10" t="n">
        <v>2018</v>
      </c>
      <c r="C523" s="10" t="n">
        <v>2</v>
      </c>
      <c r="D523" s="6" t="inlineStr">
        <is>
          <t>2018 Q2</t>
        </is>
      </c>
      <c r="E523" s="8" t="n">
        <v>99.2889066666667</v>
      </c>
      <c r="F523" s="10" t="n">
        <v>1.31548657275258</v>
      </c>
      <c r="G523" s="10" t="n">
        <v>0.655098316111258</v>
      </c>
      <c r="H523" s="8" t="n">
        <v>4.18409088874726</v>
      </c>
      <c r="I523" s="8" t="n">
        <v>5.08418522454813</v>
      </c>
      <c r="J523" s="8" t="n">
        <v>114.069072087669</v>
      </c>
      <c r="K523" s="8" t="n">
        <v>3.97478265245783</v>
      </c>
      <c r="L523" s="8" t="n">
        <v>96.1737638878632</v>
      </c>
      <c r="M523" s="8" t="n">
        <v>-3.30461545231933</v>
      </c>
      <c r="N523" s="8" t="n">
        <v>1.73666666666667</v>
      </c>
      <c r="O523" s="8" t="n">
        <v>0.29</v>
      </c>
      <c r="P523" s="8" t="n">
        <v>74.5</v>
      </c>
      <c r="Q523" s="8" t="n">
        <v>49.9899335615059</v>
      </c>
      <c r="R523" s="10" t="n">
        <v>0</v>
      </c>
      <c r="S523" s="7" t="inlineStr">
        <is>
          <t>High_Quality_Observed</t>
        </is>
      </c>
    </row>
    <row r="524" ht="19" customHeight="1">
      <c r="A524" s="6" t="inlineStr">
        <is>
          <t>Thailand</t>
        </is>
      </c>
      <c r="B524" s="10" t="n">
        <v>2018</v>
      </c>
      <c r="C524" s="10" t="n">
        <v>3</v>
      </c>
      <c r="D524" s="6" t="inlineStr">
        <is>
          <t>2018 Q3</t>
        </is>
      </c>
      <c r="E524" s="8" t="n">
        <v>99.63825666666671</v>
      </c>
      <c r="F524" s="10" t="n">
        <v>1.47022720739625</v>
      </c>
      <c r="G524" s="10" t="n">
        <v>0.351851996087382</v>
      </c>
      <c r="H524" s="8" t="n">
        <v>4.20639659063961</v>
      </c>
      <c r="I524" s="8" t="n">
        <v>4.54846598887601</v>
      </c>
      <c r="J524" s="8" t="n">
        <v>112.874250624379</v>
      </c>
      <c r="K524" s="8" t="n">
        <v>2.19976543307265</v>
      </c>
      <c r="L524" s="8" t="n">
        <v>93.2694805076009</v>
      </c>
      <c r="M524" s="8" t="n">
        <v>-8.98821917149397</v>
      </c>
      <c r="N524" s="8" t="n">
        <v>1.92333333333333</v>
      </c>
      <c r="O524" s="8" t="n">
        <v>0.186666666666667</v>
      </c>
      <c r="P524" s="8" t="n">
        <v>75.2233333333333</v>
      </c>
      <c r="Q524" s="8" t="n">
        <v>44.3548902961683</v>
      </c>
      <c r="R524" s="10" t="n">
        <v>0</v>
      </c>
      <c r="S524" s="7" t="inlineStr">
        <is>
          <t>High_Quality_Observed</t>
        </is>
      </c>
    </row>
    <row r="525" ht="19" customHeight="1">
      <c r="A525" s="6" t="inlineStr">
        <is>
          <t>Thailand</t>
        </is>
      </c>
      <c r="B525" s="10" t="n">
        <v>2018</v>
      </c>
      <c r="C525" s="10" t="n">
        <v>4</v>
      </c>
      <c r="D525" s="6" t="inlineStr">
        <is>
          <t>2018 Q4</t>
        </is>
      </c>
      <c r="E525" s="8" t="n">
        <v>99.6136333333333</v>
      </c>
      <c r="F525" s="10" t="n">
        <v>0.841550643048539</v>
      </c>
      <c r="G525" s="10" t="n">
        <v>-0.0247127299865313</v>
      </c>
      <c r="H525" s="8" t="n">
        <v>4.28395539912249</v>
      </c>
      <c r="I525" s="8" t="n">
        <v>3.71519054892248</v>
      </c>
      <c r="J525" s="8" t="n">
        <v>114.289468505742</v>
      </c>
      <c r="K525" s="8" t="n">
        <v>1.80561364117369</v>
      </c>
      <c r="L525" s="8" t="n">
        <v>90.7369363173618</v>
      </c>
      <c r="M525" s="8" t="n">
        <v>-9.976656910534739</v>
      </c>
      <c r="N525" s="8" t="n">
        <v>2.22</v>
      </c>
      <c r="O525" s="8" t="n">
        <v>0.296666666666667</v>
      </c>
      <c r="P525" s="8" t="n">
        <v>67.7133333333333</v>
      </c>
      <c r="Q525" s="8" t="n">
        <v>10.0492984452029</v>
      </c>
      <c r="R525" s="10" t="n">
        <v>0</v>
      </c>
      <c r="S525" s="7" t="inlineStr">
        <is>
          <t>High_Quality_Observed</t>
        </is>
      </c>
    </row>
    <row r="526" ht="19" customHeight="1">
      <c r="A526" s="6" t="inlineStr">
        <is>
          <t>Thailand</t>
        </is>
      </c>
      <c r="B526" s="10" t="n">
        <v>2019</v>
      </c>
      <c r="C526" s="10" t="n">
        <v>1</v>
      </c>
      <c r="D526" s="6" t="inlineStr">
        <is>
          <t>2019 Q1</t>
        </is>
      </c>
      <c r="E526" s="8" t="n">
        <v>99.3765833333333</v>
      </c>
      <c r="F526" s="10" t="n">
        <v>0.743981392777515</v>
      </c>
      <c r="G526" s="10" t="n">
        <v>-0.23796943457205</v>
      </c>
      <c r="H526" s="8" t="n">
        <v>4.41676739186116</v>
      </c>
      <c r="I526" s="8" t="n">
        <v>2.58435807138634</v>
      </c>
      <c r="J526" s="8" t="n">
        <v>117.494565417249</v>
      </c>
      <c r="K526" s="8" t="n">
        <v>3.45107590401652</v>
      </c>
      <c r="L526" s="8" t="n">
        <v>93.8324987094736</v>
      </c>
      <c r="M526" s="8" t="n">
        <v>-2.2822841120463</v>
      </c>
      <c r="N526" s="8" t="n">
        <v>2.40333333333333</v>
      </c>
      <c r="O526" s="8" t="n">
        <v>0.183333333333333</v>
      </c>
      <c r="P526" s="8" t="n">
        <v>63.17</v>
      </c>
      <c r="Q526" s="8" t="n">
        <v>-5.4435685061371</v>
      </c>
      <c r="R526" s="10" t="n">
        <v>0</v>
      </c>
      <c r="S526" s="7" t="inlineStr">
        <is>
          <t>High_Quality_Observed</t>
        </is>
      </c>
    </row>
    <row r="527" ht="19" customHeight="1">
      <c r="A527" s="6" t="inlineStr">
        <is>
          <t>Thailand</t>
        </is>
      </c>
      <c r="B527" s="10" t="n">
        <v>2019</v>
      </c>
      <c r="C527" s="10" t="n">
        <v>2</v>
      </c>
      <c r="D527" s="6" t="inlineStr">
        <is>
          <t>2019 Q2</t>
        </is>
      </c>
      <c r="E527" s="8" t="n">
        <v>100.363753333333</v>
      </c>
      <c r="F527" s="10" t="n">
        <v>1.08254456892667</v>
      </c>
      <c r="G527" s="10" t="n">
        <v>0.993362789188268</v>
      </c>
      <c r="H527" s="8" t="n">
        <v>3.54900888465558</v>
      </c>
      <c r="I527" s="8" t="n">
        <v>2.55304055160154</v>
      </c>
      <c r="J527" s="8" t="n">
        <v>118.465769163992</v>
      </c>
      <c r="K527" s="8" t="n">
        <v>3.85441644773281</v>
      </c>
      <c r="L527" s="8" t="n">
        <v>94.8842784155444</v>
      </c>
      <c r="M527" s="8" t="n">
        <v>-1.34078715461562</v>
      </c>
      <c r="N527" s="8" t="n">
        <v>2.39666666666667</v>
      </c>
      <c r="O527" s="8" t="n">
        <v>-0.0066666666666668</v>
      </c>
      <c r="P527" s="8" t="n">
        <v>68.9233333333333</v>
      </c>
      <c r="Q527" s="8" t="n">
        <v>-7.48545861297539</v>
      </c>
      <c r="R527" s="10" t="n">
        <v>0</v>
      </c>
      <c r="S527" s="7" t="inlineStr">
        <is>
          <t>High_Quality_Observed</t>
        </is>
      </c>
    </row>
    <row r="528" ht="19" customHeight="1">
      <c r="A528" s="6" t="inlineStr">
        <is>
          <t>Thailand</t>
        </is>
      </c>
      <c r="B528" s="10" t="n">
        <v>2019</v>
      </c>
      <c r="C528" s="10" t="n">
        <v>3</v>
      </c>
      <c r="D528" s="6" t="inlineStr">
        <is>
          <t>2019 Q3</t>
        </is>
      </c>
      <c r="E528" s="8" t="n">
        <v>100.24361</v>
      </c>
      <c r="F528" s="10" t="n">
        <v>0.60755110896662</v>
      </c>
      <c r="G528" s="10" t="n">
        <v>-0.119707891886334</v>
      </c>
      <c r="H528" s="8" t="n">
        <v>1.68067900974297</v>
      </c>
      <c r="I528" s="8" t="n">
        <v>3.62123795824499</v>
      </c>
      <c r="J528" s="8" t="n">
        <v>121.436157892032</v>
      </c>
      <c r="K528" s="8" t="n">
        <v>7.5853502639371</v>
      </c>
      <c r="L528" s="8" t="n">
        <v>94.5983508132319</v>
      </c>
      <c r="M528" s="8" t="n">
        <v>1.42476434777905</v>
      </c>
      <c r="N528" s="8" t="n">
        <v>2.19</v>
      </c>
      <c r="O528" s="8" t="n">
        <v>-0.206666666666667</v>
      </c>
      <c r="P528" s="8" t="n">
        <v>61.93</v>
      </c>
      <c r="Q528" s="8" t="n">
        <v>-17.6718216865334</v>
      </c>
      <c r="R528" s="10" t="n">
        <v>0</v>
      </c>
      <c r="S528" s="7" t="inlineStr">
        <is>
          <t>High_Quality_Observed</t>
        </is>
      </c>
    </row>
    <row r="529" ht="19" customHeight="1">
      <c r="A529" s="6" t="inlineStr">
        <is>
          <t>Thailand</t>
        </is>
      </c>
      <c r="B529" s="10" t="n">
        <v>2019</v>
      </c>
      <c r="C529" s="10" t="n">
        <v>4</v>
      </c>
      <c r="D529" s="6" t="inlineStr">
        <is>
          <t>2019 Q4</t>
        </is>
      </c>
      <c r="E529" s="8" t="n">
        <v>100.006556666667</v>
      </c>
      <c r="F529" s="10" t="n">
        <v>0.394447346397353</v>
      </c>
      <c r="G529" s="10" t="n">
        <v>-0.23647725110193</v>
      </c>
      <c r="H529" s="8" t="n">
        <v>-1.18822410119282</v>
      </c>
      <c r="I529" s="8" t="n">
        <v>5.78895135953422</v>
      </c>
      <c r="J529" s="8" t="n">
        <v>122.427744475808</v>
      </c>
      <c r="K529" s="8" t="n">
        <v>7.12075756101458</v>
      </c>
      <c r="L529" s="8" t="n">
        <v>98.5900431134575</v>
      </c>
      <c r="M529" s="8" t="n">
        <v>8.654807088293911</v>
      </c>
      <c r="N529" s="8" t="n">
        <v>1.64333333333333</v>
      </c>
      <c r="O529" s="8" t="n">
        <v>-0.546666666666667</v>
      </c>
      <c r="P529" s="8" t="n">
        <v>63.41</v>
      </c>
      <c r="Q529" s="8" t="n">
        <v>-6.35522299891701</v>
      </c>
      <c r="R529" s="10" t="n">
        <v>0</v>
      </c>
      <c r="S529" s="7" t="inlineStr">
        <is>
          <t>High_Quality_Observed</t>
        </is>
      </c>
    </row>
    <row r="530" ht="19" customHeight="1">
      <c r="A530" s="6" t="inlineStr">
        <is>
          <t>Thailand</t>
        </is>
      </c>
      <c r="B530" s="10" t="n">
        <v>2020</v>
      </c>
      <c r="C530" s="10" t="n">
        <v>1</v>
      </c>
      <c r="D530" s="6" t="inlineStr">
        <is>
          <t>2020 Q1</t>
        </is>
      </c>
      <c r="E530" s="8" t="n">
        <v>99.789</v>
      </c>
      <c r="F530" s="10" t="n">
        <v>0.415003869959318</v>
      </c>
      <c r="G530" s="10" t="n">
        <v>-0.217542403136439</v>
      </c>
      <c r="H530" s="8" t="n">
        <v>-5.05770331701174</v>
      </c>
      <c r="I530" s="8" t="n">
        <v>9.056182923130891</v>
      </c>
      <c r="J530" s="8" t="n">
        <v>118.83411481362</v>
      </c>
      <c r="K530" s="8" t="n">
        <v>1.14009477086336</v>
      </c>
      <c r="L530" s="8" t="n">
        <v>101.264856657347</v>
      </c>
      <c r="M530" s="8" t="n">
        <v>7.92087821393919</v>
      </c>
      <c r="N530" s="8" t="n">
        <v>1.26</v>
      </c>
      <c r="O530" s="8" t="n">
        <v>-0.383333333333333</v>
      </c>
      <c r="P530" s="8" t="n">
        <v>50.44</v>
      </c>
      <c r="Q530" s="8" t="n">
        <v>-20.1519708722495</v>
      </c>
      <c r="R530" s="10" t="n">
        <v>0</v>
      </c>
      <c r="S530" s="7" t="inlineStr">
        <is>
          <t>High_Quality_Observed</t>
        </is>
      </c>
    </row>
    <row r="531" ht="19" customHeight="1">
      <c r="A531" s="6" t="inlineStr">
        <is>
          <t>Thailand</t>
        </is>
      </c>
      <c r="B531" s="10" t="n">
        <v>2020</v>
      </c>
      <c r="C531" s="10" t="n">
        <v>2</v>
      </c>
      <c r="D531" s="6" t="inlineStr">
        <is>
          <t>2020 Q2</t>
        </is>
      </c>
      <c r="E531" s="8" t="n">
        <v>97.688</v>
      </c>
      <c r="F531" s="10" t="n">
        <v>-2.66605546770106</v>
      </c>
      <c r="G531" s="10" t="n">
        <v>-2.10544248364049</v>
      </c>
      <c r="H531" s="8" t="n">
        <v>-7.01963813823928</v>
      </c>
      <c r="I531" s="8" t="n">
        <v>10.8045681124474</v>
      </c>
      <c r="J531" s="8" t="n">
        <v>115.347610604457</v>
      </c>
      <c r="K531" s="8" t="n">
        <v>-2.63211776831416</v>
      </c>
      <c r="L531" s="8" t="n">
        <v>94.2610802411244</v>
      </c>
      <c r="M531" s="8" t="n">
        <v>-0.656798138560644</v>
      </c>
      <c r="N531" s="8" t="n">
        <v>0.06</v>
      </c>
      <c r="O531" s="8" t="n">
        <v>-1.2</v>
      </c>
      <c r="P531" s="8" t="n">
        <v>29.3433333333333</v>
      </c>
      <c r="Q531" s="8" t="n">
        <v>-57.426125646854</v>
      </c>
      <c r="R531" s="10" t="n">
        <v>0</v>
      </c>
      <c r="S531" s="7" t="inlineStr">
        <is>
          <t>High_Quality_Observed</t>
        </is>
      </c>
    </row>
    <row r="532" ht="19" customHeight="1">
      <c r="A532" s="6" t="inlineStr">
        <is>
          <t>Thailand</t>
        </is>
      </c>
      <c r="B532" s="10" t="n">
        <v>2020</v>
      </c>
      <c r="C532" s="10" t="n">
        <v>3</v>
      </c>
      <c r="D532" s="6" t="inlineStr">
        <is>
          <t>2020 Q3</t>
        </is>
      </c>
      <c r="E532" s="8" t="n">
        <v>99.5162133333333</v>
      </c>
      <c r="F532" s="10" t="n">
        <v>-0.725628961952451</v>
      </c>
      <c r="G532" s="10" t="n">
        <v>1.87148199710643</v>
      </c>
      <c r="H532" s="8" t="n">
        <v>-7.07403052664047</v>
      </c>
      <c r="I532" s="8" t="n">
        <v>11.0341086757699</v>
      </c>
      <c r="J532" s="8" t="n">
        <v>116.02103261515</v>
      </c>
      <c r="K532" s="8" t="n">
        <v>-4.45923633527401</v>
      </c>
      <c r="L532" s="8" t="n">
        <v>97.88852553233011</v>
      </c>
      <c r="M532" s="8" t="n">
        <v>3.47804659469599</v>
      </c>
      <c r="N532" s="8" t="n">
        <v>0.0933333333333333</v>
      </c>
      <c r="O532" s="8" t="n">
        <v>0.0333333333333333</v>
      </c>
      <c r="P532" s="8" t="n">
        <v>42.9633333333333</v>
      </c>
      <c r="Q532" s="8" t="n">
        <v>-30.6259755638086</v>
      </c>
      <c r="R532" s="10" t="n">
        <v>0</v>
      </c>
      <c r="S532" s="7" t="inlineStr">
        <is>
          <t>High_Quality_Observed</t>
        </is>
      </c>
    </row>
    <row r="533" ht="19" customHeight="1">
      <c r="A533" s="6" t="inlineStr">
        <is>
          <t>Thailand</t>
        </is>
      </c>
      <c r="B533" s="10" t="n">
        <v>2020</v>
      </c>
      <c r="C533" s="10" t="n">
        <v>4</v>
      </c>
      <c r="D533" s="6" t="inlineStr">
        <is>
          <t>2020 Q4</t>
        </is>
      </c>
      <c r="E533" s="8" t="n">
        <v>99.6136333333333</v>
      </c>
      <c r="F533" s="10" t="n">
        <v>-0.392897572349171</v>
      </c>
      <c r="G533" s="10" t="n">
        <v>0.09789359616576571</v>
      </c>
      <c r="H533" s="8" t="n">
        <v>-5.22088053675657</v>
      </c>
      <c r="I533" s="8" t="n">
        <v>9.74480484273284</v>
      </c>
      <c r="J533" s="8" t="n">
        <v>116.651745918689</v>
      </c>
      <c r="K533" s="8" t="n">
        <v>-4.71788366423831</v>
      </c>
      <c r="L533" s="8" t="n">
        <v>107.405441783652</v>
      </c>
      <c r="M533" s="8" t="n">
        <v>8.9414695356711</v>
      </c>
      <c r="N533" s="8" t="n">
        <v>0.09</v>
      </c>
      <c r="O533" s="8" t="n">
        <v>-0.0033333333333333</v>
      </c>
      <c r="P533" s="8" t="n">
        <v>44.29</v>
      </c>
      <c r="Q533" s="8" t="n">
        <v>-30.152972717237</v>
      </c>
      <c r="R533" s="10" t="n">
        <v>0</v>
      </c>
      <c r="S533" s="7" t="inlineStr">
        <is>
          <t>High_Quality_Observed</t>
        </is>
      </c>
    </row>
    <row r="534" ht="19" customHeight="1">
      <c r="A534" s="6" t="inlineStr">
        <is>
          <t>Thailand</t>
        </is>
      </c>
      <c r="B534" s="10" t="n">
        <v>2021</v>
      </c>
      <c r="C534" s="10" t="n">
        <v>1</v>
      </c>
      <c r="D534" s="6" t="inlineStr">
        <is>
          <t>2021 Q1</t>
        </is>
      </c>
      <c r="E534" s="8" t="n">
        <v>99.26000000000001</v>
      </c>
      <c r="F534" s="10" t="n">
        <v>-0.53011855014079</v>
      </c>
      <c r="G534" s="10" t="n">
        <v>-0.355004954141147</v>
      </c>
      <c r="H534" s="8" t="n">
        <v>-1.46018631536726</v>
      </c>
      <c r="I534" s="8" t="n">
        <v>6.936655323994</v>
      </c>
      <c r="J534" s="8" t="n">
        <v>116.154919793441</v>
      </c>
      <c r="K534" s="8" t="n">
        <v>-2.25456723802001</v>
      </c>
      <c r="L534" s="8" t="n">
        <v>106.418456967928</v>
      </c>
      <c r="M534" s="8" t="n">
        <v>5.08922886053087</v>
      </c>
      <c r="N534" s="8" t="n">
        <v>0.08</v>
      </c>
      <c r="O534" s="8" t="n">
        <v>-0.01</v>
      </c>
      <c r="P534" s="8" t="n">
        <v>60.82</v>
      </c>
      <c r="Q534" s="8" t="n">
        <v>20.578905630452</v>
      </c>
      <c r="R534" s="10" t="n">
        <v>0</v>
      </c>
      <c r="S534" s="7" t="inlineStr">
        <is>
          <t>High_Quality_Observed</t>
        </is>
      </c>
    </row>
    <row r="535" ht="19" customHeight="1">
      <c r="A535" s="6" t="inlineStr">
        <is>
          <t>Thailand</t>
        </is>
      </c>
      <c r="B535" s="10" t="n">
        <v>2021</v>
      </c>
      <c r="C535" s="10" t="n">
        <v>2</v>
      </c>
      <c r="D535" s="6" t="inlineStr">
        <is>
          <t>2021 Q2</t>
        </is>
      </c>
      <c r="E535" s="8" t="n">
        <v>99.98666666666669</v>
      </c>
      <c r="F535" s="10" t="n">
        <v>2.35306963666639</v>
      </c>
      <c r="G535" s="10" t="n">
        <v>0.732084088924712</v>
      </c>
      <c r="H535" s="8" t="n">
        <v>1.25159757664754</v>
      </c>
      <c r="I535" s="8" t="n">
        <v>4.96077802200248</v>
      </c>
      <c r="J535" s="8" t="n">
        <v>112.4410074338</v>
      </c>
      <c r="K535" s="8" t="n">
        <v>-2.51986422208932</v>
      </c>
      <c r="L535" s="8" t="n">
        <v>114.551815876528</v>
      </c>
      <c r="M535" s="8" t="n">
        <v>21.5261013172124</v>
      </c>
      <c r="N535" s="8" t="n">
        <v>0.07000000000000001</v>
      </c>
      <c r="O535" s="8" t="n">
        <v>-0.01</v>
      </c>
      <c r="P535" s="8" t="n">
        <v>68.8333333333333</v>
      </c>
      <c r="Q535" s="8" t="n">
        <v>134.579120754288</v>
      </c>
      <c r="R535" s="10" t="n">
        <v>0</v>
      </c>
      <c r="S535" s="7" t="inlineStr">
        <is>
          <t>High_Quality_Observed</t>
        </is>
      </c>
    </row>
    <row r="536" ht="19" customHeight="1">
      <c r="A536" s="6" t="inlineStr">
        <is>
          <t>Thailand</t>
        </is>
      </c>
      <c r="B536" s="10" t="n">
        <v>2021</v>
      </c>
      <c r="C536" s="10" t="n">
        <v>3</v>
      </c>
      <c r="D536" s="6" t="inlineStr">
        <is>
          <t>2021 Q3</t>
        </is>
      </c>
      <c r="E536" s="8" t="n">
        <v>100.216666666667</v>
      </c>
      <c r="F536" s="10" t="n">
        <v>0.703858506942123</v>
      </c>
      <c r="G536" s="10" t="n">
        <v>0.23003067075611</v>
      </c>
      <c r="H536" s="8" t="n">
        <v>2.91447385107674</v>
      </c>
      <c r="I536" s="8" t="n">
        <v>3.81717096091404</v>
      </c>
      <c r="J536" s="8" t="n">
        <v>107.412069014282</v>
      </c>
      <c r="K536" s="8" t="n">
        <v>-7.42017495174714</v>
      </c>
      <c r="L536" s="8" t="n">
        <v>116.298331246585</v>
      </c>
      <c r="M536" s="8" t="n">
        <v>18.8069087915464</v>
      </c>
      <c r="N536" s="8" t="n">
        <v>0.09</v>
      </c>
      <c r="O536" s="8" t="n">
        <v>0.02</v>
      </c>
      <c r="P536" s="8" t="n">
        <v>73.47</v>
      </c>
      <c r="Q536" s="8" t="n">
        <v>71.0062844285825</v>
      </c>
      <c r="R536" s="10" t="n">
        <v>0</v>
      </c>
      <c r="S536" s="7" t="inlineStr">
        <is>
          <t>High_Quality_Observed</t>
        </is>
      </c>
    </row>
    <row r="537" ht="19" customHeight="1">
      <c r="A537" s="6" t="inlineStr">
        <is>
          <t>Thailand</t>
        </is>
      </c>
      <c r="B537" s="10" t="n">
        <v>2021</v>
      </c>
      <c r="C537" s="10" t="n">
        <v>4</v>
      </c>
      <c r="D537" s="6" t="inlineStr">
        <is>
          <t>2021 Q4</t>
        </is>
      </c>
      <c r="E537" s="8" t="n">
        <v>102.023333333333</v>
      </c>
      <c r="F537" s="10" t="n">
        <v>2.41904638889789</v>
      </c>
      <c r="G537" s="10" t="n">
        <v>1.8027606851821</v>
      </c>
      <c r="H537" s="8" t="n">
        <v>3.52844417079948</v>
      </c>
      <c r="I537" s="8" t="n">
        <v>3.5058329970793</v>
      </c>
      <c r="J537" s="8" t="n">
        <v>108.337953232208</v>
      </c>
      <c r="K537" s="8" t="n">
        <v>-7.12701950665685</v>
      </c>
      <c r="L537" s="8" t="n">
        <v>122.679602624024</v>
      </c>
      <c r="M537" s="8" t="n">
        <v>14.2210306914792</v>
      </c>
      <c r="N537" s="8" t="n">
        <v>0.08</v>
      </c>
      <c r="O537" s="8" t="n">
        <v>-0.01</v>
      </c>
      <c r="P537" s="8" t="n">
        <v>79.5866666666667</v>
      </c>
      <c r="Q537" s="8" t="n">
        <v>79.69443817265</v>
      </c>
      <c r="R537" s="10" t="n">
        <v>0</v>
      </c>
      <c r="S537" s="7" t="inlineStr">
        <is>
          <t>High_Quality_Observed</t>
        </is>
      </c>
    </row>
    <row r="538" ht="19" customHeight="1">
      <c r="A538" s="6" t="inlineStr">
        <is>
          <t>Thailand</t>
        </is>
      </c>
      <c r="B538" s="10" t="n">
        <v>2022</v>
      </c>
      <c r="C538" s="10" t="n">
        <v>1</v>
      </c>
      <c r="D538" s="6" t="inlineStr">
        <is>
          <t>2022 Q1</t>
        </is>
      </c>
      <c r="E538" s="8" t="n">
        <v>103.966666666667</v>
      </c>
      <c r="F538" s="10" t="n">
        <v>4.74175565853985</v>
      </c>
      <c r="G538" s="10" t="n">
        <v>1.9047930212043</v>
      </c>
      <c r="H538" s="8" t="n">
        <v>3.09350914979449</v>
      </c>
      <c r="I538" s="8" t="n">
        <v>4.02676381918634</v>
      </c>
      <c r="J538" s="8" t="n">
        <v>111.194013367968</v>
      </c>
      <c r="K538" s="8" t="n">
        <v>-4.27093956441522</v>
      </c>
      <c r="L538" s="8" t="n">
        <v>124.25343875034</v>
      </c>
      <c r="M538" s="8" t="n">
        <v>16.7592937264516</v>
      </c>
      <c r="N538" s="8" t="n">
        <v>0.12</v>
      </c>
      <c r="O538" s="8" t="n">
        <v>0.04</v>
      </c>
      <c r="P538" s="8" t="n">
        <v>100.296666666667</v>
      </c>
      <c r="Q538" s="8" t="n">
        <v>64.9073769593335</v>
      </c>
      <c r="R538" s="10" t="n">
        <v>0</v>
      </c>
      <c r="S538" s="7" t="inlineStr">
        <is>
          <t>High_Quality_Observed</t>
        </is>
      </c>
    </row>
    <row r="539" ht="19" customHeight="1">
      <c r="A539" s="6" t="inlineStr">
        <is>
          <t>Thailand</t>
        </is>
      </c>
      <c r="B539" s="10" t="n">
        <v>2022</v>
      </c>
      <c r="C539" s="10" t="n">
        <v>2</v>
      </c>
      <c r="D539" s="6" t="inlineStr">
        <is>
          <t>2022 Q2</t>
        </is>
      </c>
      <c r="E539" s="8" t="n">
        <v>106.45</v>
      </c>
      <c r="F539" s="10" t="n">
        <v>6.46419522603014</v>
      </c>
      <c r="G539" s="10" t="n">
        <v>2.38858608528374</v>
      </c>
      <c r="H539" s="8" t="n">
        <v>2.73726850601738</v>
      </c>
      <c r="I539" s="8" t="n">
        <v>4.17473934525047</v>
      </c>
      <c r="J539" s="8" t="n">
        <v>111.614643270384</v>
      </c>
      <c r="K539" s="8" t="n">
        <v>-0.734931305113262</v>
      </c>
      <c r="L539" s="8" t="n">
        <v>134.351432934678</v>
      </c>
      <c r="M539" s="8" t="n">
        <v>17.2844200736996</v>
      </c>
      <c r="N539" s="8" t="n">
        <v>0.77</v>
      </c>
      <c r="O539" s="8" t="n">
        <v>0.65</v>
      </c>
      <c r="P539" s="8" t="n">
        <v>113.543333333333</v>
      </c>
      <c r="Q539" s="8" t="n">
        <v>64.95399515738499</v>
      </c>
      <c r="R539" s="10" t="n">
        <v>0</v>
      </c>
      <c r="S539" s="7" t="inlineStr">
        <is>
          <t>High_Quality_Observed</t>
        </is>
      </c>
    </row>
    <row r="540" ht="19" customHeight="1">
      <c r="A540" s="6" t="inlineStr">
        <is>
          <t>Thailand</t>
        </is>
      </c>
      <c r="B540" s="10" t="n">
        <v>2022</v>
      </c>
      <c r="C540" s="10" t="n">
        <v>3</v>
      </c>
      <c r="D540" s="6" t="inlineStr">
        <is>
          <t>2022 Q3</t>
        </is>
      </c>
      <c r="E540" s="8" t="n">
        <v>107.523333333333</v>
      </c>
      <c r="F540" s="10" t="n">
        <v>7.29086978213869</v>
      </c>
      <c r="G540" s="10" t="n">
        <v>1.00829810552685</v>
      </c>
      <c r="H540" s="8" t="n">
        <v>2.45972188316087</v>
      </c>
      <c r="I540" s="8" t="n">
        <v>3.94975972327847</v>
      </c>
      <c r="J540" s="8" t="n">
        <v>109.018633547517</v>
      </c>
      <c r="K540" s="8" t="n">
        <v>1.4957020640028</v>
      </c>
      <c r="L540" s="8" t="n">
        <v>118.584751746656</v>
      </c>
      <c r="M540" s="8" t="n">
        <v>1.96599596534466</v>
      </c>
      <c r="N540" s="8" t="n">
        <v>2.19</v>
      </c>
      <c r="O540" s="8" t="n">
        <v>1.42</v>
      </c>
      <c r="P540" s="8" t="n">
        <v>100.713333333333</v>
      </c>
      <c r="Q540" s="8" t="n">
        <v>37.0808946962479</v>
      </c>
      <c r="R540" s="10" t="n">
        <v>0</v>
      </c>
      <c r="S540" s="7" t="inlineStr">
        <is>
          <t>High_Quality_Observed</t>
        </is>
      </c>
    </row>
    <row r="541" ht="19" customHeight="1">
      <c r="A541" s="6" t="inlineStr">
        <is>
          <t>Thailand</t>
        </is>
      </c>
      <c r="B541" s="10" t="n">
        <v>2022</v>
      </c>
      <c r="C541" s="10" t="n">
        <v>4</v>
      </c>
      <c r="D541" s="6" t="inlineStr">
        <is>
          <t>2022 Q4</t>
        </is>
      </c>
      <c r="E541" s="8" t="n">
        <v>107.946666666667</v>
      </c>
      <c r="F541" s="10" t="n">
        <v>5.80586140425394</v>
      </c>
      <c r="G541" s="10" t="n">
        <v>0.393712992528772</v>
      </c>
      <c r="H541" s="8" t="n">
        <v>2.26086900363738</v>
      </c>
      <c r="I541" s="8" t="n">
        <v>3.35182472832199</v>
      </c>
      <c r="J541" s="8" t="n">
        <v>109.810869444561</v>
      </c>
      <c r="K541" s="8" t="n">
        <v>1.35955698664172</v>
      </c>
      <c r="L541" s="8" t="n">
        <v>115.210051245214</v>
      </c>
      <c r="M541" s="8" t="n">
        <v>-6.08866610181539</v>
      </c>
      <c r="N541" s="8" t="n">
        <v>3.65333333333333</v>
      </c>
      <c r="O541" s="8" t="n">
        <v>1.46333333333333</v>
      </c>
      <c r="P541" s="8" t="n">
        <v>88.5566666666667</v>
      </c>
      <c r="Q541" s="8" t="n">
        <v>11.2707321159323</v>
      </c>
      <c r="R541" s="10" t="n">
        <v>0</v>
      </c>
      <c r="S541" s="7" t="inlineStr">
        <is>
          <t>High_Quality_Observed</t>
        </is>
      </c>
    </row>
    <row r="542" ht="19" customHeight="1">
      <c r="A542" s="6" t="inlineStr">
        <is>
          <t>Thailand</t>
        </is>
      </c>
      <c r="B542" s="10" t="n">
        <v>2023</v>
      </c>
      <c r="C542" s="10" t="n">
        <v>1</v>
      </c>
      <c r="D542" s="6" t="inlineStr">
        <is>
          <t>2023 Q1</t>
        </is>
      </c>
      <c r="E542" s="8" t="n">
        <v>107.996666666667</v>
      </c>
      <c r="F542" s="10" t="n">
        <v>3.87624238537994</v>
      </c>
      <c r="G542" s="10" t="n">
        <v>0.0463191699604737</v>
      </c>
      <c r="H542" s="8" t="n">
        <v>2.14070966865466</v>
      </c>
      <c r="I542" s="8" t="n">
        <v>2.38093376242368</v>
      </c>
      <c r="J542" s="8" t="n">
        <v>112.942835895064</v>
      </c>
      <c r="K542" s="8" t="n">
        <v>1.57276680113043</v>
      </c>
      <c r="L542" s="8" t="n">
        <v>114.034689515825</v>
      </c>
      <c r="M542" s="8" t="n">
        <v>-8.224117849203459</v>
      </c>
      <c r="N542" s="8" t="n">
        <v>4.51666666666667</v>
      </c>
      <c r="O542" s="8" t="n">
        <v>0.863333333333333</v>
      </c>
      <c r="P542" s="8" t="n">
        <v>81.1733333333333</v>
      </c>
      <c r="Q542" s="8" t="n">
        <v>-19.0667685865266</v>
      </c>
      <c r="R542" s="10" t="n">
        <v>0</v>
      </c>
      <c r="S542" s="7" t="inlineStr">
        <is>
          <t>High_Quality_Observed</t>
        </is>
      </c>
    </row>
    <row r="543" ht="19" customHeight="1">
      <c r="A543" s="6" t="inlineStr">
        <is>
          <t>Thailand</t>
        </is>
      </c>
      <c r="B543" s="10" t="n">
        <v>2023</v>
      </c>
      <c r="C543" s="10" t="n">
        <v>2</v>
      </c>
      <c r="D543" s="6" t="inlineStr">
        <is>
          <t>2023 Q2</t>
        </is>
      </c>
      <c r="E543" s="8" t="n">
        <v>107.66</v>
      </c>
      <c r="F543" s="10" t="n">
        <v>1.13668388914983</v>
      </c>
      <c r="G543" s="10" t="n">
        <v>-0.311738016605456</v>
      </c>
      <c r="H543" s="8" t="n">
        <v>2.13589580997897</v>
      </c>
      <c r="I543" s="8" t="n">
        <v>1.82039647558257</v>
      </c>
      <c r="J543" s="8" t="n">
        <v>110.085186918663</v>
      </c>
      <c r="K543" s="8" t="n">
        <v>-1.37030080185477</v>
      </c>
      <c r="L543" s="8" t="n">
        <v>109.857789884183</v>
      </c>
      <c r="M543" s="8" t="n">
        <v>-18.2310247948031</v>
      </c>
      <c r="N543" s="8" t="n">
        <v>4.99</v>
      </c>
      <c r="O543" s="8" t="n">
        <v>0.473333333333334</v>
      </c>
      <c r="P543" s="8" t="n">
        <v>78.31666666666671</v>
      </c>
      <c r="Q543" s="8" t="n">
        <v>-31.0248656900449</v>
      </c>
      <c r="R543" s="10" t="n">
        <v>0</v>
      </c>
      <c r="S543" s="7" t="inlineStr">
        <is>
          <t>High_Quality_Observed</t>
        </is>
      </c>
    </row>
    <row r="544" ht="19" customHeight="1">
      <c r="A544" s="6" t="inlineStr">
        <is>
          <t>Thailand</t>
        </is>
      </c>
      <c r="B544" s="10" t="n">
        <v>2023</v>
      </c>
      <c r="C544" s="10" t="n">
        <v>3</v>
      </c>
      <c r="D544" s="6" t="inlineStr">
        <is>
          <t>2023 Q3</t>
        </is>
      </c>
      <c r="E544" s="8" t="n">
        <v>108.083333333333</v>
      </c>
      <c r="F544" s="10" t="n">
        <v>0.5208171869671711</v>
      </c>
      <c r="G544" s="10" t="n">
        <v>0.393213202055853</v>
      </c>
      <c r="H544" s="8" t="n">
        <v>2.2464274227192</v>
      </c>
      <c r="I544" s="8" t="n">
        <v>1.67021230731114</v>
      </c>
      <c r="J544" s="8" t="n">
        <v>109.22402066015</v>
      </c>
      <c r="K544" s="8" t="n">
        <v>0.188396337349928</v>
      </c>
      <c r="L544" s="8" t="n">
        <v>107.510614988168</v>
      </c>
      <c r="M544" s="8" t="n">
        <v>-9.338584088911441</v>
      </c>
      <c r="N544" s="8" t="n">
        <v>5.26</v>
      </c>
      <c r="O544" s="8" t="n">
        <v>0.27</v>
      </c>
      <c r="P544" s="8" t="n">
        <v>86.66</v>
      </c>
      <c r="Q544" s="8" t="n">
        <v>-13.9537962533925</v>
      </c>
      <c r="R544" s="10" t="n">
        <v>0</v>
      </c>
      <c r="S544" s="7" t="inlineStr">
        <is>
          <t>High_Quality_Observed</t>
        </is>
      </c>
    </row>
    <row r="545" ht="19" customHeight="1">
      <c r="A545" s="6" t="inlineStr">
        <is>
          <t>Thailand</t>
        </is>
      </c>
      <c r="B545" s="10" t="n">
        <v>2023</v>
      </c>
      <c r="C545" s="10" t="n">
        <v>4</v>
      </c>
      <c r="D545" s="6" t="inlineStr">
        <is>
          <t>2023 Q4</t>
        </is>
      </c>
      <c r="E545" s="8" t="n">
        <v>107.376666666667</v>
      </c>
      <c r="F545" s="10" t="n">
        <v>-0.528038537549413</v>
      </c>
      <c r="G545" s="10" t="n">
        <v>-0.65381649961449</v>
      </c>
      <c r="H545" s="8" t="n">
        <v>2.4723046174395</v>
      </c>
      <c r="I545" s="8" t="n">
        <v>1.93038110741529</v>
      </c>
      <c r="J545" s="8" t="n">
        <v>107.893008097873</v>
      </c>
      <c r="K545" s="8" t="n">
        <v>-1.74651321530275</v>
      </c>
      <c r="L545" s="8" t="n">
        <v>105.339533846651</v>
      </c>
      <c r="M545" s="8" t="n">
        <v>-8.56740995414912</v>
      </c>
      <c r="N545" s="8" t="n">
        <v>5.33</v>
      </c>
      <c r="O545" s="8" t="n">
        <v>0.0700000000000003</v>
      </c>
      <c r="P545" s="8" t="n">
        <v>83.7233333333333</v>
      </c>
      <c r="Q545" s="8" t="n">
        <v>-5.45789889712802</v>
      </c>
      <c r="R545" s="10" t="n">
        <v>0</v>
      </c>
      <c r="S545" s="7" t="inlineStr">
        <is>
          <t>High_Quality_Observed</t>
        </is>
      </c>
    </row>
    <row r="546" ht="19" customHeight="1">
      <c r="A546" s="6" t="inlineStr">
        <is>
          <t>Thailand</t>
        </is>
      </c>
      <c r="B546" s="10" t="n">
        <v>2024</v>
      </c>
      <c r="C546" s="10" t="n">
        <v>1</v>
      </c>
      <c r="D546" s="6" t="inlineStr">
        <is>
          <t>2024 Q1</t>
        </is>
      </c>
      <c r="E546" s="8" t="n">
        <v>107.15</v>
      </c>
      <c r="F546" s="10" t="n">
        <v>-0.783974814037469</v>
      </c>
      <c r="G546" s="10" t="n">
        <v>-0.211094899574704</v>
      </c>
      <c r="H546" s="8" t="n">
        <v>2.81352762004183</v>
      </c>
      <c r="I546" s="8" t="n">
        <v>2.60090313604888</v>
      </c>
      <c r="J546" s="8" t="n">
        <v>106.969936653259</v>
      </c>
      <c r="K546" s="8" t="n">
        <v>-5.28842683510635</v>
      </c>
      <c r="L546" s="8" t="n">
        <v>102.582568583479</v>
      </c>
      <c r="M546" s="8" t="n">
        <v>-10.0426641936497</v>
      </c>
      <c r="N546" s="8" t="n">
        <v>5.33</v>
      </c>
      <c r="O546" s="8" t="n">
        <v>0</v>
      </c>
      <c r="P546" s="8" t="n">
        <v>83.0033333333333</v>
      </c>
      <c r="Q546" s="8" t="n">
        <v>2.25443495400788</v>
      </c>
      <c r="R546" s="10" t="n">
        <v>0</v>
      </c>
      <c r="S546" s="7" t="inlineStr">
        <is>
          <t>High_Quality_Observed</t>
        </is>
      </c>
    </row>
    <row r="547" ht="19" customHeight="1">
      <c r="A547" s="6" t="inlineStr">
        <is>
          <t>Thailand</t>
        </is>
      </c>
      <c r="B547" s="10" t="n">
        <v>2024</v>
      </c>
      <c r="C547" s="10" t="n">
        <v>2</v>
      </c>
      <c r="D547" s="6" t="inlineStr">
        <is>
          <t>2024 Q2</t>
        </is>
      </c>
      <c r="E547" s="8" t="n">
        <v>109.79</v>
      </c>
      <c r="F547" s="10" t="n">
        <v>1.97845067806055</v>
      </c>
      <c r="G547" s="10" t="n">
        <v>2.4638357442837</v>
      </c>
      <c r="H547" s="8" t="n">
        <v>3.00404563923615</v>
      </c>
      <c r="I547" s="8" t="n">
        <v>3.17729980768973</v>
      </c>
      <c r="J547" s="8" t="n">
        <v>106.69990645158</v>
      </c>
      <c r="K547" s="8" t="n">
        <v>-3.07514622251915</v>
      </c>
      <c r="L547" s="8" t="n">
        <v>104.519793640698</v>
      </c>
      <c r="M547" s="8" t="n">
        <v>-4.85900567371084</v>
      </c>
      <c r="N547" s="8" t="n">
        <v>5.33</v>
      </c>
      <c r="O547" s="8" t="n">
        <v>0</v>
      </c>
      <c r="P547" s="8" t="n">
        <v>84.6466666666667</v>
      </c>
      <c r="Q547" s="8" t="n">
        <v>8.082570759736109</v>
      </c>
      <c r="R547" s="10" t="n">
        <v>0</v>
      </c>
      <c r="S547" s="7" t="inlineStr">
        <is>
          <t>High_Quality_Observed</t>
        </is>
      </c>
    </row>
    <row r="548" ht="19" customHeight="1">
      <c r="A548" s="6" t="inlineStr">
        <is>
          <t>Thailand</t>
        </is>
      </c>
      <c r="B548" s="10" t="n">
        <v>2024</v>
      </c>
      <c r="C548" s="10" t="n">
        <v>3</v>
      </c>
      <c r="D548" s="6" t="inlineStr">
        <is>
          <t>2024 Q3</t>
        </is>
      </c>
      <c r="E548" s="8" t="n">
        <v>109.616666666667</v>
      </c>
      <c r="F548" s="10" t="n">
        <v>1.41865844255977</v>
      </c>
      <c r="G548" s="10" t="n">
        <v>-0.157877159425557</v>
      </c>
      <c r="H548" s="8" t="n">
        <v>3.04385886562327</v>
      </c>
      <c r="I548" s="8" t="n">
        <v>3.65957169871016</v>
      </c>
      <c r="J548" s="8" t="n">
        <v>109.775426617082</v>
      </c>
      <c r="K548" s="8" t="n">
        <v>0.504839460770201</v>
      </c>
      <c r="L548" s="8" t="n">
        <v>106.377099329068</v>
      </c>
      <c r="M548" s="8" t="n">
        <v>-1.05432906250624</v>
      </c>
      <c r="N548" s="8" t="n">
        <v>5.26333333333333</v>
      </c>
      <c r="O548" s="8" t="n">
        <v>-0.0666666666666664</v>
      </c>
      <c r="P548" s="8" t="n">
        <v>79.84333333333331</v>
      </c>
      <c r="Q548" s="8" t="n">
        <v>-7.86598969151473</v>
      </c>
      <c r="R548" s="10" t="n">
        <v>0</v>
      </c>
      <c r="S548" s="7" t="inlineStr">
        <is>
          <t>High_Quality_Observed</t>
        </is>
      </c>
    </row>
    <row r="549" ht="19" customHeight="1">
      <c r="A549" s="6" t="inlineStr">
        <is>
          <t>Thailand</t>
        </is>
      </c>
      <c r="B549" s="10" t="n">
        <v>2024</v>
      </c>
      <c r="C549" s="10" t="n">
        <v>4</v>
      </c>
      <c r="D549" s="6" t="inlineStr">
        <is>
          <t>2024 Q4</t>
        </is>
      </c>
      <c r="E549" s="11" t="n">
        <v>110.011573639173</v>
      </c>
      <c r="F549" s="12" t="n">
        <v>2.45389157095524</v>
      </c>
      <c r="G549" s="10" t="n">
        <v>0.360261796417238</v>
      </c>
      <c r="H549" s="8" t="n">
        <v>2.93296733892549</v>
      </c>
      <c r="I549" s="11" t="n">
        <v>4.04771929142163</v>
      </c>
      <c r="J549" s="11" t="n">
        <v>112.625346617446</v>
      </c>
      <c r="K549" s="8" t="n">
        <v>4.38614012437233</v>
      </c>
      <c r="L549" s="8" t="n">
        <v>110.645361455409</v>
      </c>
      <c r="M549" s="8" t="n">
        <v>5.03688161035707</v>
      </c>
      <c r="N549" s="8" t="n">
        <v>4.65</v>
      </c>
      <c r="O549" s="8" t="n">
        <v>-0.613333333333333</v>
      </c>
      <c r="P549" s="8" t="n">
        <v>74.6133333333333</v>
      </c>
      <c r="Q549" s="8" t="n">
        <v>-10.8810765616913</v>
      </c>
      <c r="R549" s="10" t="n">
        <v>1</v>
      </c>
      <c r="S549" s="7" t="inlineStr">
        <is>
          <t>Minor_Imputation_1Var</t>
        </is>
      </c>
    </row>
    <row r="550" ht="19" customHeight="1">
      <c r="A550" s="6" t="inlineStr">
        <is>
          <t>Thailand</t>
        </is>
      </c>
      <c r="B550" s="10" t="n">
        <v>2025</v>
      </c>
      <c r="C550" s="10" t="n">
        <v>1</v>
      </c>
      <c r="D550" s="6" t="inlineStr">
        <is>
          <t>2025 Q1</t>
        </is>
      </c>
      <c r="E550" s="11" t="n">
        <v>110.407903310632</v>
      </c>
      <c r="F550" s="12" t="n">
        <v>3.04050705611951</v>
      </c>
      <c r="G550" s="10" t="n">
        <v>0.360261796417238</v>
      </c>
      <c r="H550" s="8" t="n">
        <v>2.67137094833979</v>
      </c>
      <c r="I550" s="11" t="n">
        <v>4.34174297393989</v>
      </c>
      <c r="J550" s="11" t="n">
        <v>113.18523580788</v>
      </c>
      <c r="K550" s="8" t="n">
        <v>5.81032330117912</v>
      </c>
      <c r="L550" s="8" t="n">
        <v>108.711496383905</v>
      </c>
      <c r="M550" s="8" t="n">
        <v>5.97462891118643</v>
      </c>
      <c r="N550" s="8" t="n">
        <v>4.33</v>
      </c>
      <c r="O550" s="8" t="n">
        <v>-0.32</v>
      </c>
      <c r="P550" s="8" t="n">
        <v>75.8133333333333</v>
      </c>
      <c r="Q550" s="8" t="n">
        <v>-8.662302718766311</v>
      </c>
      <c r="R550" s="10" t="n">
        <v>1</v>
      </c>
      <c r="S550" s="7" t="inlineStr">
        <is>
          <t>Minor_Imputation_1Var</t>
        </is>
      </c>
    </row>
    <row r="551" ht="19" customHeight="1">
      <c r="A551" s="6" t="inlineStr">
        <is>
          <t>Vietnam</t>
        </is>
      </c>
      <c r="B551" s="10" t="n">
        <v>2010</v>
      </c>
      <c r="C551" s="10" t="n">
        <v>1</v>
      </c>
      <c r="D551" s="6" t="inlineStr">
        <is>
          <t>2010 Q1</t>
        </is>
      </c>
      <c r="E551" s="8" t="n">
        <v>59.456447594471</v>
      </c>
      <c r="F551" s="9" t="inlineStr"/>
      <c r="G551" s="9" t="inlineStr"/>
      <c r="H551" s="8" t="n">
        <v>6.37485477047883</v>
      </c>
      <c r="I551" s="8" t="n">
        <v>34.7582998228526</v>
      </c>
      <c r="J551" s="8" t="n">
        <v>111.17136989077</v>
      </c>
      <c r="K551" s="9" t="inlineStr"/>
      <c r="L551" s="8" t="n">
        <v>99.24199528149821</v>
      </c>
      <c r="M551" s="9" t="inlineStr"/>
      <c r="N551" s="8" t="n">
        <v>0.133333333333333</v>
      </c>
      <c r="O551" s="9" t="inlineStr"/>
      <c r="P551" s="8" t="n">
        <v>76.25</v>
      </c>
      <c r="Q551" s="9" t="inlineStr"/>
      <c r="R551" s="10" t="n">
        <v>0</v>
      </c>
      <c r="S551" s="7" t="inlineStr">
        <is>
          <t>Baseline_Lag_Origin</t>
        </is>
      </c>
    </row>
    <row r="552" ht="19" customHeight="1">
      <c r="A552" s="6" t="inlineStr">
        <is>
          <t>Vietnam</t>
        </is>
      </c>
      <c r="B552" s="10" t="n">
        <v>2010</v>
      </c>
      <c r="C552" s="10" t="n">
        <v>2</v>
      </c>
      <c r="D552" s="6" t="inlineStr">
        <is>
          <t>2010 Q2</t>
        </is>
      </c>
      <c r="E552" s="8" t="n">
        <v>60.3742466666667</v>
      </c>
      <c r="F552" s="9" t="inlineStr"/>
      <c r="G552" s="10" t="n">
        <v>1.54364935903275</v>
      </c>
      <c r="H552" s="8" t="n">
        <v>6.39421077962517</v>
      </c>
      <c r="I552" s="8" t="n">
        <v>32.7408238407176</v>
      </c>
      <c r="J552" s="8" t="n">
        <v>113.591816653665</v>
      </c>
      <c r="K552" s="9" t="inlineStr"/>
      <c r="L552" s="8" t="n">
        <v>96.4984622523225</v>
      </c>
      <c r="M552" s="9" t="inlineStr"/>
      <c r="N552" s="8" t="n">
        <v>0.193333333333333</v>
      </c>
      <c r="O552" s="8" t="n">
        <v>0.06</v>
      </c>
      <c r="P552" s="8" t="n">
        <v>78.51000000000001</v>
      </c>
      <c r="Q552" s="9" t="inlineStr"/>
      <c r="R552" s="10" t="n">
        <v>0</v>
      </c>
      <c r="S552" s="7" t="inlineStr">
        <is>
          <t>Baseline_Lag_Origin</t>
        </is>
      </c>
    </row>
    <row r="553" ht="19" customHeight="1">
      <c r="A553" s="6" t="inlineStr">
        <is>
          <t>Vietnam</t>
        </is>
      </c>
      <c r="B553" s="10" t="n">
        <v>2010</v>
      </c>
      <c r="C553" s="10" t="n">
        <v>3</v>
      </c>
      <c r="D553" s="6" t="inlineStr">
        <is>
          <t>2010 Q3</t>
        </is>
      </c>
      <c r="E553" s="8" t="n">
        <v>60.9111933333333</v>
      </c>
      <c r="F553" s="9" t="inlineStr"/>
      <c r="G553" s="10" t="n">
        <v>0.889363754104</v>
      </c>
      <c r="H553" s="8" t="n">
        <v>6.43292281728234</v>
      </c>
      <c r="I553" s="8" t="n">
        <v>28.7058698589108</v>
      </c>
      <c r="J553" s="8" t="n">
        <v>111.361859880741</v>
      </c>
      <c r="K553" s="9" t="inlineStr"/>
      <c r="L553" s="8" t="n">
        <v>107.356970480027</v>
      </c>
      <c r="M553" s="9" t="inlineStr"/>
      <c r="N553" s="8" t="n">
        <v>0.186666666666667</v>
      </c>
      <c r="O553" s="8" t="n">
        <v>-0.0066666666666666</v>
      </c>
      <c r="P553" s="8" t="n">
        <v>76.81999999999999</v>
      </c>
      <c r="Q553" s="9" t="inlineStr"/>
      <c r="R553" s="10" t="n">
        <v>0</v>
      </c>
      <c r="S553" s="7" t="inlineStr">
        <is>
          <t>Baseline_Lag_Origin</t>
        </is>
      </c>
    </row>
    <row r="554" ht="19" customHeight="1">
      <c r="A554" s="6" t="inlineStr">
        <is>
          <t>Vietnam</t>
        </is>
      </c>
      <c r="B554" s="10" t="n">
        <v>2010</v>
      </c>
      <c r="C554" s="10" t="n">
        <v>4</v>
      </c>
      <c r="D554" s="6" t="inlineStr">
        <is>
          <t>2010 Q4</t>
        </is>
      </c>
      <c r="E554" s="8" t="n">
        <v>63.32145</v>
      </c>
      <c r="F554" s="9" t="inlineStr"/>
      <c r="G554" s="10" t="n">
        <v>3.95700122549998</v>
      </c>
      <c r="H554" s="8" t="n">
        <v>6.49099092216785</v>
      </c>
      <c r="I554" s="8" t="n">
        <v>22.6534338424805</v>
      </c>
      <c r="J554" s="8" t="n">
        <v>110.012543916975</v>
      </c>
      <c r="K554" s="9" t="inlineStr"/>
      <c r="L554" s="8" t="n">
        <v>124.608736829891</v>
      </c>
      <c r="M554" s="9" t="inlineStr"/>
      <c r="N554" s="8" t="n">
        <v>0.186666666666667</v>
      </c>
      <c r="O554" s="8" t="n">
        <v>0</v>
      </c>
      <c r="P554" s="8" t="n">
        <v>86.4666666666667</v>
      </c>
      <c r="Q554" s="9" t="inlineStr"/>
      <c r="R554" s="10" t="n">
        <v>0</v>
      </c>
      <c r="S554" s="7" t="inlineStr">
        <is>
          <t>Baseline_Lag_Origin</t>
        </is>
      </c>
    </row>
    <row r="555" ht="19" customHeight="1">
      <c r="A555" s="6" t="inlineStr">
        <is>
          <t>Vietnam</t>
        </is>
      </c>
      <c r="B555" s="10" t="n">
        <v>2011</v>
      </c>
      <c r="C555" s="10" t="n">
        <v>1</v>
      </c>
      <c r="D555" s="6" t="inlineStr">
        <is>
          <t>2011 Q1</t>
        </is>
      </c>
      <c r="E555" s="8" t="n">
        <v>67.0649566666667</v>
      </c>
      <c r="F555" s="10" t="n">
        <v>12.7967771032847</v>
      </c>
      <c r="G555" s="10" t="n">
        <v>5.91190926086922</v>
      </c>
      <c r="H555" s="8" t="n">
        <v>6.56841515235233</v>
      </c>
      <c r="I555" s="8" t="n">
        <v>14.5835097390397</v>
      </c>
      <c r="J555" s="8" t="n">
        <v>107.45534567144</v>
      </c>
      <c r="K555" s="8" t="n">
        <v>-3.34260900354161</v>
      </c>
      <c r="L555" s="8" t="n">
        <v>121.875946057639</v>
      </c>
      <c r="M555" s="8" t="n">
        <v>22.8068276055313</v>
      </c>
      <c r="N555" s="8" t="n">
        <v>0.156666666666667</v>
      </c>
      <c r="O555" s="8" t="n">
        <v>-0.03</v>
      </c>
      <c r="P555" s="8" t="n">
        <v>104.96</v>
      </c>
      <c r="Q555" s="8" t="n">
        <v>37.6524590163934</v>
      </c>
      <c r="R555" s="10" t="n">
        <v>0</v>
      </c>
      <c r="S555" s="7" t="inlineStr">
        <is>
          <t>High_Quality_Observed</t>
        </is>
      </c>
    </row>
    <row r="556" ht="19" customHeight="1">
      <c r="A556" s="6" t="inlineStr">
        <is>
          <t>Vietnam</t>
        </is>
      </c>
      <c r="B556" s="10" t="n">
        <v>2011</v>
      </c>
      <c r="C556" s="10" t="n">
        <v>2</v>
      </c>
      <c r="D556" s="6" t="inlineStr">
        <is>
          <t>2011 Q2</t>
        </is>
      </c>
      <c r="E556" s="8" t="n">
        <v>72.0716</v>
      </c>
      <c r="F556" s="10" t="n">
        <v>19.3747400243614</v>
      </c>
      <c r="G556" s="10" t="n">
        <v>7.46536430078957</v>
      </c>
      <c r="H556" s="8" t="n">
        <v>6.53728636861755</v>
      </c>
      <c r="I556" s="8" t="n">
        <v>10.2991163817263</v>
      </c>
      <c r="J556" s="8" t="n">
        <v>107.61526189128</v>
      </c>
      <c r="K556" s="8" t="n">
        <v>-5.2614307425043</v>
      </c>
      <c r="L556" s="8" t="n">
        <v>122.00081812372</v>
      </c>
      <c r="M556" s="8" t="n">
        <v>26.4277329152819</v>
      </c>
      <c r="N556" s="8" t="n">
        <v>0.0933333333333333</v>
      </c>
      <c r="O556" s="8" t="n">
        <v>-0.0633333333333333</v>
      </c>
      <c r="P556" s="8" t="n">
        <v>117.36</v>
      </c>
      <c r="Q556" s="8" t="n">
        <v>49.4841421474971</v>
      </c>
      <c r="R556" s="10" t="n">
        <v>0</v>
      </c>
      <c r="S556" s="7" t="inlineStr">
        <is>
          <t>High_Quality_Observed</t>
        </is>
      </c>
    </row>
    <row r="557" ht="19" customHeight="1">
      <c r="A557" s="6" t="inlineStr">
        <is>
          <t>Vietnam</t>
        </is>
      </c>
      <c r="B557" s="10" t="n">
        <v>2011</v>
      </c>
      <c r="C557" s="10" t="n">
        <v>3</v>
      </c>
      <c r="D557" s="6" t="inlineStr">
        <is>
          <t>2011 Q3</t>
        </is>
      </c>
      <c r="E557" s="8" t="n">
        <v>74.6367066666667</v>
      </c>
      <c r="F557" s="10" t="n">
        <v>22.533647072421</v>
      </c>
      <c r="G557" s="10" t="n">
        <v>3.55910881216273</v>
      </c>
      <c r="H557" s="8" t="n">
        <v>6.39760453989216</v>
      </c>
      <c r="I557" s="8" t="n">
        <v>9.800249486240951</v>
      </c>
      <c r="J557" s="8" t="n">
        <v>111.636625230999</v>
      </c>
      <c r="K557" s="8" t="n">
        <v>0.246732005511086</v>
      </c>
      <c r="L557" s="8" t="n">
        <v>118.888757234176</v>
      </c>
      <c r="M557" s="8" t="n">
        <v>10.7415351817278</v>
      </c>
      <c r="N557" s="8" t="n">
        <v>0.0833333333333333</v>
      </c>
      <c r="O557" s="8" t="n">
        <v>-0.01</v>
      </c>
      <c r="P557" s="8" t="n">
        <v>113.34</v>
      </c>
      <c r="Q557" s="8" t="n">
        <v>47.5397032022911</v>
      </c>
      <c r="R557" s="10" t="n">
        <v>0</v>
      </c>
      <c r="S557" s="7" t="inlineStr">
        <is>
          <t>High_Quality_Observed</t>
        </is>
      </c>
    </row>
    <row r="558" ht="19" customHeight="1">
      <c r="A558" s="6" t="inlineStr">
        <is>
          <t>Vietnam</t>
        </is>
      </c>
      <c r="B558" s="10" t="n">
        <v>2011</v>
      </c>
      <c r="C558" s="10" t="n">
        <v>4</v>
      </c>
      <c r="D558" s="6" t="inlineStr">
        <is>
          <t>2011 Q4</t>
        </is>
      </c>
      <c r="E558" s="8" t="n">
        <v>75.8755666666667</v>
      </c>
      <c r="F558" s="10" t="n">
        <v>19.8260094591432</v>
      </c>
      <c r="G558" s="10" t="n">
        <v>1.65985351622338</v>
      </c>
      <c r="H558" s="8" t="n">
        <v>6.14936952643489</v>
      </c>
      <c r="I558" s="8" t="n">
        <v>13.0869085536845</v>
      </c>
      <c r="J558" s="8" t="n">
        <v>115.782649188918</v>
      </c>
      <c r="K558" s="8" t="n">
        <v>5.24495213591052</v>
      </c>
      <c r="L558" s="8" t="n">
        <v>112.174119298219</v>
      </c>
      <c r="M558" s="8" t="n">
        <v>-9.978929124887189</v>
      </c>
      <c r="N558" s="8" t="n">
        <v>0.07333333333333331</v>
      </c>
      <c r="O558" s="8" t="n">
        <v>-0.01</v>
      </c>
      <c r="P558" s="8" t="n">
        <v>109.396666666667</v>
      </c>
      <c r="Q558" s="8" t="n">
        <v>26.5188897455667</v>
      </c>
      <c r="R558" s="10" t="n">
        <v>0</v>
      </c>
      <c r="S558" s="7" t="inlineStr">
        <is>
          <t>High_Quality_Observed</t>
        </is>
      </c>
    </row>
    <row r="559" ht="19" customHeight="1">
      <c r="A559" s="6" t="inlineStr">
        <is>
          <t>Vietnam</t>
        </is>
      </c>
      <c r="B559" s="10" t="n">
        <v>2012</v>
      </c>
      <c r="C559" s="10" t="n">
        <v>1</v>
      </c>
      <c r="D559" s="6" t="inlineStr">
        <is>
          <t>2012 Q1</t>
        </is>
      </c>
      <c r="E559" s="8" t="n">
        <v>77.7490966666667</v>
      </c>
      <c r="F559" s="10" t="n">
        <v>15.9310324363638</v>
      </c>
      <c r="G559" s="10" t="n">
        <v>2.46921384881476</v>
      </c>
      <c r="H559" s="8" t="n">
        <v>5.79258108004786</v>
      </c>
      <c r="I559" s="8" t="n">
        <v>20.1590968706612</v>
      </c>
      <c r="J559" s="8" t="n">
        <v>117.238939862637</v>
      </c>
      <c r="K559" s="8" t="n">
        <v>9.1047998869326</v>
      </c>
      <c r="L559" s="8" t="n">
        <v>112.921025549072</v>
      </c>
      <c r="M559" s="8" t="n">
        <v>-7.3475700482622</v>
      </c>
      <c r="N559" s="8" t="n">
        <v>0.103333333333333</v>
      </c>
      <c r="O559" s="8" t="n">
        <v>0.03</v>
      </c>
      <c r="P559" s="8" t="n">
        <v>118.49</v>
      </c>
      <c r="Q559" s="8" t="n">
        <v>12.890625</v>
      </c>
      <c r="R559" s="10" t="n">
        <v>0</v>
      </c>
      <c r="S559" s="7" t="inlineStr">
        <is>
          <t>High_Quality_Observed</t>
        </is>
      </c>
    </row>
    <row r="560" ht="19" customHeight="1">
      <c r="A560" s="6" t="inlineStr">
        <is>
          <t>Vietnam</t>
        </is>
      </c>
      <c r="B560" s="10" t="n">
        <v>2012</v>
      </c>
      <c r="C560" s="10" t="n">
        <v>2</v>
      </c>
      <c r="D560" s="6" t="inlineStr">
        <is>
          <t>2012 Q2</t>
        </is>
      </c>
      <c r="E560" s="8" t="n">
        <v>78.2490566666667</v>
      </c>
      <c r="F560" s="10" t="n">
        <v>8.57127726686611</v>
      </c>
      <c r="G560" s="10" t="n">
        <v>0.643042840926489</v>
      </c>
      <c r="H560" s="8" t="n">
        <v>5.53465127020235</v>
      </c>
      <c r="I560" s="8" t="n">
        <v>24.7422304862955</v>
      </c>
      <c r="J560" s="8" t="n">
        <v>119.173775346504</v>
      </c>
      <c r="K560" s="8" t="n">
        <v>10.7405894406509</v>
      </c>
      <c r="L560" s="8" t="n">
        <v>108.674540730789</v>
      </c>
      <c r="M560" s="8" t="n">
        <v>-10.9231049413272</v>
      </c>
      <c r="N560" s="8" t="n">
        <v>0.153333333333333</v>
      </c>
      <c r="O560" s="8" t="n">
        <v>0.05</v>
      </c>
      <c r="P560" s="8" t="n">
        <v>108.416666666667</v>
      </c>
      <c r="Q560" s="8" t="n">
        <v>-7.6204271756419</v>
      </c>
      <c r="R560" s="10" t="n">
        <v>0</v>
      </c>
      <c r="S560" s="7" t="inlineStr">
        <is>
          <t>High_Quality_Observed</t>
        </is>
      </c>
    </row>
    <row r="561" ht="19" customHeight="1">
      <c r="A561" s="6" t="inlineStr">
        <is>
          <t>Vietnam</t>
        </is>
      </c>
      <c r="B561" s="10" t="n">
        <v>2012</v>
      </c>
      <c r="C561" s="10" t="n">
        <v>3</v>
      </c>
      <c r="D561" s="6" t="inlineStr">
        <is>
          <t>2012 Q3</t>
        </is>
      </c>
      <c r="E561" s="8" t="n">
        <v>78.8359333333333</v>
      </c>
      <c r="F561" s="10" t="n">
        <v>5.62622180721442</v>
      </c>
      <c r="G561" s="10" t="n">
        <v>0.750011171593656</v>
      </c>
      <c r="H561" s="8" t="n">
        <v>5.37557983897599</v>
      </c>
      <c r="I561" s="8" t="n">
        <v>26.836313983763</v>
      </c>
      <c r="J561" s="8" t="n">
        <v>120.473739237794</v>
      </c>
      <c r="K561" s="8" t="n">
        <v>7.91596305290474</v>
      </c>
      <c r="L561" s="8" t="n">
        <v>112.021404013206</v>
      </c>
      <c r="M561" s="8" t="n">
        <v>-5.77628480668088</v>
      </c>
      <c r="N561" s="8" t="n">
        <v>0.143333333333333</v>
      </c>
      <c r="O561" s="8" t="n">
        <v>-0.01</v>
      </c>
      <c r="P561" s="8" t="n">
        <v>109.613333333333</v>
      </c>
      <c r="Q561" s="8" t="n">
        <v>-3.28804187988943</v>
      </c>
      <c r="R561" s="10" t="n">
        <v>0</v>
      </c>
      <c r="S561" s="7" t="inlineStr">
        <is>
          <t>High_Quality_Observed</t>
        </is>
      </c>
    </row>
    <row r="562" ht="19" customHeight="1">
      <c r="A562" s="6" t="inlineStr">
        <is>
          <t>Vietnam</t>
        </is>
      </c>
      <c r="B562" s="10" t="n">
        <v>2012</v>
      </c>
      <c r="C562" s="10" t="n">
        <v>4</v>
      </c>
      <c r="D562" s="6" t="inlineStr">
        <is>
          <t>2012 Q4</t>
        </is>
      </c>
      <c r="E562" s="8" t="n">
        <v>81.1574466666667</v>
      </c>
      <c r="F562" s="10" t="n">
        <v>6.96123960853452</v>
      </c>
      <c r="G562" s="10" t="n">
        <v>2.94474008891039</v>
      </c>
      <c r="H562" s="8" t="n">
        <v>5.31536662728997</v>
      </c>
      <c r="I562" s="8" t="n">
        <v>26.4413494571709</v>
      </c>
      <c r="J562" s="8" t="n">
        <v>121.85880195904</v>
      </c>
      <c r="K562" s="8" t="n">
        <v>5.24789578808809</v>
      </c>
      <c r="L562" s="8" t="n">
        <v>112.043606667623</v>
      </c>
      <c r="M562" s="8" t="n">
        <v>-0.116348255206267</v>
      </c>
      <c r="N562" s="8" t="n">
        <v>0.16</v>
      </c>
      <c r="O562" s="8" t="n">
        <v>0.0166666666666667</v>
      </c>
      <c r="P562" s="8" t="n">
        <v>110.086666666667</v>
      </c>
      <c r="Q562" s="8" t="n">
        <v>0.630732197812245</v>
      </c>
      <c r="R562" s="10" t="n">
        <v>0</v>
      </c>
      <c r="S562" s="7" t="inlineStr">
        <is>
          <t>High_Quality_Observed</t>
        </is>
      </c>
    </row>
    <row r="563" ht="19" customHeight="1">
      <c r="A563" s="6" t="inlineStr">
        <is>
          <t>Vietnam</t>
        </is>
      </c>
      <c r="B563" s="10" t="n">
        <v>2013</v>
      </c>
      <c r="C563" s="10" t="n">
        <v>1</v>
      </c>
      <c r="D563" s="6" t="inlineStr">
        <is>
          <t>2013 Q1</t>
        </is>
      </c>
      <c r="E563" s="8" t="n">
        <v>83.12078</v>
      </c>
      <c r="F563" s="10" t="n">
        <v>6.90899774226745</v>
      </c>
      <c r="G563" s="10" t="n">
        <v>2.41916597178964</v>
      </c>
      <c r="H563" s="8" t="n">
        <v>5.35401157493402</v>
      </c>
      <c r="I563" s="8" t="n">
        <v>23.557336511545</v>
      </c>
      <c r="J563" s="8" t="n">
        <v>125.502337585123</v>
      </c>
      <c r="K563" s="8" t="n">
        <v>7.0483388302284</v>
      </c>
      <c r="L563" s="8" t="n">
        <v>112.344264317549</v>
      </c>
      <c r="M563" s="8" t="n">
        <v>-0.510765137598079</v>
      </c>
      <c r="N563" s="8" t="n">
        <v>0.143333333333333</v>
      </c>
      <c r="O563" s="8" t="n">
        <v>-0.0166666666666667</v>
      </c>
      <c r="P563" s="8" t="n">
        <v>112.493333333333</v>
      </c>
      <c r="Q563" s="8" t="n">
        <v>-5.06090528033308</v>
      </c>
      <c r="R563" s="10" t="n">
        <v>0</v>
      </c>
      <c r="S563" s="7" t="inlineStr">
        <is>
          <t>High_Quality_Observed</t>
        </is>
      </c>
    </row>
    <row r="564" ht="19" customHeight="1">
      <c r="A564" s="6" t="inlineStr">
        <is>
          <t>Vietnam</t>
        </is>
      </c>
      <c r="B564" s="10" t="n">
        <v>2013</v>
      </c>
      <c r="C564" s="10" t="n">
        <v>2</v>
      </c>
      <c r="D564" s="6" t="inlineStr">
        <is>
          <t>2013 Q2</t>
        </is>
      </c>
      <c r="E564" s="8" t="n">
        <v>83.3749466666667</v>
      </c>
      <c r="F564" s="10" t="n">
        <v>6.55073711857739</v>
      </c>
      <c r="G564" s="10" t="n">
        <v>0.305779934532202</v>
      </c>
      <c r="H564" s="8" t="n">
        <v>5.44926919483928</v>
      </c>
      <c r="I564" s="8" t="n">
        <v>21.5405857120606</v>
      </c>
      <c r="J564" s="8" t="n">
        <v>128.392725163938</v>
      </c>
      <c r="K564" s="8" t="n">
        <v>7.73572020407085</v>
      </c>
      <c r="L564" s="8" t="n">
        <v>111.205746192615</v>
      </c>
      <c r="M564" s="8" t="n">
        <v>2.32916140689856</v>
      </c>
      <c r="N564" s="8" t="n">
        <v>0.116666666666667</v>
      </c>
      <c r="O564" s="8" t="n">
        <v>-0.0266666666666667</v>
      </c>
      <c r="P564" s="8" t="n">
        <v>102.576666666667</v>
      </c>
      <c r="Q564" s="8" t="n">
        <v>-5.38662567255957</v>
      </c>
      <c r="R564" s="10" t="n">
        <v>0</v>
      </c>
      <c r="S564" s="7" t="inlineStr">
        <is>
          <t>High_Quality_Observed</t>
        </is>
      </c>
    </row>
    <row r="565" ht="19" customHeight="1">
      <c r="A565" s="6" t="inlineStr">
        <is>
          <t>Vietnam</t>
        </is>
      </c>
      <c r="B565" s="10" t="n">
        <v>2013</v>
      </c>
      <c r="C565" s="10" t="n">
        <v>3</v>
      </c>
      <c r="D565" s="6" t="inlineStr">
        <is>
          <t>2013 Q3</t>
        </is>
      </c>
      <c r="E565" s="8" t="n">
        <v>84.37172</v>
      </c>
      <c r="F565" s="10" t="n">
        <v>7.02190794553077</v>
      </c>
      <c r="G565" s="10" t="n">
        <v>1.19553099964003</v>
      </c>
      <c r="H565" s="8" t="n">
        <v>5.60113958223748</v>
      </c>
      <c r="I565" s="8" t="n">
        <v>20.3910950421512</v>
      </c>
      <c r="J565" s="8" t="n">
        <v>128.758774001653</v>
      </c>
      <c r="K565" s="8" t="n">
        <v>6.87704624781786</v>
      </c>
      <c r="L565" s="8" t="n">
        <v>106.517639660823</v>
      </c>
      <c r="M565" s="8" t="n">
        <v>-4.91313637859304</v>
      </c>
      <c r="N565" s="8" t="n">
        <v>0.0833333333333333</v>
      </c>
      <c r="O565" s="8" t="n">
        <v>-0.0333333333333333</v>
      </c>
      <c r="P565" s="8" t="n">
        <v>110.27</v>
      </c>
      <c r="Q565" s="8" t="n">
        <v>0.599075538255689</v>
      </c>
      <c r="R565" s="10" t="n">
        <v>0</v>
      </c>
      <c r="S565" s="7" t="inlineStr">
        <is>
          <t>High_Quality_Observed</t>
        </is>
      </c>
    </row>
    <row r="566" ht="19" customHeight="1">
      <c r="A566" s="6" t="inlineStr">
        <is>
          <t>Vietnam</t>
        </is>
      </c>
      <c r="B566" s="10" t="n">
        <v>2013</v>
      </c>
      <c r="C566" s="10" t="n">
        <v>4</v>
      </c>
      <c r="D566" s="6" t="inlineStr">
        <is>
          <t>2013 Q4</t>
        </is>
      </c>
      <c r="E566" s="8" t="n">
        <v>85.95638</v>
      </c>
      <c r="F566" s="10" t="n">
        <v>5.91311522286266</v>
      </c>
      <c r="G566" s="10" t="n">
        <v>1.8781885683971</v>
      </c>
      <c r="H566" s="8" t="n">
        <v>5.80962288901283</v>
      </c>
      <c r="I566" s="8" t="n">
        <v>20.1088633522599</v>
      </c>
      <c r="J566" s="8" t="n">
        <v>129.251119005968</v>
      </c>
      <c r="K566" s="8" t="n">
        <v>6.06629716367395</v>
      </c>
      <c r="L566" s="8" t="n">
        <v>108.042368791302</v>
      </c>
      <c r="M566" s="8" t="n">
        <v>-3.57114341043118</v>
      </c>
      <c r="N566" s="8" t="n">
        <v>0.0866666666666667</v>
      </c>
      <c r="O566" s="8" t="n">
        <v>0.0033333333333333</v>
      </c>
      <c r="P566" s="8" t="n">
        <v>109.21</v>
      </c>
      <c r="Q566" s="8" t="n">
        <v>-0.796342275782702</v>
      </c>
      <c r="R566" s="10" t="n">
        <v>0</v>
      </c>
      <c r="S566" s="7" t="inlineStr">
        <is>
          <t>High_Quality_Observed</t>
        </is>
      </c>
    </row>
    <row r="567" ht="19" customHeight="1">
      <c r="A567" s="6" t="inlineStr">
        <is>
          <t>Vietnam</t>
        </is>
      </c>
      <c r="B567" s="10" t="n">
        <v>2014</v>
      </c>
      <c r="C567" s="10" t="n">
        <v>1</v>
      </c>
      <c r="D567" s="6" t="inlineStr">
        <is>
          <t>2014 Q1</t>
        </is>
      </c>
      <c r="E567" s="8" t="n">
        <v>87.13185</v>
      </c>
      <c r="F567" s="10" t="n">
        <v>4.82559234886872</v>
      </c>
      <c r="G567" s="10" t="n">
        <v>1.36751919985463</v>
      </c>
      <c r="H567" s="8" t="n">
        <v>6.07471932364453</v>
      </c>
      <c r="I567" s="8" t="n">
        <v>20.6938903600443</v>
      </c>
      <c r="J567" s="8" t="n">
        <v>131.261937368617</v>
      </c>
      <c r="K567" s="8" t="n">
        <v>4.58923705670986</v>
      </c>
      <c r="L567" s="8" t="n">
        <v>109.985285302654</v>
      </c>
      <c r="M567" s="8" t="n">
        <v>-2.09977699282194</v>
      </c>
      <c r="N567" s="8" t="n">
        <v>0.07333333333333331</v>
      </c>
      <c r="O567" s="8" t="n">
        <v>-0.0133333333333333</v>
      </c>
      <c r="P567" s="8" t="n">
        <v>108.166666666667</v>
      </c>
      <c r="Q567" s="8" t="n">
        <v>-3.84615384615383</v>
      </c>
      <c r="R567" s="10" t="n">
        <v>0</v>
      </c>
      <c r="S567" s="7" t="inlineStr">
        <is>
          <t>High_Quality_Observed</t>
        </is>
      </c>
    </row>
    <row r="568" ht="19" customHeight="1">
      <c r="A568" s="6" t="inlineStr">
        <is>
          <t>Vietnam</t>
        </is>
      </c>
      <c r="B568" s="10" t="n">
        <v>2014</v>
      </c>
      <c r="C568" s="10" t="n">
        <v>2</v>
      </c>
      <c r="D568" s="6" t="inlineStr">
        <is>
          <t>2014 Q2</t>
        </is>
      </c>
      <c r="E568" s="8" t="n">
        <v>87.30786000000001</v>
      </c>
      <c r="F568" s="10" t="n">
        <v>4.71714044874554</v>
      </c>
      <c r="G568" s="10" t="n">
        <v>0.202004203973649</v>
      </c>
      <c r="H568" s="8" t="n">
        <v>6.3197672959994</v>
      </c>
      <c r="I568" s="8" t="n">
        <v>20.5463525603942</v>
      </c>
      <c r="J568" s="8" t="n">
        <v>129.812579723777</v>
      </c>
      <c r="K568" s="8" t="n">
        <v>1.10586838781273</v>
      </c>
      <c r="L568" s="8" t="n">
        <v>111.498689744988</v>
      </c>
      <c r="M568" s="8" t="n">
        <v>0.26342483406061</v>
      </c>
      <c r="N568" s="8" t="n">
        <v>0.0933333333333333</v>
      </c>
      <c r="O568" s="8" t="n">
        <v>0.02</v>
      </c>
      <c r="P568" s="8" t="n">
        <v>109.7</v>
      </c>
      <c r="Q568" s="8" t="n">
        <v>6.94439931108439</v>
      </c>
      <c r="R568" s="10" t="n">
        <v>0</v>
      </c>
      <c r="S568" s="7" t="inlineStr">
        <is>
          <t>High_Quality_Observed</t>
        </is>
      </c>
    </row>
    <row r="569" ht="19" customHeight="1">
      <c r="A569" s="6" t="inlineStr">
        <is>
          <t>Vietnam</t>
        </is>
      </c>
      <c r="B569" s="10" t="n">
        <v>2014</v>
      </c>
      <c r="C569" s="10" t="n">
        <v>3</v>
      </c>
      <c r="D569" s="6" t="inlineStr">
        <is>
          <t>2014 Q3</t>
        </is>
      </c>
      <c r="E569" s="8" t="n">
        <v>87.98776333333331</v>
      </c>
      <c r="F569" s="10" t="n">
        <v>4.28584759601125</v>
      </c>
      <c r="G569" s="10" t="n">
        <v>0.778742410286237</v>
      </c>
      <c r="H569" s="8" t="n">
        <v>6.54476705110965</v>
      </c>
      <c r="I569" s="8" t="n">
        <v>19.66624980556</v>
      </c>
      <c r="J569" s="8" t="n">
        <v>132.085811275897</v>
      </c>
      <c r="K569" s="8" t="n">
        <v>2.58393053214465</v>
      </c>
      <c r="L569" s="8" t="n">
        <v>104.211407968198</v>
      </c>
      <c r="M569" s="8" t="n">
        <v>-2.16511715802957</v>
      </c>
      <c r="N569" s="8" t="n">
        <v>0.09</v>
      </c>
      <c r="O569" s="8" t="n">
        <v>-0.0033333333333333</v>
      </c>
      <c r="P569" s="8" t="n">
        <v>101.823333333333</v>
      </c>
      <c r="Q569" s="8" t="n">
        <v>-7.65998609473715</v>
      </c>
      <c r="R569" s="10" t="n">
        <v>0</v>
      </c>
      <c r="S569" s="7" t="inlineStr">
        <is>
          <t>High_Quality_Observed</t>
        </is>
      </c>
    </row>
    <row r="570" ht="19" customHeight="1">
      <c r="A570" s="6" t="inlineStr">
        <is>
          <t>Vietnam</t>
        </is>
      </c>
      <c r="B570" s="10" t="n">
        <v>2014</v>
      </c>
      <c r="C570" s="10" t="n">
        <v>4</v>
      </c>
      <c r="D570" s="6" t="inlineStr">
        <is>
          <t>2014 Q4</t>
        </is>
      </c>
      <c r="E570" s="8" t="n">
        <v>88.15411</v>
      </c>
      <c r="F570" s="10" t="n">
        <v>2.55679683113692</v>
      </c>
      <c r="G570" s="10" t="n">
        <v>0.189056591922321</v>
      </c>
      <c r="H570" s="8" t="n">
        <v>6.74971881398264</v>
      </c>
      <c r="I570" s="8" t="n">
        <v>18.0535812155297</v>
      </c>
      <c r="J570" s="8" t="n">
        <v>138.26551479132</v>
      </c>
      <c r="K570" s="8" t="n">
        <v>6.9743270732809</v>
      </c>
      <c r="L570" s="8" t="n">
        <v>99.4046630544031</v>
      </c>
      <c r="M570" s="8" t="n">
        <v>-7.9947393171137</v>
      </c>
      <c r="N570" s="8" t="n">
        <v>0.1</v>
      </c>
      <c r="O570" s="8" t="n">
        <v>0.01</v>
      </c>
      <c r="P570" s="8" t="n">
        <v>76.40333333333329</v>
      </c>
      <c r="Q570" s="8" t="n">
        <v>-30.0399841284376</v>
      </c>
      <c r="R570" s="10" t="n">
        <v>0</v>
      </c>
      <c r="S570" s="7" t="inlineStr">
        <is>
          <t>High_Quality_Observed</t>
        </is>
      </c>
    </row>
    <row r="571" ht="19" customHeight="1">
      <c r="A571" s="6" t="inlineStr">
        <is>
          <t>Vietnam</t>
        </is>
      </c>
      <c r="B571" s="10" t="n">
        <v>2015</v>
      </c>
      <c r="C571" s="10" t="n">
        <v>1</v>
      </c>
      <c r="D571" s="6" t="inlineStr">
        <is>
          <t>2015 Q1</t>
        </is>
      </c>
      <c r="E571" s="8" t="n">
        <v>87.77227000000001</v>
      </c>
      <c r="F571" s="10" t="n">
        <v>0.735001035786587</v>
      </c>
      <c r="G571" s="10" t="n">
        <v>-0.433150536032856</v>
      </c>
      <c r="H571" s="8" t="n">
        <v>6.93462278959375</v>
      </c>
      <c r="I571" s="8" t="n">
        <v>15.708345177629</v>
      </c>
      <c r="J571" s="8" t="n">
        <v>144.5815859563</v>
      </c>
      <c r="K571" s="8" t="n">
        <v>10.1473807675703</v>
      </c>
      <c r="L571" s="8" t="n">
        <v>100.657732001964</v>
      </c>
      <c r="M571" s="8" t="n">
        <v>-8.4807283765489</v>
      </c>
      <c r="N571" s="8" t="n">
        <v>0.11</v>
      </c>
      <c r="O571" s="8" t="n">
        <v>0.01</v>
      </c>
      <c r="P571" s="8" t="n">
        <v>53.9166666666667</v>
      </c>
      <c r="Q571" s="8" t="n">
        <v>-50.1540832049307</v>
      </c>
      <c r="R571" s="10" t="n">
        <v>0</v>
      </c>
      <c r="S571" s="7" t="inlineStr">
        <is>
          <t>High_Quality_Observed</t>
        </is>
      </c>
    </row>
    <row r="572" ht="19" customHeight="1">
      <c r="A572" s="6" t="inlineStr">
        <is>
          <t>Vietnam</t>
        </is>
      </c>
      <c r="B572" s="10" t="n">
        <v>2015</v>
      </c>
      <c r="C572" s="10" t="n">
        <v>2</v>
      </c>
      <c r="D572" s="6" t="inlineStr">
        <is>
          <t>2015 Q2</t>
        </is>
      </c>
      <c r="E572" s="8" t="n">
        <v>88.1649666666667</v>
      </c>
      <c r="F572" s="10" t="n">
        <v>0.981706190790432</v>
      </c>
      <c r="G572" s="10" t="n">
        <v>0.447404022553655</v>
      </c>
      <c r="H572" s="8" t="n">
        <v>7.02959694789713</v>
      </c>
      <c r="I572" s="8" t="n">
        <v>14.4502891792296</v>
      </c>
      <c r="J572" s="8" t="n">
        <v>143.785589425353</v>
      </c>
      <c r="K572" s="8" t="n">
        <v>10.7639873818923</v>
      </c>
      <c r="L572" s="8" t="n">
        <v>96.8474817130345</v>
      </c>
      <c r="M572" s="8" t="n">
        <v>-13.1402513029193</v>
      </c>
      <c r="N572" s="8" t="n">
        <v>0.123333333333333</v>
      </c>
      <c r="O572" s="8" t="n">
        <v>0.0133333333333333</v>
      </c>
      <c r="P572" s="8" t="n">
        <v>61.6933333333333</v>
      </c>
      <c r="Q572" s="8" t="n">
        <v>-43.761774536615</v>
      </c>
      <c r="R572" s="10" t="n">
        <v>0</v>
      </c>
      <c r="S572" s="7" t="inlineStr">
        <is>
          <t>High_Quality_Observed</t>
        </is>
      </c>
    </row>
    <row r="573" ht="19" customHeight="1">
      <c r="A573" s="6" t="inlineStr">
        <is>
          <t>Vietnam</t>
        </is>
      </c>
      <c r="B573" s="10" t="n">
        <v>2015</v>
      </c>
      <c r="C573" s="10" t="n">
        <v>3</v>
      </c>
      <c r="D573" s="6" t="inlineStr">
        <is>
          <t>2015 Q3</t>
        </is>
      </c>
      <c r="E573" s="8" t="n">
        <v>88.4291666666667</v>
      </c>
      <c r="F573" s="10" t="n">
        <v>0.501664454932338</v>
      </c>
      <c r="G573" s="10" t="n">
        <v>0.299665513399305</v>
      </c>
      <c r="H573" s="8" t="n">
        <v>7.03464138387847</v>
      </c>
      <c r="I573" s="8" t="n">
        <v>14.2794119623116</v>
      </c>
      <c r="J573" s="8" t="n">
        <v>144.003280740013</v>
      </c>
      <c r="K573" s="8" t="n">
        <v>9.022520548571819</v>
      </c>
      <c r="L573" s="8" t="n">
        <v>92.7459060049042</v>
      </c>
      <c r="M573" s="8" t="n">
        <v>-11.002156277164</v>
      </c>
      <c r="N573" s="8" t="n">
        <v>0.136666666666667</v>
      </c>
      <c r="O573" s="8" t="n">
        <v>0.0133333333333333</v>
      </c>
      <c r="P573" s="8" t="n">
        <v>50.2333333333333</v>
      </c>
      <c r="Q573" s="8" t="n">
        <v>-50.666186532229</v>
      </c>
      <c r="R573" s="10" t="n">
        <v>0</v>
      </c>
      <c r="S573" s="7" t="inlineStr">
        <is>
          <t>High_Quality_Observed</t>
        </is>
      </c>
    </row>
    <row r="574" ht="19" customHeight="1">
      <c r="A574" s="6" t="inlineStr">
        <is>
          <t>Vietnam</t>
        </is>
      </c>
      <c r="B574" s="10" t="n">
        <v>2015</v>
      </c>
      <c r="C574" s="10" t="n">
        <v>4</v>
      </c>
      <c r="D574" s="6" t="inlineStr">
        <is>
          <t>2015 Q4</t>
        </is>
      </c>
      <c r="E574" s="8" t="n">
        <v>88.4280533333333</v>
      </c>
      <c r="F574" s="10" t="n">
        <v>0.310755032673282</v>
      </c>
      <c r="G574" s="10" t="n">
        <v>-0.0012590114498278</v>
      </c>
      <c r="H574" s="8" t="n">
        <v>6.94975610258223</v>
      </c>
      <c r="I574" s="8" t="n">
        <v>15.1957133559261</v>
      </c>
      <c r="J574" s="8" t="n">
        <v>143.423659835799</v>
      </c>
      <c r="K574" s="8" t="n">
        <v>3.73060849790607</v>
      </c>
      <c r="L574" s="8" t="n">
        <v>90.3005619231251</v>
      </c>
      <c r="M574" s="8" t="n">
        <v>-9.15862581446042</v>
      </c>
      <c r="N574" s="8" t="n">
        <v>0.16</v>
      </c>
      <c r="O574" s="8" t="n">
        <v>0.0233333333333333</v>
      </c>
      <c r="P574" s="8" t="n">
        <v>43.57</v>
      </c>
      <c r="Q574" s="8" t="n">
        <v>-42.9736922472842</v>
      </c>
      <c r="R574" s="10" t="n">
        <v>0</v>
      </c>
      <c r="S574" s="7" t="inlineStr">
        <is>
          <t>High_Quality_Observed</t>
        </is>
      </c>
    </row>
    <row r="575" ht="19" customHeight="1">
      <c r="A575" s="6" t="inlineStr">
        <is>
          <t>Vietnam</t>
        </is>
      </c>
      <c r="B575" s="10" t="n">
        <v>2016</v>
      </c>
      <c r="C575" s="10" t="n">
        <v>1</v>
      </c>
      <c r="D575" s="6" t="inlineStr">
        <is>
          <t>2016 Q1</t>
        </is>
      </c>
      <c r="E575" s="8" t="n">
        <v>88.87282</v>
      </c>
      <c r="F575" s="10" t="n">
        <v>1.25386981560349</v>
      </c>
      <c r="G575" s="10" t="n">
        <v>0.502970098176991</v>
      </c>
      <c r="H575" s="8" t="n">
        <v>6.77494101912028</v>
      </c>
      <c r="I575" s="8" t="n">
        <v>17.1991942764666</v>
      </c>
      <c r="J575" s="8" t="n">
        <v>144.386524854051</v>
      </c>
      <c r="K575" s="8" t="n">
        <v>-0.134914208443881</v>
      </c>
      <c r="L575" s="8" t="n">
        <v>91.66230580090431</v>
      </c>
      <c r="M575" s="8" t="n">
        <v>-8.936647013747329</v>
      </c>
      <c r="N575" s="8" t="n">
        <v>0.36</v>
      </c>
      <c r="O575" s="8" t="n">
        <v>0.2</v>
      </c>
      <c r="P575" s="8" t="n">
        <v>33.6966666666667</v>
      </c>
      <c r="Q575" s="8" t="n">
        <v>-37.5023183925811</v>
      </c>
      <c r="R575" s="10" t="n">
        <v>0</v>
      </c>
      <c r="S575" s="7" t="inlineStr">
        <is>
          <t>High_Quality_Observed</t>
        </is>
      </c>
    </row>
    <row r="576" ht="19" customHeight="1">
      <c r="A576" s="6" t="inlineStr">
        <is>
          <t>Vietnam</t>
        </is>
      </c>
      <c r="B576" s="10" t="n">
        <v>2016</v>
      </c>
      <c r="C576" s="10" t="n">
        <v>2</v>
      </c>
      <c r="D576" s="6" t="inlineStr">
        <is>
          <t>2016 Q2</t>
        </is>
      </c>
      <c r="E576" s="8" t="n">
        <v>90.09545</v>
      </c>
      <c r="F576" s="10" t="n">
        <v>2.18962634062132</v>
      </c>
      <c r="G576" s="10" t="n">
        <v>1.3757074435131</v>
      </c>
      <c r="H576" s="8" t="n">
        <v>6.67104219359155</v>
      </c>
      <c r="I576" s="8" t="n">
        <v>18.2730512323375</v>
      </c>
      <c r="J576" s="8" t="n">
        <v>142.128099820463</v>
      </c>
      <c r="K576" s="8" t="n">
        <v>-1.15275085042535</v>
      </c>
      <c r="L576" s="8" t="n">
        <v>96.9846126235507</v>
      </c>
      <c r="M576" s="8" t="n">
        <v>0.141594709630688</v>
      </c>
      <c r="N576" s="8" t="n">
        <v>0.373333333333333</v>
      </c>
      <c r="O576" s="8" t="n">
        <v>0.0133333333333334</v>
      </c>
      <c r="P576" s="8" t="n">
        <v>45.5233333333333</v>
      </c>
      <c r="Q576" s="8" t="n">
        <v>-26.2102874432678</v>
      </c>
      <c r="R576" s="10" t="n">
        <v>0</v>
      </c>
      <c r="S576" s="7" t="inlineStr">
        <is>
          <t>High_Quality_Observed</t>
        </is>
      </c>
    </row>
    <row r="577" ht="19" customHeight="1">
      <c r="A577" s="6" t="inlineStr">
        <is>
          <t>Vietnam</t>
        </is>
      </c>
      <c r="B577" s="10" t="n">
        <v>2016</v>
      </c>
      <c r="C577" s="10" t="n">
        <v>3</v>
      </c>
      <c r="D577" s="6" t="inlineStr">
        <is>
          <t>2016 Q3</t>
        </is>
      </c>
      <c r="E577" s="8" t="n">
        <v>90.8781433333333</v>
      </c>
      <c r="F577" s="10" t="n">
        <v>2.76942185364935</v>
      </c>
      <c r="G577" s="10" t="n">
        <v>0.868737914437778</v>
      </c>
      <c r="H577" s="8" t="n">
        <v>6.63805952209229</v>
      </c>
      <c r="I577" s="8" t="n">
        <v>18.4172852972656</v>
      </c>
      <c r="J577" s="8" t="n">
        <v>142.247913252962</v>
      </c>
      <c r="K577" s="8" t="n">
        <v>-1.2189774274794</v>
      </c>
      <c r="L577" s="8" t="n">
        <v>100.864699533998</v>
      </c>
      <c r="M577" s="8" t="n">
        <v>8.75380259767431</v>
      </c>
      <c r="N577" s="8" t="n">
        <v>0.396666666666667</v>
      </c>
      <c r="O577" s="8" t="n">
        <v>0.0233333333333333</v>
      </c>
      <c r="P577" s="8" t="n">
        <v>45.7866666666667</v>
      </c>
      <c r="Q577" s="8" t="n">
        <v>-8.852023888520231</v>
      </c>
      <c r="R577" s="10" t="n">
        <v>0</v>
      </c>
      <c r="S577" s="7" t="inlineStr">
        <is>
          <t>High_Quality_Observed</t>
        </is>
      </c>
    </row>
    <row r="578" ht="19" customHeight="1">
      <c r="A578" s="6" t="inlineStr">
        <is>
          <t>Vietnam</t>
        </is>
      </c>
      <c r="B578" s="10" t="n">
        <v>2016</v>
      </c>
      <c r="C578" s="10" t="n">
        <v>4</v>
      </c>
      <c r="D578" s="6" t="inlineStr">
        <is>
          <t>2016 Q4</t>
        </is>
      </c>
      <c r="E578" s="8" t="n">
        <v>92.36147333333329</v>
      </c>
      <c r="F578" s="10" t="n">
        <v>4.44815853309899</v>
      </c>
      <c r="G578" s="10" t="n">
        <v>1.63221864531198</v>
      </c>
      <c r="H578" s="8" t="n">
        <v>6.67599297163697</v>
      </c>
      <c r="I578" s="8" t="n">
        <v>17.631896615859</v>
      </c>
      <c r="J578" s="8" t="n">
        <v>146.899667224242</v>
      </c>
      <c r="K578" s="8" t="n">
        <v>2.42359412137656</v>
      </c>
      <c r="L578" s="8" t="n">
        <v>101.835604997953</v>
      </c>
      <c r="M578" s="8" t="n">
        <v>12.7740545896579</v>
      </c>
      <c r="N578" s="8" t="n">
        <v>0.45</v>
      </c>
      <c r="O578" s="8" t="n">
        <v>0.0533333333333333</v>
      </c>
      <c r="P578" s="8" t="n">
        <v>49.1866666666667</v>
      </c>
      <c r="Q578" s="8" t="n">
        <v>12.8911330426134</v>
      </c>
      <c r="R578" s="10" t="n">
        <v>0</v>
      </c>
      <c r="S578" s="7" t="inlineStr">
        <is>
          <t>High_Quality_Observed</t>
        </is>
      </c>
    </row>
    <row r="579" ht="19" customHeight="1">
      <c r="A579" s="6" t="inlineStr">
        <is>
          <t>Vietnam</t>
        </is>
      </c>
      <c r="B579" s="10" t="n">
        <v>2017</v>
      </c>
      <c r="C579" s="10" t="n">
        <v>1</v>
      </c>
      <c r="D579" s="6" t="inlineStr">
        <is>
          <t>2017 Q1</t>
        </is>
      </c>
      <c r="E579" s="8" t="n">
        <v>93.28167999999999</v>
      </c>
      <c r="F579" s="10" t="n">
        <v>4.96086430024387</v>
      </c>
      <c r="G579" s="10" t="n">
        <v>0.996310077629037</v>
      </c>
      <c r="H579" s="8" t="n">
        <v>6.78484258018122</v>
      </c>
      <c r="I579" s="8" t="n">
        <v>15.9168844023337</v>
      </c>
      <c r="J579" s="8" t="n">
        <v>147.576180525438</v>
      </c>
      <c r="K579" s="8" t="n">
        <v>2.20910896955997</v>
      </c>
      <c r="L579" s="8" t="n">
        <v>100.125779631695</v>
      </c>
      <c r="M579" s="8" t="n">
        <v>9.23331980015236</v>
      </c>
      <c r="N579" s="8" t="n">
        <v>0.7</v>
      </c>
      <c r="O579" s="8" t="n">
        <v>0.25</v>
      </c>
      <c r="P579" s="8" t="n">
        <v>53.68</v>
      </c>
      <c r="Q579" s="8" t="n">
        <v>59.30359085963</v>
      </c>
      <c r="R579" s="10" t="n">
        <v>0</v>
      </c>
      <c r="S579" s="7" t="inlineStr">
        <is>
          <t>High_Quality_Observed</t>
        </is>
      </c>
    </row>
    <row r="580" ht="19" customHeight="1">
      <c r="A580" s="6" t="inlineStr">
        <is>
          <t>Vietnam</t>
        </is>
      </c>
      <c r="B580" s="10" t="n">
        <v>2017</v>
      </c>
      <c r="C580" s="10" t="n">
        <v>2</v>
      </c>
      <c r="D580" s="6" t="inlineStr">
        <is>
          <t>2017 Q2</t>
        </is>
      </c>
      <c r="E580" s="8" t="n">
        <v>93.1048066666667</v>
      </c>
      <c r="F580" s="10" t="n">
        <v>3.34018717556399</v>
      </c>
      <c r="G580" s="10" t="n">
        <v>-0.189612079599466</v>
      </c>
      <c r="H580" s="8" t="n">
        <v>6.89052148843344</v>
      </c>
      <c r="I580" s="8" t="n">
        <v>14.5666737192353</v>
      </c>
      <c r="J580" s="8" t="n">
        <v>144.245726028058</v>
      </c>
      <c r="K580" s="8" t="n">
        <v>1.4899419680344</v>
      </c>
      <c r="L580" s="8" t="n">
        <v>99.4605526807123</v>
      </c>
      <c r="M580" s="8" t="n">
        <v>2.55292049963849</v>
      </c>
      <c r="N580" s="8" t="n">
        <v>0.95</v>
      </c>
      <c r="O580" s="8" t="n">
        <v>0.25</v>
      </c>
      <c r="P580" s="8" t="n">
        <v>49.67</v>
      </c>
      <c r="Q580" s="8" t="n">
        <v>9.10888189207</v>
      </c>
      <c r="R580" s="10" t="n">
        <v>0</v>
      </c>
      <c r="S580" s="7" t="inlineStr">
        <is>
          <t>High_Quality_Observed</t>
        </is>
      </c>
    </row>
    <row r="581" ht="19" customHeight="1">
      <c r="A581" s="6" t="inlineStr">
        <is>
          <t>Vietnam</t>
        </is>
      </c>
      <c r="B581" s="10" t="n">
        <v>2017</v>
      </c>
      <c r="C581" s="10" t="n">
        <v>3</v>
      </c>
      <c r="D581" s="6" t="inlineStr">
        <is>
          <t>2017 Q3</t>
        </is>
      </c>
      <c r="E581" s="8" t="n">
        <v>93.68959</v>
      </c>
      <c r="F581" s="10" t="n">
        <v>3.09364448210008</v>
      </c>
      <c r="G581" s="10" t="n">
        <v>0.628091453352098</v>
      </c>
      <c r="H581" s="8" t="n">
        <v>6.99302980208348</v>
      </c>
      <c r="I581" s="8" t="n">
        <v>13.5812632162491</v>
      </c>
      <c r="J581" s="8" t="n">
        <v>140.947283812123</v>
      </c>
      <c r="K581" s="8" t="n">
        <v>-0.9143399091743331</v>
      </c>
      <c r="L581" s="8" t="n">
        <v>102.480667511988</v>
      </c>
      <c r="M581" s="8" t="n">
        <v>1.60211450136303</v>
      </c>
      <c r="N581" s="8" t="n">
        <v>1.15333333333333</v>
      </c>
      <c r="O581" s="8" t="n">
        <v>0.203333333333333</v>
      </c>
      <c r="P581" s="8" t="n">
        <v>52.11</v>
      </c>
      <c r="Q581" s="8" t="n">
        <v>13.8104251601631</v>
      </c>
      <c r="R581" s="10" t="n">
        <v>0</v>
      </c>
      <c r="S581" s="7" t="inlineStr">
        <is>
          <t>High_Quality_Observed</t>
        </is>
      </c>
    </row>
    <row r="582" ht="19" customHeight="1">
      <c r="A582" s="6" t="inlineStr">
        <is>
          <t>Vietnam</t>
        </is>
      </c>
      <c r="B582" s="10" t="n">
        <v>2017</v>
      </c>
      <c r="C582" s="10" t="n">
        <v>4</v>
      </c>
      <c r="D582" s="6" t="inlineStr">
        <is>
          <t>2017 Q4</t>
        </is>
      </c>
      <c r="E582" s="8" t="n">
        <v>94.88245999999999</v>
      </c>
      <c r="F582" s="10" t="n">
        <v>2.72947861882671</v>
      </c>
      <c r="G582" s="10" t="n">
        <v>1.27321509251987</v>
      </c>
      <c r="H582" s="8" t="n">
        <v>7.09236762364725</v>
      </c>
      <c r="I582" s="8" t="n">
        <v>12.9606519081272</v>
      </c>
      <c r="J582" s="8" t="n">
        <v>141.730141023039</v>
      </c>
      <c r="K582" s="8" t="n">
        <v>-3.51908639337611</v>
      </c>
      <c r="L582" s="8" t="n">
        <v>100.792675769869</v>
      </c>
      <c r="M582" s="8" t="n">
        <v>-1.0241302421728</v>
      </c>
      <c r="N582" s="8" t="n">
        <v>1.20333333333333</v>
      </c>
      <c r="O582" s="8" t="n">
        <v>0.05</v>
      </c>
      <c r="P582" s="8" t="n">
        <v>61.53</v>
      </c>
      <c r="Q582" s="8" t="n">
        <v>25.0948766603416</v>
      </c>
      <c r="R582" s="10" t="n">
        <v>0</v>
      </c>
      <c r="S582" s="7" t="inlineStr">
        <is>
          <t>High_Quality_Observed</t>
        </is>
      </c>
    </row>
    <row r="583" ht="19" customHeight="1">
      <c r="A583" s="6" t="inlineStr">
        <is>
          <t>Vietnam</t>
        </is>
      </c>
      <c r="B583" s="10" t="n">
        <v>2018</v>
      </c>
      <c r="C583" s="10" t="n">
        <v>1</v>
      </c>
      <c r="D583" s="6" t="inlineStr">
        <is>
          <t>2018 Q1</t>
        </is>
      </c>
      <c r="E583" s="8" t="n">
        <v>95.9143266666667</v>
      </c>
      <c r="F583" s="10" t="n">
        <v>2.82225477357041</v>
      </c>
      <c r="G583" s="10" t="n">
        <v>1.08752098824869</v>
      </c>
      <c r="H583" s="8" t="n">
        <v>7.18853505246549</v>
      </c>
      <c r="I583" s="8" t="n">
        <v>12.7048391740088</v>
      </c>
      <c r="J583" s="8" t="n">
        <v>137.352727482422</v>
      </c>
      <c r="K583" s="8" t="n">
        <v>-6.92757666353492</v>
      </c>
      <c r="L583" s="8" t="n">
        <v>96.02404012089779</v>
      </c>
      <c r="M583" s="8" t="n">
        <v>-4.09658683895945</v>
      </c>
      <c r="N583" s="8" t="n">
        <v>1.44666666666667</v>
      </c>
      <c r="O583" s="8" t="n">
        <v>0.243333333333333</v>
      </c>
      <c r="P583" s="8" t="n">
        <v>66.8066666666667</v>
      </c>
      <c r="Q583" s="8" t="n">
        <v>24.4535519125683</v>
      </c>
      <c r="R583" s="10" t="n">
        <v>0</v>
      </c>
      <c r="S583" s="7" t="inlineStr">
        <is>
          <t>High_Quality_Observed</t>
        </is>
      </c>
    </row>
    <row r="584" ht="19" customHeight="1">
      <c r="A584" s="6" t="inlineStr">
        <is>
          <t>Vietnam</t>
        </is>
      </c>
      <c r="B584" s="10" t="n">
        <v>2018</v>
      </c>
      <c r="C584" s="10" t="n">
        <v>2</v>
      </c>
      <c r="D584" s="6" t="inlineStr">
        <is>
          <t>2018 Q2</t>
        </is>
      </c>
      <c r="E584" s="8" t="n">
        <v>96.60044000000001</v>
      </c>
      <c r="F584" s="10" t="n">
        <v>3.75451435697447</v>
      </c>
      <c r="G584" s="10" t="n">
        <v>0.71533977996614</v>
      </c>
      <c r="H584" s="8" t="n">
        <v>7.33759066546021</v>
      </c>
      <c r="I584" s="8" t="n">
        <v>12.5999320112181</v>
      </c>
      <c r="J584" s="8" t="n">
        <v>140.843630355472</v>
      </c>
      <c r="K584" s="8" t="n">
        <v>-2.35854175112534</v>
      </c>
      <c r="L584" s="8" t="n">
        <v>96.1737638878632</v>
      </c>
      <c r="M584" s="8" t="n">
        <v>-3.30461545231933</v>
      </c>
      <c r="N584" s="8" t="n">
        <v>1.73666666666667</v>
      </c>
      <c r="O584" s="8" t="n">
        <v>0.29</v>
      </c>
      <c r="P584" s="8" t="n">
        <v>74.5</v>
      </c>
      <c r="Q584" s="8" t="n">
        <v>49.9899335615059</v>
      </c>
      <c r="R584" s="10" t="n">
        <v>0</v>
      </c>
      <c r="S584" s="7" t="inlineStr">
        <is>
          <t>High_Quality_Observed</t>
        </is>
      </c>
    </row>
    <row r="585" ht="19" customHeight="1">
      <c r="A585" s="6" t="inlineStr">
        <is>
          <t>Vietnam</t>
        </is>
      </c>
      <c r="B585" s="10" t="n">
        <v>2018</v>
      </c>
      <c r="C585" s="10" t="n">
        <v>3</v>
      </c>
      <c r="D585" s="6" t="inlineStr">
        <is>
          <t>2018 Q3</t>
        </is>
      </c>
      <c r="E585" s="8" t="n">
        <v>97.5653433333333</v>
      </c>
      <c r="F585" s="10" t="n">
        <v>4.13680253412716</v>
      </c>
      <c r="G585" s="10" t="n">
        <v>0.998860184625783</v>
      </c>
      <c r="H585" s="8" t="n">
        <v>7.53953461175283</v>
      </c>
      <c r="I585" s="8" t="n">
        <v>12.6459303147423</v>
      </c>
      <c r="J585" s="8" t="n">
        <v>143.059281592612</v>
      </c>
      <c r="K585" s="8" t="n">
        <v>1.49843099020222</v>
      </c>
      <c r="L585" s="8" t="n">
        <v>93.2694805076009</v>
      </c>
      <c r="M585" s="8" t="n">
        <v>-8.98821917149397</v>
      </c>
      <c r="N585" s="8" t="n">
        <v>1.92333333333333</v>
      </c>
      <c r="O585" s="8" t="n">
        <v>0.186666666666667</v>
      </c>
      <c r="P585" s="8" t="n">
        <v>75.2233333333333</v>
      </c>
      <c r="Q585" s="8" t="n">
        <v>44.3548902961683</v>
      </c>
      <c r="R585" s="10" t="n">
        <v>0</v>
      </c>
      <c r="S585" s="7" t="inlineStr">
        <is>
          <t>High_Quality_Observed</t>
        </is>
      </c>
    </row>
    <row r="586" ht="19" customHeight="1">
      <c r="A586" s="6" t="inlineStr">
        <is>
          <t>Vietnam</t>
        </is>
      </c>
      <c r="B586" s="10" t="n">
        <v>2018</v>
      </c>
      <c r="C586" s="10" t="n">
        <v>4</v>
      </c>
      <c r="D586" s="6" t="inlineStr">
        <is>
          <t>2018 Q4</t>
        </is>
      </c>
      <c r="E586" s="8" t="n">
        <v>98.15055333333331</v>
      </c>
      <c r="F586" s="10" t="n">
        <v>3.44435982512821</v>
      </c>
      <c r="G586" s="10" t="n">
        <v>0.599813396854065</v>
      </c>
      <c r="H586" s="8" t="n">
        <v>7.79436709322134</v>
      </c>
      <c r="I586" s="8" t="n">
        <v>12.842834130579</v>
      </c>
      <c r="J586" s="8" t="n">
        <v>144.478249454089</v>
      </c>
      <c r="K586" s="8" t="n">
        <v>1.93897248052743</v>
      </c>
      <c r="L586" s="8" t="n">
        <v>90.7369363173618</v>
      </c>
      <c r="M586" s="8" t="n">
        <v>-9.976656910534739</v>
      </c>
      <c r="N586" s="8" t="n">
        <v>2.22</v>
      </c>
      <c r="O586" s="8" t="n">
        <v>0.296666666666667</v>
      </c>
      <c r="P586" s="8" t="n">
        <v>67.7133333333333</v>
      </c>
      <c r="Q586" s="8" t="n">
        <v>10.0492984452029</v>
      </c>
      <c r="R586" s="10" t="n">
        <v>0</v>
      </c>
      <c r="S586" s="7" t="inlineStr">
        <is>
          <t>High_Quality_Observed</t>
        </is>
      </c>
    </row>
    <row r="587" ht="19" customHeight="1">
      <c r="A587" s="6" t="inlineStr">
        <is>
          <t>Vietnam</t>
        </is>
      </c>
      <c r="B587" s="10" t="n">
        <v>2019</v>
      </c>
      <c r="C587" s="10" t="n">
        <v>1</v>
      </c>
      <c r="D587" s="6" t="inlineStr">
        <is>
          <t>2019 Q1</t>
        </is>
      </c>
      <c r="E587" s="8" t="n">
        <v>98.44071</v>
      </c>
      <c r="F587" s="10" t="n">
        <v>2.63399996760998</v>
      </c>
      <c r="G587" s="10" t="n">
        <v>0.29562407629149</v>
      </c>
      <c r="H587" s="8" t="n">
        <v>8.102088364728781</v>
      </c>
      <c r="I587" s="8" t="n">
        <v>13.190643655648</v>
      </c>
      <c r="J587" s="8" t="n">
        <v>143.789306496711</v>
      </c>
      <c r="K587" s="8" t="n">
        <v>4.68616760094052</v>
      </c>
      <c r="L587" s="8" t="n">
        <v>93.8324987094736</v>
      </c>
      <c r="M587" s="8" t="n">
        <v>-2.2822841120463</v>
      </c>
      <c r="N587" s="8" t="n">
        <v>2.40333333333333</v>
      </c>
      <c r="O587" s="8" t="n">
        <v>0.183333333333333</v>
      </c>
      <c r="P587" s="8" t="n">
        <v>63.17</v>
      </c>
      <c r="Q587" s="8" t="n">
        <v>-5.4435685061371</v>
      </c>
      <c r="R587" s="10" t="n">
        <v>0</v>
      </c>
      <c r="S587" s="7" t="inlineStr">
        <is>
          <t>High_Quality_Observed</t>
        </is>
      </c>
    </row>
    <row r="588" ht="19" customHeight="1">
      <c r="A588" s="6" t="inlineStr">
        <is>
          <t>Vietnam</t>
        </is>
      </c>
      <c r="B588" s="10" t="n">
        <v>2019</v>
      </c>
      <c r="C588" s="10" t="n">
        <v>2</v>
      </c>
      <c r="D588" s="6" t="inlineStr">
        <is>
          <t>2019 Q2</t>
        </is>
      </c>
      <c r="E588" s="8" t="n">
        <v>99.1641833333333</v>
      </c>
      <c r="F588" s="10" t="n">
        <v>2.6539665174748</v>
      </c>
      <c r="G588" s="10" t="n">
        <v>0.734933071219568</v>
      </c>
      <c r="H588" s="8" t="n">
        <v>7.92804674305674</v>
      </c>
      <c r="I588" s="8" t="n">
        <v>13.5020307704849</v>
      </c>
      <c r="J588" s="8" t="n">
        <v>145.294450979194</v>
      </c>
      <c r="K588" s="8" t="n">
        <v>3.16011495336257</v>
      </c>
      <c r="L588" s="8" t="n">
        <v>94.8842784155444</v>
      </c>
      <c r="M588" s="8" t="n">
        <v>-1.34078715461562</v>
      </c>
      <c r="N588" s="8" t="n">
        <v>2.39666666666667</v>
      </c>
      <c r="O588" s="8" t="n">
        <v>-0.0066666666666668</v>
      </c>
      <c r="P588" s="8" t="n">
        <v>68.9233333333333</v>
      </c>
      <c r="Q588" s="8" t="n">
        <v>-7.48545861297539</v>
      </c>
      <c r="R588" s="10" t="n">
        <v>0</v>
      </c>
      <c r="S588" s="7" t="inlineStr">
        <is>
          <t>High_Quality_Observed</t>
        </is>
      </c>
    </row>
    <row r="589" ht="19" customHeight="1">
      <c r="A589" s="6" t="inlineStr">
        <is>
          <t>Vietnam</t>
        </is>
      </c>
      <c r="B589" s="10" t="n">
        <v>2019</v>
      </c>
      <c r="C589" s="10" t="n">
        <v>3</v>
      </c>
      <c r="D589" s="6" t="inlineStr">
        <is>
          <t>2019 Q3</t>
        </is>
      </c>
      <c r="E589" s="8" t="n">
        <v>99.73635</v>
      </c>
      <c r="F589" s="10" t="n">
        <v>2.22518221377994</v>
      </c>
      <c r="G589" s="10" t="n">
        <v>0.5769892388901799</v>
      </c>
      <c r="H589" s="8" t="n">
        <v>7.27224205415414</v>
      </c>
      <c r="I589" s="8" t="n">
        <v>13.776995786344</v>
      </c>
      <c r="J589" s="8" t="n">
        <v>146.927093993544</v>
      </c>
      <c r="K589" s="8" t="n">
        <v>2.70364310366602</v>
      </c>
      <c r="L589" s="8" t="n">
        <v>94.5983508132319</v>
      </c>
      <c r="M589" s="8" t="n">
        <v>1.42476434777905</v>
      </c>
      <c r="N589" s="8" t="n">
        <v>2.19</v>
      </c>
      <c r="O589" s="8" t="n">
        <v>-0.206666666666667</v>
      </c>
      <c r="P589" s="8" t="n">
        <v>61.93</v>
      </c>
      <c r="Q589" s="8" t="n">
        <v>-17.6718216865334</v>
      </c>
      <c r="R589" s="10" t="n">
        <v>0</v>
      </c>
      <c r="S589" s="7" t="inlineStr">
        <is>
          <t>High_Quality_Observed</t>
        </is>
      </c>
    </row>
    <row r="590" ht="19" customHeight="1">
      <c r="A590" s="6" t="inlineStr">
        <is>
          <t>Vietnam</t>
        </is>
      </c>
      <c r="B590" s="10" t="n">
        <v>2019</v>
      </c>
      <c r="C590" s="10" t="n">
        <v>4</v>
      </c>
      <c r="D590" s="6" t="inlineStr">
        <is>
          <t>2019 Q4</t>
        </is>
      </c>
      <c r="E590" s="8" t="n">
        <v>101.74366</v>
      </c>
      <c r="F590" s="10" t="n">
        <v>3.66081142147408</v>
      </c>
      <c r="G590" s="10" t="n">
        <v>2.01261626277682</v>
      </c>
      <c r="H590" s="8" t="n">
        <v>6.13467364222677</v>
      </c>
      <c r="I590" s="8" t="n">
        <v>14.015538978154</v>
      </c>
      <c r="J590" s="8" t="n">
        <v>148.986292578172</v>
      </c>
      <c r="K590" s="8" t="n">
        <v>3.12022269173204</v>
      </c>
      <c r="L590" s="8" t="n">
        <v>98.5900431134575</v>
      </c>
      <c r="M590" s="8" t="n">
        <v>8.654807088293911</v>
      </c>
      <c r="N590" s="8" t="n">
        <v>1.64333333333333</v>
      </c>
      <c r="O590" s="8" t="n">
        <v>-0.546666666666667</v>
      </c>
      <c r="P590" s="8" t="n">
        <v>63.41</v>
      </c>
      <c r="Q590" s="8" t="n">
        <v>-6.35522299891701</v>
      </c>
      <c r="R590" s="10" t="n">
        <v>0</v>
      </c>
      <c r="S590" s="7" t="inlineStr">
        <is>
          <t>High_Quality_Observed</t>
        </is>
      </c>
    </row>
    <row r="591" ht="19" customHeight="1">
      <c r="A591" s="6" t="inlineStr">
        <is>
          <t>Vietnam</t>
        </is>
      </c>
      <c r="B591" s="10" t="n">
        <v>2020</v>
      </c>
      <c r="C591" s="10" t="n">
        <v>1</v>
      </c>
      <c r="D591" s="6" t="inlineStr">
        <is>
          <t>2020 Q1</t>
        </is>
      </c>
      <c r="E591" s="8" t="n">
        <v>103.91903</v>
      </c>
      <c r="F591" s="10" t="n">
        <v>5.56509598518742</v>
      </c>
      <c r="G591" s="10" t="n">
        <v>2.13808899738812</v>
      </c>
      <c r="H591" s="8" t="n">
        <v>4.51534036968043</v>
      </c>
      <c r="I591" s="8" t="n">
        <v>14.2176605847407</v>
      </c>
      <c r="J591" s="8" t="n">
        <v>151.671351147827</v>
      </c>
      <c r="K591" s="8" t="n">
        <v>5.48166260979648</v>
      </c>
      <c r="L591" s="8" t="n">
        <v>101.264856657347</v>
      </c>
      <c r="M591" s="8" t="n">
        <v>7.92087821393919</v>
      </c>
      <c r="N591" s="8" t="n">
        <v>1.26</v>
      </c>
      <c r="O591" s="8" t="n">
        <v>-0.383333333333333</v>
      </c>
      <c r="P591" s="8" t="n">
        <v>50.44</v>
      </c>
      <c r="Q591" s="8" t="n">
        <v>-20.1519708722495</v>
      </c>
      <c r="R591" s="10" t="n">
        <v>0</v>
      </c>
      <c r="S591" s="7" t="inlineStr">
        <is>
          <t>High_Quality_Observed</t>
        </is>
      </c>
    </row>
    <row r="592" ht="19" customHeight="1">
      <c r="A592" s="6" t="inlineStr">
        <is>
          <t>Vietnam</t>
        </is>
      </c>
      <c r="B592" s="10" t="n">
        <v>2020</v>
      </c>
      <c r="C592" s="10" t="n">
        <v>2</v>
      </c>
      <c r="D592" s="6" t="inlineStr">
        <is>
          <t>2020 Q2</t>
        </is>
      </c>
      <c r="E592" s="8" t="n">
        <v>101.97118</v>
      </c>
      <c r="F592" s="10" t="n">
        <v>2.83065575927868</v>
      </c>
      <c r="G592" s="10" t="n">
        <v>-1.87439201462907</v>
      </c>
      <c r="H592" s="8" t="n">
        <v>3.2076368191325</v>
      </c>
      <c r="I592" s="8" t="n">
        <v>14.0648411067746</v>
      </c>
      <c r="J592" s="8" t="n">
        <v>151.553001046061</v>
      </c>
      <c r="K592" s="8" t="n">
        <v>4.30749421239962</v>
      </c>
      <c r="L592" s="8" t="n">
        <v>94.2610802411244</v>
      </c>
      <c r="M592" s="8" t="n">
        <v>-0.656798138560644</v>
      </c>
      <c r="N592" s="8" t="n">
        <v>0.06</v>
      </c>
      <c r="O592" s="8" t="n">
        <v>-1.2</v>
      </c>
      <c r="P592" s="8" t="n">
        <v>29.3433333333333</v>
      </c>
      <c r="Q592" s="8" t="n">
        <v>-57.426125646854</v>
      </c>
      <c r="R592" s="10" t="n">
        <v>0</v>
      </c>
      <c r="S592" s="7" t="inlineStr">
        <is>
          <t>High_Quality_Observed</t>
        </is>
      </c>
    </row>
    <row r="593" ht="19" customHeight="1">
      <c r="A593" s="6" t="inlineStr">
        <is>
          <t>Vietnam</t>
        </is>
      </c>
      <c r="B593" s="10" t="n">
        <v>2020</v>
      </c>
      <c r="C593" s="10" t="n">
        <v>3</v>
      </c>
      <c r="D593" s="6" t="inlineStr">
        <is>
          <t>2020 Q3</t>
        </is>
      </c>
      <c r="E593" s="8" t="n">
        <v>102.910033333333</v>
      </c>
      <c r="F593" s="10" t="n">
        <v>3.182072868451</v>
      </c>
      <c r="G593" s="10" t="n">
        <v>0.9207045886233</v>
      </c>
      <c r="H593" s="8" t="n">
        <v>2.21156168287942</v>
      </c>
      <c r="I593" s="8" t="n">
        <v>13.5570803916512</v>
      </c>
      <c r="J593" s="8" t="n">
        <v>148.307482479567</v>
      </c>
      <c r="K593" s="8" t="n">
        <v>0.939505742952784</v>
      </c>
      <c r="L593" s="8" t="n">
        <v>97.88852553233011</v>
      </c>
      <c r="M593" s="8" t="n">
        <v>3.47804659469599</v>
      </c>
      <c r="N593" s="8" t="n">
        <v>0.0933333333333333</v>
      </c>
      <c r="O593" s="8" t="n">
        <v>0.0333333333333333</v>
      </c>
      <c r="P593" s="8" t="n">
        <v>42.9633333333333</v>
      </c>
      <c r="Q593" s="8" t="n">
        <v>-30.6259755638086</v>
      </c>
      <c r="R593" s="10" t="n">
        <v>0</v>
      </c>
      <c r="S593" s="7" t="inlineStr">
        <is>
          <t>High_Quality_Observed</t>
        </is>
      </c>
    </row>
    <row r="594" ht="19" customHeight="1">
      <c r="A594" s="6" t="inlineStr">
        <is>
          <t>Vietnam</t>
        </is>
      </c>
      <c r="B594" s="10" t="n">
        <v>2020</v>
      </c>
      <c r="C594" s="10" t="n">
        <v>4</v>
      </c>
      <c r="D594" s="6" t="inlineStr">
        <is>
          <t>2020 Q4</t>
        </is>
      </c>
      <c r="E594" s="8" t="n">
        <v>103.138953333333</v>
      </c>
      <c r="F594" s="10" t="n">
        <v>1.37138110947976</v>
      </c>
      <c r="G594" s="10" t="n">
        <v>0.222446726120973</v>
      </c>
      <c r="H594" s="8" t="n">
        <v>1.52711396482937</v>
      </c>
      <c r="I594" s="8" t="n">
        <v>12.6943779315532</v>
      </c>
      <c r="J594" s="8" t="n">
        <v>145.266236802146</v>
      </c>
      <c r="K594" s="8" t="n">
        <v>-2.49691143503994</v>
      </c>
      <c r="L594" s="8" t="n">
        <v>107.405441783652</v>
      </c>
      <c r="M594" s="8" t="n">
        <v>8.9414695356711</v>
      </c>
      <c r="N594" s="8" t="n">
        <v>0.09</v>
      </c>
      <c r="O594" s="8" t="n">
        <v>-0.0033333333333333</v>
      </c>
      <c r="P594" s="8" t="n">
        <v>44.29</v>
      </c>
      <c r="Q594" s="8" t="n">
        <v>-30.152972717237</v>
      </c>
      <c r="R594" s="10" t="n">
        <v>0</v>
      </c>
      <c r="S594" s="7" t="inlineStr">
        <is>
          <t>High_Quality_Observed</t>
        </is>
      </c>
    </row>
    <row r="595" ht="19" customHeight="1">
      <c r="A595" s="6" t="inlineStr">
        <is>
          <t>Vietnam</t>
        </is>
      </c>
      <c r="B595" s="10" t="n">
        <v>2021</v>
      </c>
      <c r="C595" s="10" t="n">
        <v>1</v>
      </c>
      <c r="D595" s="6" t="inlineStr">
        <is>
          <t>2021 Q1</t>
        </is>
      </c>
      <c r="E595" s="8" t="n">
        <v>104.222733333333</v>
      </c>
      <c r="F595" s="10" t="n">
        <v>0.292249969359171</v>
      </c>
      <c r="G595" s="10" t="n">
        <v>1.05079600381182</v>
      </c>
      <c r="H595" s="8" t="n">
        <v>1.15429298054386</v>
      </c>
      <c r="I595" s="8" t="n">
        <v>11.4767328637378</v>
      </c>
      <c r="J595" s="8" t="n">
        <v>144.339430110621</v>
      </c>
      <c r="K595" s="8" t="n">
        <v>-4.83408434204505</v>
      </c>
      <c r="L595" s="8" t="n">
        <v>106.418456967928</v>
      </c>
      <c r="M595" s="8" t="n">
        <v>5.08922886053087</v>
      </c>
      <c r="N595" s="8" t="n">
        <v>0.08</v>
      </c>
      <c r="O595" s="8" t="n">
        <v>-0.01</v>
      </c>
      <c r="P595" s="8" t="n">
        <v>60.82</v>
      </c>
      <c r="Q595" s="8" t="n">
        <v>20.578905630452</v>
      </c>
      <c r="R595" s="10" t="n">
        <v>0</v>
      </c>
      <c r="S595" s="7" t="inlineStr">
        <is>
          <t>High_Quality_Observed</t>
        </is>
      </c>
    </row>
    <row r="596" ht="19" customHeight="1">
      <c r="A596" s="6" t="inlineStr">
        <is>
          <t>Vietnam</t>
        </is>
      </c>
      <c r="B596" s="10" t="n">
        <v>2021</v>
      </c>
      <c r="C596" s="10" t="n">
        <v>2</v>
      </c>
      <c r="D596" s="6" t="inlineStr">
        <is>
          <t>2021 Q2</t>
        </is>
      </c>
      <c r="E596" s="8" t="n">
        <v>104.693933333333</v>
      </c>
      <c r="F596" s="10" t="n">
        <v>2.67012045298811</v>
      </c>
      <c r="G596" s="10" t="n">
        <v>0.452108657036443</v>
      </c>
      <c r="H596" s="8" t="n">
        <v>1.56493852154016</v>
      </c>
      <c r="I596" s="8" t="n">
        <v>10.2693628596679</v>
      </c>
      <c r="J596" s="8" t="n">
        <v>145.868153672252</v>
      </c>
      <c r="K596" s="8" t="n">
        <v>-3.75106222547246</v>
      </c>
      <c r="L596" s="8" t="n">
        <v>114.551815876528</v>
      </c>
      <c r="M596" s="8" t="n">
        <v>21.5261013172124</v>
      </c>
      <c r="N596" s="8" t="n">
        <v>0.07000000000000001</v>
      </c>
      <c r="O596" s="8" t="n">
        <v>-0.01</v>
      </c>
      <c r="P596" s="8" t="n">
        <v>68.8333333333333</v>
      </c>
      <c r="Q596" s="8" t="n">
        <v>134.579120754288</v>
      </c>
      <c r="R596" s="10" t="n">
        <v>0</v>
      </c>
      <c r="S596" s="7" t="inlineStr">
        <is>
          <t>High_Quality_Observed</t>
        </is>
      </c>
    </row>
    <row r="597" ht="19" customHeight="1">
      <c r="A597" s="6" t="inlineStr">
        <is>
          <t>Vietnam</t>
        </is>
      </c>
      <c r="B597" s="10" t="n">
        <v>2021</v>
      </c>
      <c r="C597" s="10" t="n">
        <v>3</v>
      </c>
      <c r="D597" s="6" t="inlineStr">
        <is>
          <t>2021 Q3</t>
        </is>
      </c>
      <c r="E597" s="8" t="n">
        <v>105.490033333333</v>
      </c>
      <c r="F597" s="10" t="n">
        <v>2.50704417871792</v>
      </c>
      <c r="G597" s="10" t="n">
        <v>0.760407002252284</v>
      </c>
      <c r="H597" s="8" t="n">
        <v>2.75905099844341</v>
      </c>
      <c r="I597" s="8" t="n">
        <v>9.072266711906179</v>
      </c>
      <c r="J597" s="8" t="n">
        <v>148.854572613601</v>
      </c>
      <c r="K597" s="8" t="n">
        <v>0.368889097763092</v>
      </c>
      <c r="L597" s="8" t="n">
        <v>116.298331246585</v>
      </c>
      <c r="M597" s="8" t="n">
        <v>18.8069087915464</v>
      </c>
      <c r="N597" s="8" t="n">
        <v>0.09</v>
      </c>
      <c r="O597" s="8" t="n">
        <v>0.02</v>
      </c>
      <c r="P597" s="8" t="n">
        <v>73.47</v>
      </c>
      <c r="Q597" s="8" t="n">
        <v>71.0062844285825</v>
      </c>
      <c r="R597" s="10" t="n">
        <v>0</v>
      </c>
      <c r="S597" s="7" t="inlineStr">
        <is>
          <t>High_Quality_Observed</t>
        </is>
      </c>
    </row>
    <row r="598" ht="19" customHeight="1">
      <c r="A598" s="6" t="inlineStr">
        <is>
          <t>Vietnam</t>
        </is>
      </c>
      <c r="B598" s="10" t="n">
        <v>2021</v>
      </c>
      <c r="C598" s="10" t="n">
        <v>4</v>
      </c>
      <c r="D598" s="6" t="inlineStr">
        <is>
          <t>2021 Q4</t>
        </is>
      </c>
      <c r="E598" s="8" t="n">
        <v>105.090366666667</v>
      </c>
      <c r="F598" s="10" t="n">
        <v>1.89202359561145</v>
      </c>
      <c r="G598" s="10" t="n">
        <v>-0.378866755500762</v>
      </c>
      <c r="H598" s="8" t="n">
        <v>4.73663160536492</v>
      </c>
      <c r="I598" s="8" t="n">
        <v>7.88544322334365</v>
      </c>
      <c r="J598" s="8" t="n">
        <v>149.810086268531</v>
      </c>
      <c r="K598" s="8" t="n">
        <v>3.12794601582052</v>
      </c>
      <c r="L598" s="8" t="n">
        <v>122.679602624024</v>
      </c>
      <c r="M598" s="8" t="n">
        <v>14.2210306914792</v>
      </c>
      <c r="N598" s="8" t="n">
        <v>0.08</v>
      </c>
      <c r="O598" s="8" t="n">
        <v>-0.01</v>
      </c>
      <c r="P598" s="8" t="n">
        <v>79.5866666666667</v>
      </c>
      <c r="Q598" s="8" t="n">
        <v>79.69443817265</v>
      </c>
      <c r="R598" s="10" t="n">
        <v>0</v>
      </c>
      <c r="S598" s="7" t="inlineStr">
        <is>
          <t>High_Quality_Observed</t>
        </is>
      </c>
    </row>
    <row r="599" ht="19" customHeight="1">
      <c r="A599" s="6" t="inlineStr">
        <is>
          <t>Vietnam</t>
        </is>
      </c>
      <c r="B599" s="10" t="n">
        <v>2022</v>
      </c>
      <c r="C599" s="10" t="n">
        <v>1</v>
      </c>
      <c r="D599" s="6" t="inlineStr">
        <is>
          <t>2022 Q1</t>
        </is>
      </c>
      <c r="E599" s="8" t="n">
        <v>106.228733333333</v>
      </c>
      <c r="F599" s="10" t="n">
        <v>1.92472403653459</v>
      </c>
      <c r="G599" s="10" t="n">
        <v>1.08322646763372</v>
      </c>
      <c r="H599" s="8" t="n">
        <v>7.49768231988464</v>
      </c>
      <c r="I599" s="8" t="n">
        <v>6.70889120722992</v>
      </c>
      <c r="J599" s="8" t="n">
        <v>150.441824624785</v>
      </c>
      <c r="K599" s="8" t="n">
        <v>4.22780837466714</v>
      </c>
      <c r="L599" s="8" t="n">
        <v>124.25343875034</v>
      </c>
      <c r="M599" s="8" t="n">
        <v>16.7592937264516</v>
      </c>
      <c r="N599" s="8" t="n">
        <v>0.12</v>
      </c>
      <c r="O599" s="8" t="n">
        <v>0.04</v>
      </c>
      <c r="P599" s="8" t="n">
        <v>100.296666666667</v>
      </c>
      <c r="Q599" s="8" t="n">
        <v>64.9073769593335</v>
      </c>
      <c r="R599" s="10" t="n">
        <v>0</v>
      </c>
      <c r="S599" s="7" t="inlineStr">
        <is>
          <t>High_Quality_Observed</t>
        </is>
      </c>
    </row>
    <row r="600" ht="19" customHeight="1">
      <c r="A600" s="6" t="inlineStr">
        <is>
          <t>Vietnam</t>
        </is>
      </c>
      <c r="B600" s="10" t="n">
        <v>2022</v>
      </c>
      <c r="C600" s="10" t="n">
        <v>2</v>
      </c>
      <c r="D600" s="6" t="inlineStr">
        <is>
          <t>2022 Q2</t>
        </is>
      </c>
      <c r="E600" s="8" t="n">
        <v>107.7916</v>
      </c>
      <c r="F600" s="10" t="n">
        <v>2.9587833487964</v>
      </c>
      <c r="G600" s="10" t="n">
        <v>1.4712278096761</v>
      </c>
      <c r="H600" s="8" t="n">
        <v>9.01802920649553</v>
      </c>
      <c r="I600" s="8" t="n">
        <v>5.82647822453807</v>
      </c>
      <c r="J600" s="8" t="n">
        <v>155.897727924636</v>
      </c>
      <c r="K600" s="8" t="n">
        <v>6.87578062783907</v>
      </c>
      <c r="L600" s="8" t="n">
        <v>134.351432934678</v>
      </c>
      <c r="M600" s="8" t="n">
        <v>17.2844200736996</v>
      </c>
      <c r="N600" s="8" t="n">
        <v>0.77</v>
      </c>
      <c r="O600" s="8" t="n">
        <v>0.65</v>
      </c>
      <c r="P600" s="8" t="n">
        <v>113.543333333333</v>
      </c>
      <c r="Q600" s="8" t="n">
        <v>64.95399515738499</v>
      </c>
      <c r="R600" s="10" t="n">
        <v>0</v>
      </c>
      <c r="S600" s="7" t="inlineStr">
        <is>
          <t>High_Quality_Observed</t>
        </is>
      </c>
    </row>
    <row r="601" ht="19" customHeight="1">
      <c r="A601" s="6" t="inlineStr">
        <is>
          <t>Vietnam</t>
        </is>
      </c>
      <c r="B601" s="10" t="n">
        <v>2022</v>
      </c>
      <c r="C601" s="10" t="n">
        <v>3</v>
      </c>
      <c r="D601" s="6" t="inlineStr">
        <is>
          <t>2022 Q3</t>
        </is>
      </c>
      <c r="E601" s="8" t="n">
        <v>108.995466666667</v>
      </c>
      <c r="F601" s="10" t="n">
        <v>3.32299955035245</v>
      </c>
      <c r="G601" s="10" t="n">
        <v>1.11684645804186</v>
      </c>
      <c r="H601" s="8" t="n">
        <v>9.2976737855536</v>
      </c>
      <c r="I601" s="8" t="n">
        <v>5.23820339301013</v>
      </c>
      <c r="J601" s="8" t="n">
        <v>159.768675835398</v>
      </c>
      <c r="K601" s="8" t="n">
        <v>7.33205774613848</v>
      </c>
      <c r="L601" s="8" t="n">
        <v>118.584751746656</v>
      </c>
      <c r="M601" s="8" t="n">
        <v>1.96599596534466</v>
      </c>
      <c r="N601" s="8" t="n">
        <v>2.19</v>
      </c>
      <c r="O601" s="8" t="n">
        <v>1.42</v>
      </c>
      <c r="P601" s="8" t="n">
        <v>100.713333333333</v>
      </c>
      <c r="Q601" s="8" t="n">
        <v>37.0808946962479</v>
      </c>
      <c r="R601" s="10" t="n">
        <v>0</v>
      </c>
      <c r="S601" s="7" t="inlineStr">
        <is>
          <t>High_Quality_Observed</t>
        </is>
      </c>
    </row>
    <row r="602" ht="19" customHeight="1">
      <c r="A602" s="6" t="inlineStr">
        <is>
          <t>Vietnam</t>
        </is>
      </c>
      <c r="B602" s="10" t="n">
        <v>2022</v>
      </c>
      <c r="C602" s="10" t="n">
        <v>4</v>
      </c>
      <c r="D602" s="6" t="inlineStr">
        <is>
          <t>2022 Q4</t>
        </is>
      </c>
      <c r="E602" s="8" t="n">
        <v>109.722766666667</v>
      </c>
      <c r="F602" s="10" t="n">
        <v>4.40801583145427</v>
      </c>
      <c r="G602" s="10" t="n">
        <v>0.667275458551186</v>
      </c>
      <c r="H602" s="8" t="n">
        <v>8.33661633670841</v>
      </c>
      <c r="I602" s="8" t="n">
        <v>4.94406612429404</v>
      </c>
      <c r="J602" s="8" t="n">
        <v>154.97464857241</v>
      </c>
      <c r="K602" s="8" t="n">
        <v>3.44740626784048</v>
      </c>
      <c r="L602" s="8" t="n">
        <v>115.210051245214</v>
      </c>
      <c r="M602" s="8" t="n">
        <v>-6.08866610181539</v>
      </c>
      <c r="N602" s="8" t="n">
        <v>3.65333333333333</v>
      </c>
      <c r="O602" s="8" t="n">
        <v>1.46333333333333</v>
      </c>
      <c r="P602" s="8" t="n">
        <v>88.5566666666667</v>
      </c>
      <c r="Q602" s="8" t="n">
        <v>11.2707321159323</v>
      </c>
      <c r="R602" s="10" t="n">
        <v>0</v>
      </c>
      <c r="S602" s="7" t="inlineStr">
        <is>
          <t>High_Quality_Observed</t>
        </is>
      </c>
    </row>
    <row r="603" ht="19" customHeight="1">
      <c r="A603" s="6" t="inlineStr">
        <is>
          <t>Vietnam</t>
        </is>
      </c>
      <c r="B603" s="10" t="n">
        <v>2023</v>
      </c>
      <c r="C603" s="10" t="n">
        <v>1</v>
      </c>
      <c r="D603" s="6" t="inlineStr">
        <is>
          <t>2023 Q1</t>
        </is>
      </c>
      <c r="E603" s="11" t="n">
        <v>110.6679</v>
      </c>
      <c r="F603" s="12" t="n">
        <v>4.17887564632544</v>
      </c>
      <c r="G603" s="10" t="n">
        <v>0.861383067567556</v>
      </c>
      <c r="H603" s="8" t="n">
        <v>6.13485589887367</v>
      </c>
      <c r="I603" s="11" t="n">
        <v>7.67768057596597</v>
      </c>
      <c r="J603" s="11" t="n">
        <v>152.411404771272</v>
      </c>
      <c r="K603" s="8" t="n">
        <v>1.30919719393132</v>
      </c>
      <c r="L603" s="8" t="n">
        <v>114.034689515825</v>
      </c>
      <c r="M603" s="8" t="n">
        <v>-8.224117849203459</v>
      </c>
      <c r="N603" s="8" t="n">
        <v>4.51666666666667</v>
      </c>
      <c r="O603" s="8" t="n">
        <v>0.863333333333333</v>
      </c>
      <c r="P603" s="8" t="n">
        <v>81.1733333333333</v>
      </c>
      <c r="Q603" s="8" t="n">
        <v>-19.0667685865266</v>
      </c>
      <c r="R603" s="10" t="n">
        <v>1</v>
      </c>
      <c r="S603" s="7" t="inlineStr">
        <is>
          <t>Minor_Imputation_1Var</t>
        </is>
      </c>
    </row>
    <row r="604" ht="19" customHeight="1">
      <c r="A604" s="6" t="inlineStr">
        <is>
          <t>Vietnam</t>
        </is>
      </c>
      <c r="B604" s="10" t="n">
        <v>2023</v>
      </c>
      <c r="C604" s="10" t="n">
        <v>2</v>
      </c>
      <c r="D604" s="6" t="inlineStr">
        <is>
          <t>2023 Q2</t>
        </is>
      </c>
      <c r="E604" s="11" t="n">
        <v>110.390833333333</v>
      </c>
      <c r="F604" s="12" t="n">
        <v>2.41135054432193</v>
      </c>
      <c r="G604" s="10" t="n">
        <v>-0.250358655641492</v>
      </c>
      <c r="H604" s="8" t="n">
        <v>4.79167378785478</v>
      </c>
      <c r="I604" s="11" t="n">
        <v>7.67768057596597</v>
      </c>
      <c r="J604" s="11" t="n">
        <v>153.226850468859</v>
      </c>
      <c r="K604" s="8" t="n">
        <v>-1.71322410617</v>
      </c>
      <c r="L604" s="8" t="n">
        <v>109.857789884183</v>
      </c>
      <c r="M604" s="8" t="n">
        <v>-18.2310247948031</v>
      </c>
      <c r="N604" s="8" t="n">
        <v>4.99</v>
      </c>
      <c r="O604" s="8" t="n">
        <v>0.473333333333334</v>
      </c>
      <c r="P604" s="8" t="n">
        <v>78.31666666666671</v>
      </c>
      <c r="Q604" s="8" t="n">
        <v>-31.0248656900449</v>
      </c>
      <c r="R604" s="10" t="n">
        <v>1</v>
      </c>
      <c r="S604" s="7" t="inlineStr">
        <is>
          <t>Minor_Imputation_1Var</t>
        </is>
      </c>
    </row>
    <row r="605" ht="19" customHeight="1">
      <c r="A605" s="6" t="inlineStr">
        <is>
          <t>Vietnam</t>
        </is>
      </c>
      <c r="B605" s="10" t="n">
        <v>2023</v>
      </c>
      <c r="C605" s="10" t="n">
        <v>3</v>
      </c>
      <c r="D605" s="6" t="inlineStr">
        <is>
          <t>2023 Q3</t>
        </is>
      </c>
      <c r="E605" s="11" t="n">
        <v>112.149166666667</v>
      </c>
      <c r="F605" s="12" t="n">
        <v>2.8934230903793</v>
      </c>
      <c r="G605" s="10" t="n">
        <v>1.59282549124702</v>
      </c>
      <c r="H605" s="8" t="n">
        <v>4.30706866048041</v>
      </c>
      <c r="I605" s="11" t="n">
        <v>7.67768057596597</v>
      </c>
      <c r="J605" s="11" t="n">
        <v>153.975299801503</v>
      </c>
      <c r="K605" s="8" t="n">
        <v>-3.62610255333391</v>
      </c>
      <c r="L605" s="8" t="n">
        <v>107.510614988168</v>
      </c>
      <c r="M605" s="8" t="n">
        <v>-9.338584088911441</v>
      </c>
      <c r="N605" s="8" t="n">
        <v>5.26</v>
      </c>
      <c r="O605" s="8" t="n">
        <v>0.27</v>
      </c>
      <c r="P605" s="8" t="n">
        <v>86.66</v>
      </c>
      <c r="Q605" s="8" t="n">
        <v>-13.9537962533925</v>
      </c>
      <c r="R605" s="10" t="n">
        <v>1</v>
      </c>
      <c r="S605" s="7" t="inlineStr">
        <is>
          <t>Minor_Imputation_1Var</t>
        </is>
      </c>
    </row>
    <row r="606" ht="19" customHeight="1">
      <c r="A606" s="6" t="inlineStr">
        <is>
          <t>Vietnam</t>
        </is>
      </c>
      <c r="B606" s="10" t="n">
        <v>2023</v>
      </c>
      <c r="C606" s="10" t="n">
        <v>4</v>
      </c>
      <c r="D606" s="6" t="inlineStr">
        <is>
          <t>2023 Q4</t>
        </is>
      </c>
      <c r="E606" s="11" t="n">
        <v>113.607133333333</v>
      </c>
      <c r="F606" s="12" t="n">
        <v>3.54016471209408</v>
      </c>
      <c r="G606" s="10" t="n">
        <v>1.30002452091336</v>
      </c>
      <c r="H606" s="8" t="n">
        <v>4.68104003211929</v>
      </c>
      <c r="I606" s="11" t="n">
        <v>7.67768057596597</v>
      </c>
      <c r="J606" s="11" t="n">
        <v>153.941433802159</v>
      </c>
      <c r="K606" s="8" t="n">
        <v>-0.666699218077782</v>
      </c>
      <c r="L606" s="8" t="n">
        <v>105.339533846651</v>
      </c>
      <c r="M606" s="8" t="n">
        <v>-8.56740995414912</v>
      </c>
      <c r="N606" s="8" t="n">
        <v>5.33</v>
      </c>
      <c r="O606" s="8" t="n">
        <v>0.0700000000000003</v>
      </c>
      <c r="P606" s="8" t="n">
        <v>83.7233333333333</v>
      </c>
      <c r="Q606" s="8" t="n">
        <v>-5.45789889712802</v>
      </c>
      <c r="R606" s="10" t="n">
        <v>1</v>
      </c>
      <c r="S606" s="7" t="inlineStr">
        <is>
          <t>Minor_Imputation_1Var</t>
        </is>
      </c>
    </row>
    <row r="607" ht="19" customHeight="1">
      <c r="A607" s="6" t="inlineStr">
        <is>
          <t>Vietnam</t>
        </is>
      </c>
      <c r="B607" s="10" t="n">
        <v>2024</v>
      </c>
      <c r="C607" s="10" t="n">
        <v>1</v>
      </c>
      <c r="D607" s="6" t="inlineStr">
        <is>
          <t>2024 Q1</t>
        </is>
      </c>
      <c r="E607" s="11" t="n">
        <v>114.843033333333</v>
      </c>
      <c r="F607" s="12" t="n">
        <v>3.77266879857061</v>
      </c>
      <c r="G607" s="10" t="n">
        <v>1.08787182964449</v>
      </c>
      <c r="H607" s="8" t="n">
        <v>5.91358827675437</v>
      </c>
      <c r="I607" s="11" t="n">
        <v>7.67768057596597</v>
      </c>
      <c r="J607" s="11" t="n">
        <v>152.426795833648</v>
      </c>
      <c r="K607" s="8" t="n">
        <v>0.0100983665883625</v>
      </c>
      <c r="L607" s="8" t="n">
        <v>102.582568583479</v>
      </c>
      <c r="M607" s="8" t="n">
        <v>-10.0426641936497</v>
      </c>
      <c r="N607" s="8" t="n">
        <v>5.33</v>
      </c>
      <c r="O607" s="8" t="n">
        <v>0</v>
      </c>
      <c r="P607" s="8" t="n">
        <v>83.0033333333333</v>
      </c>
      <c r="Q607" s="8" t="n">
        <v>2.25443495400788</v>
      </c>
      <c r="R607" s="10" t="n">
        <v>1</v>
      </c>
      <c r="S607" s="7" t="inlineStr">
        <is>
          <t>Minor_Imputation_1Var</t>
        </is>
      </c>
    </row>
    <row r="608" ht="19" customHeight="1">
      <c r="A608" s="6" t="inlineStr">
        <is>
          <t>Vietnam</t>
        </is>
      </c>
      <c r="B608" s="10" t="n">
        <v>2024</v>
      </c>
      <c r="C608" s="10" t="n">
        <v>2</v>
      </c>
      <c r="D608" s="6" t="inlineStr">
        <is>
          <t>2024 Q2</t>
        </is>
      </c>
      <c r="E608" s="11" t="n">
        <v>115.242466666667</v>
      </c>
      <c r="F608" s="12" t="n">
        <v>4.39496033034144</v>
      </c>
      <c r="G608" s="10" t="n">
        <v>0.347808066140143</v>
      </c>
      <c r="H608" s="8" t="n">
        <v>6.85699260962352</v>
      </c>
      <c r="I608" s="11" t="n">
        <v>7.67768057596597</v>
      </c>
      <c r="J608" s="11" t="n">
        <v>150.537819680466</v>
      </c>
      <c r="K608" s="8" t="n">
        <v>-1.75493445187006</v>
      </c>
      <c r="L608" s="8" t="n">
        <v>104.519793640698</v>
      </c>
      <c r="M608" s="8" t="n">
        <v>-4.85900567371084</v>
      </c>
      <c r="N608" s="8" t="n">
        <v>5.33</v>
      </c>
      <c r="O608" s="8" t="n">
        <v>0</v>
      </c>
      <c r="P608" s="8" t="n">
        <v>84.6466666666667</v>
      </c>
      <c r="Q608" s="8" t="n">
        <v>8.082570759736109</v>
      </c>
      <c r="R608" s="10" t="n">
        <v>1</v>
      </c>
      <c r="S608" s="7" t="inlineStr">
        <is>
          <t>Minor_Imputation_1Var</t>
        </is>
      </c>
    </row>
    <row r="609" ht="19" customHeight="1">
      <c r="A609" s="6" t="inlineStr">
        <is>
          <t>Vietnam</t>
        </is>
      </c>
      <c r="B609" s="10" t="n">
        <v>2024</v>
      </c>
      <c r="C609" s="10" t="n">
        <v>3</v>
      </c>
      <c r="D609" s="6" t="inlineStr">
        <is>
          <t>2024 Q3</t>
        </is>
      </c>
      <c r="E609" s="11" t="n">
        <v>116.045433333333</v>
      </c>
      <c r="F609" s="12" t="n">
        <v>3.47418245045661</v>
      </c>
      <c r="G609" s="10" t="n">
        <v>0.696762825277952</v>
      </c>
      <c r="H609" s="8" t="n">
        <v>7.51125397410058</v>
      </c>
      <c r="I609" s="11" t="n">
        <v>7.67768057596597</v>
      </c>
      <c r="J609" s="11" t="n">
        <v>149.463125537497</v>
      </c>
      <c r="K609" s="8" t="n">
        <v>-2.9304533063572</v>
      </c>
      <c r="L609" s="8" t="n">
        <v>106.377099329068</v>
      </c>
      <c r="M609" s="8" t="n">
        <v>-1.05432906250624</v>
      </c>
      <c r="N609" s="8" t="n">
        <v>5.26333333333333</v>
      </c>
      <c r="O609" s="8" t="n">
        <v>-0.0666666666666664</v>
      </c>
      <c r="P609" s="8" t="n">
        <v>79.84333333333331</v>
      </c>
      <c r="Q609" s="8" t="n">
        <v>-7.86598969151473</v>
      </c>
      <c r="R609" s="10" t="n">
        <v>1</v>
      </c>
      <c r="S609" s="7" t="inlineStr">
        <is>
          <t>Minor_Imputation_1Var</t>
        </is>
      </c>
    </row>
    <row r="610" ht="19" customHeight="1">
      <c r="A610" s="6" t="inlineStr">
        <is>
          <t>Vietnam</t>
        </is>
      </c>
      <c r="B610" s="10" t="n">
        <v>2024</v>
      </c>
      <c r="C610" s="10" t="n">
        <v>4</v>
      </c>
      <c r="D610" s="6" t="inlineStr">
        <is>
          <t>2024 Q4</t>
        </is>
      </c>
      <c r="E610" s="11" t="n">
        <v>116.8637</v>
      </c>
      <c r="F610" s="12" t="n">
        <v>2.86651601102512</v>
      </c>
      <c r="G610" s="10" t="n">
        <v>0.705126124451816</v>
      </c>
      <c r="H610" s="8" t="n">
        <v>7.87637302444645</v>
      </c>
      <c r="I610" s="11" t="n">
        <v>7.67768057596597</v>
      </c>
      <c r="J610" s="11" t="n">
        <v>150.753487483309</v>
      </c>
      <c r="K610" s="8" t="n">
        <v>-2.07088256885201</v>
      </c>
      <c r="L610" s="8" t="n">
        <v>110.645361455409</v>
      </c>
      <c r="M610" s="8" t="n">
        <v>5.03688161035707</v>
      </c>
      <c r="N610" s="8" t="n">
        <v>4.65</v>
      </c>
      <c r="O610" s="8" t="n">
        <v>-0.613333333333333</v>
      </c>
      <c r="P610" s="8" t="n">
        <v>74.6133333333333</v>
      </c>
      <c r="Q610" s="8" t="n">
        <v>-10.8810765616913</v>
      </c>
      <c r="R610" s="10" t="n">
        <v>1</v>
      </c>
      <c r="S610" s="7" t="inlineStr">
        <is>
          <t>Minor_Imputation_1Var</t>
        </is>
      </c>
    </row>
    <row r="611" ht="19" customHeight="1">
      <c r="A611" s="6" t="inlineStr">
        <is>
          <t>Vietnam</t>
        </is>
      </c>
      <c r="B611" s="10" t="n">
        <v>2025</v>
      </c>
      <c r="C611" s="10" t="n">
        <v>1</v>
      </c>
      <c r="D611" s="6" t="inlineStr">
        <is>
          <t>2025 Q1</t>
        </is>
      </c>
      <c r="E611" s="11" t="n">
        <v>118.542866666667</v>
      </c>
      <c r="F611" s="12" t="n">
        <v>3.22164368699189</v>
      </c>
      <c r="G611" s="10" t="n">
        <v>1.43685906459121</v>
      </c>
      <c r="H611" s="8" t="n">
        <v>7.95235012581628</v>
      </c>
      <c r="I611" s="11" t="n">
        <v>7.67768057596597</v>
      </c>
      <c r="J611" s="11" t="n">
        <v>152.425439996551</v>
      </c>
      <c r="K611" s="8" t="n">
        <v>-0.0008895004908082</v>
      </c>
      <c r="L611" s="8" t="n">
        <v>108.711496383905</v>
      </c>
      <c r="M611" s="8" t="n">
        <v>5.97462891118643</v>
      </c>
      <c r="N611" s="8" t="n">
        <v>4.33</v>
      </c>
      <c r="O611" s="8" t="n">
        <v>-0.32</v>
      </c>
      <c r="P611" s="8" t="n">
        <v>75.8133333333333</v>
      </c>
      <c r="Q611" s="8" t="n">
        <v>-8.662302718766311</v>
      </c>
      <c r="R611" s="10" t="n">
        <v>1</v>
      </c>
      <c r="S611" s="7" t="inlineStr">
        <is>
          <t>Minor_Imputation_1Var</t>
        </is>
      </c>
    </row>
  </sheetData>
  <autoFilter ref="A1:S61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1" customWidth="1" min="4" max="4"/>
    <col width="11" customWidth="1" min="5" max="5"/>
    <col width="17" customWidth="1" min="6" max="6"/>
    <col width="16" customWidth="1" min="7" max="7"/>
    <col width="38" customWidth="1" min="8" max="8"/>
    <col width="15" customWidth="1" min="9" max="9"/>
    <col width="13" customWidth="1" min="10" max="10"/>
    <col width="18" customWidth="1" min="11" max="11"/>
    <col width="38" customWidth="1" min="12" max="12"/>
    <col width="26" customWidth="1" min="13" max="13"/>
  </cols>
  <sheetData>
    <row r="1" ht="26" customHeight="1">
      <c r="A1" s="5" t="inlineStr">
        <is>
          <t>country</t>
        </is>
      </c>
      <c r="B1" s="5" t="inlineStr">
        <is>
          <t>variable</t>
        </is>
      </c>
      <c r="C1" s="5" t="inlineStr">
        <is>
          <t>period</t>
        </is>
      </c>
      <c r="D1" s="5" t="inlineStr">
        <is>
          <t>year</t>
        </is>
      </c>
      <c r="E1" s="5" t="inlineStr">
        <is>
          <t>quarter</t>
        </is>
      </c>
      <c r="F1" s="5" t="inlineStr">
        <is>
          <t>original_value</t>
        </is>
      </c>
      <c r="G1" s="5" t="inlineStr">
        <is>
          <t>imputed_value</t>
        </is>
      </c>
      <c r="H1" s="5" t="inlineStr">
        <is>
          <t>imputation_method</t>
        </is>
      </c>
      <c r="I1" s="5" t="inlineStr">
        <is>
          <t>missing_type</t>
        </is>
      </c>
      <c r="J1" s="5" t="inlineStr">
        <is>
          <t>is_imputed</t>
        </is>
      </c>
      <c r="K1" s="5" t="inlineStr">
        <is>
          <t>is_extrapolated</t>
        </is>
      </c>
      <c r="L1" s="5" t="inlineStr">
        <is>
          <t>reason</t>
        </is>
      </c>
      <c r="M1" s="5" t="inlineStr">
        <is>
          <t>source_sheet</t>
        </is>
      </c>
    </row>
    <row r="2" ht="19" customHeight="1">
      <c r="A2" s="6" t="inlineStr">
        <is>
          <t>Cambodia</t>
        </is>
      </c>
      <c r="B2" s="6" t="inlineStr">
        <is>
          <t>hcpi_q</t>
        </is>
      </c>
      <c r="C2" s="6" t="inlineStr">
        <is>
          <t>2024 Q3</t>
        </is>
      </c>
      <c r="D2" s="10" t="n">
        <v>2024</v>
      </c>
      <c r="E2" s="10" t="n">
        <v>3</v>
      </c>
      <c r="F2" s="9" t="inlineStr"/>
      <c r="G2" s="8" t="n">
        <v>203.4291</v>
      </c>
      <c r="H2" s="7" t="inlineStr">
        <is>
          <t>Trailing Geometric Growth Extrapolation</t>
        </is>
      </c>
      <c r="I2" s="7" t="inlineStr">
        <is>
          <t>tail_missing</t>
        </is>
      </c>
      <c r="J2" s="8" t="b">
        <v>1</v>
      </c>
      <c r="K2" s="8" t="b">
        <v>1</v>
      </c>
      <c r="L2" s="7" t="inlineStr">
        <is>
          <t>Data bulanan HCPI di akhir sampel belum dilaporkan</t>
        </is>
      </c>
      <c r="M2" s="7" t="inlineStr">
        <is>
          <t>Inflasi Cleaned (kurang</t>
        </is>
      </c>
    </row>
    <row r="3" ht="19" customHeight="1">
      <c r="A3" s="6" t="inlineStr">
        <is>
          <t>Cambodia</t>
        </is>
      </c>
      <c r="B3" s="6" t="inlineStr">
        <is>
          <t>hcpi_q</t>
        </is>
      </c>
      <c r="C3" s="6" t="inlineStr">
        <is>
          <t>2024 Q4</t>
        </is>
      </c>
      <c r="D3" s="10" t="n">
        <v>2024</v>
      </c>
      <c r="E3" s="10" t="n">
        <v>4</v>
      </c>
      <c r="F3" s="9" t="inlineStr"/>
      <c r="G3" s="8" t="n">
        <v>203.8465</v>
      </c>
      <c r="H3" s="7" t="inlineStr">
        <is>
          <t>Trailing Geometric Growth Extrapolation</t>
        </is>
      </c>
      <c r="I3" s="7" t="inlineStr">
        <is>
          <t>tail_missing</t>
        </is>
      </c>
      <c r="J3" s="8" t="b">
        <v>1</v>
      </c>
      <c r="K3" s="8" t="b">
        <v>1</v>
      </c>
      <c r="L3" s="7" t="inlineStr">
        <is>
          <t>Data bulanan HCPI di akhir sampel belum dilaporkan</t>
        </is>
      </c>
      <c r="M3" s="7" t="inlineStr">
        <is>
          <t>Inflasi Cleaned (kurang</t>
        </is>
      </c>
    </row>
    <row r="4" ht="19" customHeight="1">
      <c r="A4" s="6" t="inlineStr">
        <is>
          <t>Cambodia</t>
        </is>
      </c>
      <c r="B4" s="6" t="inlineStr">
        <is>
          <t>hcpi_q</t>
        </is>
      </c>
      <c r="C4" s="6" t="inlineStr">
        <is>
          <t>2025 Q1</t>
        </is>
      </c>
      <c r="D4" s="10" t="n">
        <v>2025</v>
      </c>
      <c r="E4" s="10" t="n">
        <v>1</v>
      </c>
      <c r="F4" s="9" t="inlineStr"/>
      <c r="G4" s="8" t="n">
        <v>204.2646</v>
      </c>
      <c r="H4" s="7" t="inlineStr">
        <is>
          <t>Trailing Geometric Growth Extrapolation</t>
        </is>
      </c>
      <c r="I4" s="7" t="inlineStr">
        <is>
          <t>tail_missing</t>
        </is>
      </c>
      <c r="J4" s="8" t="b">
        <v>1</v>
      </c>
      <c r="K4" s="8" t="b">
        <v>1</v>
      </c>
      <c r="L4" s="7" t="inlineStr">
        <is>
          <t>Data bulanan HCPI di akhir sampel belum dilaporkan</t>
        </is>
      </c>
      <c r="M4" s="7" t="inlineStr">
        <is>
          <t>Inflasi Cleaned (kurang</t>
        </is>
      </c>
    </row>
    <row r="5" ht="19" customHeight="1">
      <c r="A5" s="6" t="inlineStr">
        <is>
          <t>Cambodia</t>
        </is>
      </c>
      <c r="B5" s="7" t="inlineStr">
        <is>
          <t>inflation_yoy</t>
        </is>
      </c>
      <c r="C5" s="6" t="inlineStr">
        <is>
          <t>2024 Q3</t>
        </is>
      </c>
      <c r="D5" s="10" t="n">
        <v>2024</v>
      </c>
      <c r="E5" s="10" t="n">
        <v>3</v>
      </c>
      <c r="F5" s="9" t="inlineStr"/>
      <c r="G5" s="8" t="n">
        <v>-0.3757</v>
      </c>
      <c r="H5" s="7" t="inlineStr">
        <is>
          <t>Derived from Imputed HCPI</t>
        </is>
      </c>
      <c r="I5" s="7" t="inlineStr">
        <is>
          <t>tail_missing</t>
        </is>
      </c>
      <c r="J5" s="8" t="b">
        <v>1</v>
      </c>
      <c r="K5" s="8" t="b">
        <v>1</v>
      </c>
      <c r="L5" s="7" t="inlineStr">
        <is>
          <t>Ditranslasikan dari indeks harga HCPI terimputasi</t>
        </is>
      </c>
      <c r="M5" s="7" t="inlineStr">
        <is>
          <t>Inflasi Cleaned (kurang</t>
        </is>
      </c>
    </row>
    <row r="6" ht="19" customHeight="1">
      <c r="A6" s="6" t="inlineStr">
        <is>
          <t>Cambodia</t>
        </is>
      </c>
      <c r="B6" s="7" t="inlineStr">
        <is>
          <t>inflation_yoy</t>
        </is>
      </c>
      <c r="C6" s="6" t="inlineStr">
        <is>
          <t>2024 Q4</t>
        </is>
      </c>
      <c r="D6" s="10" t="n">
        <v>2024</v>
      </c>
      <c r="E6" s="10" t="n">
        <v>4</v>
      </c>
      <c r="F6" s="9" t="inlineStr"/>
      <c r="G6" s="8" t="n">
        <v>0.021</v>
      </c>
      <c r="H6" s="7" t="inlineStr">
        <is>
          <t>Derived from Imputed HCPI</t>
        </is>
      </c>
      <c r="I6" s="7" t="inlineStr">
        <is>
          <t>tail_missing</t>
        </is>
      </c>
      <c r="J6" s="8" t="b">
        <v>1</v>
      </c>
      <c r="K6" s="8" t="b">
        <v>1</v>
      </c>
      <c r="L6" s="7" t="inlineStr">
        <is>
          <t>Ditranslasikan dari indeks harga HCPI terimputasi</t>
        </is>
      </c>
      <c r="M6" s="7" t="inlineStr">
        <is>
          <t>Inflasi Cleaned (kurang</t>
        </is>
      </c>
    </row>
    <row r="7" ht="19" customHeight="1">
      <c r="A7" s="6" t="inlineStr">
        <is>
          <t>Cambodia</t>
        </is>
      </c>
      <c r="B7" s="7" t="inlineStr">
        <is>
          <t>inflation_yoy</t>
        </is>
      </c>
      <c r="C7" s="6" t="inlineStr">
        <is>
          <t>2025 Q1</t>
        </is>
      </c>
      <c r="D7" s="10" t="n">
        <v>2025</v>
      </c>
      <c r="E7" s="10" t="n">
        <v>1</v>
      </c>
      <c r="F7" s="9" t="inlineStr"/>
      <c r="G7" s="8" t="n">
        <v>2.6512</v>
      </c>
      <c r="H7" s="7" t="inlineStr">
        <is>
          <t>Derived from Imputed HCPI</t>
        </is>
      </c>
      <c r="I7" s="7" t="inlineStr">
        <is>
          <t>tail_missing</t>
        </is>
      </c>
      <c r="J7" s="8" t="b">
        <v>1</v>
      </c>
      <c r="K7" s="8" t="b">
        <v>1</v>
      </c>
      <c r="L7" s="7" t="inlineStr">
        <is>
          <t>Ditranslasikan dari indeks harga HCPI terimputasi</t>
        </is>
      </c>
      <c r="M7" s="7" t="inlineStr">
        <is>
          <t>Inflasi Cleaned (kurang</t>
        </is>
      </c>
    </row>
    <row r="8" ht="19" customHeight="1">
      <c r="A8" s="6" t="inlineStr">
        <is>
          <t>Myanmar</t>
        </is>
      </c>
      <c r="B8" s="6" t="inlineStr">
        <is>
          <t>hcpi_q</t>
        </is>
      </c>
      <c r="C8" s="6" t="inlineStr">
        <is>
          <t>2021 Q1</t>
        </is>
      </c>
      <c r="D8" s="10" t="n">
        <v>2021</v>
      </c>
      <c r="E8" s="10" t="n">
        <v>1</v>
      </c>
      <c r="F8" s="9" t="inlineStr"/>
      <c r="G8" s="8" t="n">
        <v>163.3443</v>
      </c>
      <c r="H8" s="7" t="inlineStr">
        <is>
          <t>Trailing Geometric Growth Extrapolation</t>
        </is>
      </c>
      <c r="I8" s="7" t="inlineStr">
        <is>
          <t>tail_missing</t>
        </is>
      </c>
      <c r="J8" s="8" t="b">
        <v>1</v>
      </c>
      <c r="K8" s="8" t="b">
        <v>1</v>
      </c>
      <c r="L8" s="7" t="inlineStr">
        <is>
          <t>Data bulanan HCPI di akhir sampel belum dilaporkan</t>
        </is>
      </c>
      <c r="M8" s="7" t="inlineStr">
        <is>
          <t>Inflasi Cleaned (kurang</t>
        </is>
      </c>
    </row>
    <row r="9" ht="19" customHeight="1">
      <c r="A9" s="6" t="inlineStr">
        <is>
          <t>Myanmar</t>
        </is>
      </c>
      <c r="B9" s="6" t="inlineStr">
        <is>
          <t>hcpi_q</t>
        </is>
      </c>
      <c r="C9" s="6" t="inlineStr">
        <is>
          <t>2021 Q2</t>
        </is>
      </c>
      <c r="D9" s="10" t="n">
        <v>2021</v>
      </c>
      <c r="E9" s="10" t="n">
        <v>2</v>
      </c>
      <c r="F9" s="9" t="inlineStr"/>
      <c r="G9" s="8" t="n">
        <v>163.7813</v>
      </c>
      <c r="H9" s="7" t="inlineStr">
        <is>
          <t>Trailing Geometric Growth Extrapolation</t>
        </is>
      </c>
      <c r="I9" s="7" t="inlineStr">
        <is>
          <t>tail_missing</t>
        </is>
      </c>
      <c r="J9" s="8" t="b">
        <v>1</v>
      </c>
      <c r="K9" s="8" t="b">
        <v>1</v>
      </c>
      <c r="L9" s="7" t="inlineStr">
        <is>
          <t>Data bulanan HCPI di akhir sampel belum dilaporkan</t>
        </is>
      </c>
      <c r="M9" s="7" t="inlineStr">
        <is>
          <t>Inflasi Cleaned (kurang</t>
        </is>
      </c>
    </row>
    <row r="10" ht="19" customHeight="1">
      <c r="A10" s="6" t="inlineStr">
        <is>
          <t>Myanmar</t>
        </is>
      </c>
      <c r="B10" s="6" t="inlineStr">
        <is>
          <t>hcpi_q</t>
        </is>
      </c>
      <c r="C10" s="6" t="inlineStr">
        <is>
          <t>2021 Q3</t>
        </is>
      </c>
      <c r="D10" s="10" t="n">
        <v>2021</v>
      </c>
      <c r="E10" s="10" t="n">
        <v>3</v>
      </c>
      <c r="F10" s="9" t="inlineStr"/>
      <c r="G10" s="8" t="n">
        <v>164.2195</v>
      </c>
      <c r="H10" s="7" t="inlineStr">
        <is>
          <t>Trailing Geometric Growth Extrapolation</t>
        </is>
      </c>
      <c r="I10" s="7" t="inlineStr">
        <is>
          <t>tail_missing</t>
        </is>
      </c>
      <c r="J10" s="8" t="b">
        <v>1</v>
      </c>
      <c r="K10" s="8" t="b">
        <v>1</v>
      </c>
      <c r="L10" s="7" t="inlineStr">
        <is>
          <t>Data bulanan HCPI di akhir sampel belum dilaporkan</t>
        </is>
      </c>
      <c r="M10" s="7" t="inlineStr">
        <is>
          <t>Inflasi Cleaned (kurang</t>
        </is>
      </c>
    </row>
    <row r="11" ht="19" customHeight="1">
      <c r="A11" s="6" t="inlineStr">
        <is>
          <t>Myanmar</t>
        </is>
      </c>
      <c r="B11" s="6" t="inlineStr">
        <is>
          <t>hcpi_q</t>
        </is>
      </c>
      <c r="C11" s="6" t="inlineStr">
        <is>
          <t>2021 Q4</t>
        </is>
      </c>
      <c r="D11" s="10" t="n">
        <v>2021</v>
      </c>
      <c r="E11" s="10" t="n">
        <v>4</v>
      </c>
      <c r="F11" s="9" t="inlineStr"/>
      <c r="G11" s="8" t="n">
        <v>164.6589</v>
      </c>
      <c r="H11" s="7" t="inlineStr">
        <is>
          <t>Trailing Geometric Growth Extrapolation</t>
        </is>
      </c>
      <c r="I11" s="7" t="inlineStr">
        <is>
          <t>tail_missing</t>
        </is>
      </c>
      <c r="J11" s="8" t="b">
        <v>1</v>
      </c>
      <c r="K11" s="8" t="b">
        <v>1</v>
      </c>
      <c r="L11" s="7" t="inlineStr">
        <is>
          <t>Data bulanan HCPI di akhir sampel belum dilaporkan</t>
        </is>
      </c>
      <c r="M11" s="7" t="inlineStr">
        <is>
          <t>Inflasi Cleaned (kurang</t>
        </is>
      </c>
    </row>
    <row r="12" ht="19" customHeight="1">
      <c r="A12" s="6" t="inlineStr">
        <is>
          <t>Myanmar</t>
        </is>
      </c>
      <c r="B12" s="6" t="inlineStr">
        <is>
          <t>hcpi_q</t>
        </is>
      </c>
      <c r="C12" s="6" t="inlineStr">
        <is>
          <t>2022 Q1</t>
        </is>
      </c>
      <c r="D12" s="10" t="n">
        <v>2022</v>
      </c>
      <c r="E12" s="10" t="n">
        <v>1</v>
      </c>
      <c r="F12" s="9" t="inlineStr"/>
      <c r="G12" s="8" t="n">
        <v>165.0995</v>
      </c>
      <c r="H12" s="7" t="inlineStr">
        <is>
          <t>Trailing Geometric Growth Extrapolation</t>
        </is>
      </c>
      <c r="I12" s="7" t="inlineStr">
        <is>
          <t>tail_missing</t>
        </is>
      </c>
      <c r="J12" s="8" t="b">
        <v>1</v>
      </c>
      <c r="K12" s="8" t="b">
        <v>1</v>
      </c>
      <c r="L12" s="7" t="inlineStr">
        <is>
          <t>Data bulanan HCPI di akhir sampel belum dilaporkan</t>
        </is>
      </c>
      <c r="M12" s="7" t="inlineStr">
        <is>
          <t>Inflasi Cleaned (kurang</t>
        </is>
      </c>
    </row>
    <row r="13" ht="19" customHeight="1">
      <c r="A13" s="6" t="inlineStr">
        <is>
          <t>Myanmar</t>
        </is>
      </c>
      <c r="B13" s="6" t="inlineStr">
        <is>
          <t>hcpi_q</t>
        </is>
      </c>
      <c r="C13" s="6" t="inlineStr">
        <is>
          <t>2022 Q2</t>
        </is>
      </c>
      <c r="D13" s="10" t="n">
        <v>2022</v>
      </c>
      <c r="E13" s="10" t="n">
        <v>2</v>
      </c>
      <c r="F13" s="9" t="inlineStr"/>
      <c r="G13" s="8" t="n">
        <v>165.5413</v>
      </c>
      <c r="H13" s="7" t="inlineStr">
        <is>
          <t>Trailing Geometric Growth Extrapolation</t>
        </is>
      </c>
      <c r="I13" s="7" t="inlineStr">
        <is>
          <t>tail_missing</t>
        </is>
      </c>
      <c r="J13" s="8" t="b">
        <v>1</v>
      </c>
      <c r="K13" s="8" t="b">
        <v>1</v>
      </c>
      <c r="L13" s="7" t="inlineStr">
        <is>
          <t>Data bulanan HCPI di akhir sampel belum dilaporkan</t>
        </is>
      </c>
      <c r="M13" s="7" t="inlineStr">
        <is>
          <t>Inflasi Cleaned (kurang</t>
        </is>
      </c>
    </row>
    <row r="14" ht="19" customHeight="1">
      <c r="A14" s="6" t="inlineStr">
        <is>
          <t>Myanmar</t>
        </is>
      </c>
      <c r="B14" s="6" t="inlineStr">
        <is>
          <t>hcpi_q</t>
        </is>
      </c>
      <c r="C14" s="6" t="inlineStr">
        <is>
          <t>2022 Q3</t>
        </is>
      </c>
      <c r="D14" s="10" t="n">
        <v>2022</v>
      </c>
      <c r="E14" s="10" t="n">
        <v>3</v>
      </c>
      <c r="F14" s="9" t="inlineStr"/>
      <c r="G14" s="8" t="n">
        <v>165.9842</v>
      </c>
      <c r="H14" s="7" t="inlineStr">
        <is>
          <t>Trailing Geometric Growth Extrapolation</t>
        </is>
      </c>
      <c r="I14" s="7" t="inlineStr">
        <is>
          <t>tail_missing</t>
        </is>
      </c>
      <c r="J14" s="8" t="b">
        <v>1</v>
      </c>
      <c r="K14" s="8" t="b">
        <v>1</v>
      </c>
      <c r="L14" s="7" t="inlineStr">
        <is>
          <t>Data bulanan HCPI di akhir sampel belum dilaporkan</t>
        </is>
      </c>
      <c r="M14" s="7" t="inlineStr">
        <is>
          <t>Inflasi Cleaned (kurang</t>
        </is>
      </c>
    </row>
    <row r="15" ht="19" customHeight="1">
      <c r="A15" s="6" t="inlineStr">
        <is>
          <t>Myanmar</t>
        </is>
      </c>
      <c r="B15" s="6" t="inlineStr">
        <is>
          <t>hcpi_q</t>
        </is>
      </c>
      <c r="C15" s="6" t="inlineStr">
        <is>
          <t>2022 Q4</t>
        </is>
      </c>
      <c r="D15" s="10" t="n">
        <v>2022</v>
      </c>
      <c r="E15" s="10" t="n">
        <v>4</v>
      </c>
      <c r="F15" s="9" t="inlineStr"/>
      <c r="G15" s="8" t="n">
        <v>166.4283</v>
      </c>
      <c r="H15" s="7" t="inlineStr">
        <is>
          <t>Trailing Geometric Growth Extrapolation</t>
        </is>
      </c>
      <c r="I15" s="7" t="inlineStr">
        <is>
          <t>tail_missing</t>
        </is>
      </c>
      <c r="J15" s="8" t="b">
        <v>1</v>
      </c>
      <c r="K15" s="8" t="b">
        <v>1</v>
      </c>
      <c r="L15" s="7" t="inlineStr">
        <is>
          <t>Data bulanan HCPI di akhir sampel belum dilaporkan</t>
        </is>
      </c>
      <c r="M15" s="7" t="inlineStr">
        <is>
          <t>Inflasi Cleaned (kurang</t>
        </is>
      </c>
    </row>
    <row r="16" ht="19" customHeight="1">
      <c r="A16" s="6" t="inlineStr">
        <is>
          <t>Myanmar</t>
        </is>
      </c>
      <c r="B16" s="6" t="inlineStr">
        <is>
          <t>hcpi_q</t>
        </is>
      </c>
      <c r="C16" s="6" t="inlineStr">
        <is>
          <t>2023 Q1</t>
        </is>
      </c>
      <c r="D16" s="10" t="n">
        <v>2023</v>
      </c>
      <c r="E16" s="10" t="n">
        <v>1</v>
      </c>
      <c r="F16" s="9" t="inlineStr"/>
      <c r="G16" s="8" t="n">
        <v>166.8736</v>
      </c>
      <c r="H16" s="7" t="inlineStr">
        <is>
          <t>Trailing Geometric Growth Extrapolation</t>
        </is>
      </c>
      <c r="I16" s="7" t="inlineStr">
        <is>
          <t>tail_missing</t>
        </is>
      </c>
      <c r="J16" s="8" t="b">
        <v>1</v>
      </c>
      <c r="K16" s="8" t="b">
        <v>1</v>
      </c>
      <c r="L16" s="7" t="inlineStr">
        <is>
          <t>Data bulanan HCPI di akhir sampel belum dilaporkan</t>
        </is>
      </c>
      <c r="M16" s="7" t="inlineStr">
        <is>
          <t>Inflasi Cleaned (kurang</t>
        </is>
      </c>
    </row>
    <row r="17" ht="19" customHeight="1">
      <c r="A17" s="6" t="inlineStr">
        <is>
          <t>Myanmar</t>
        </is>
      </c>
      <c r="B17" s="6" t="inlineStr">
        <is>
          <t>hcpi_q</t>
        </is>
      </c>
      <c r="C17" s="6" t="inlineStr">
        <is>
          <t>2023 Q2</t>
        </is>
      </c>
      <c r="D17" s="10" t="n">
        <v>2023</v>
      </c>
      <c r="E17" s="10" t="n">
        <v>2</v>
      </c>
      <c r="F17" s="9" t="inlineStr"/>
      <c r="G17" s="8" t="n">
        <v>167.3201</v>
      </c>
      <c r="H17" s="7" t="inlineStr">
        <is>
          <t>Trailing Geometric Growth Extrapolation</t>
        </is>
      </c>
      <c r="I17" s="7" t="inlineStr">
        <is>
          <t>tail_missing</t>
        </is>
      </c>
      <c r="J17" s="8" t="b">
        <v>1</v>
      </c>
      <c r="K17" s="8" t="b">
        <v>1</v>
      </c>
      <c r="L17" s="7" t="inlineStr">
        <is>
          <t>Data bulanan HCPI di akhir sampel belum dilaporkan</t>
        </is>
      </c>
      <c r="M17" s="7" t="inlineStr">
        <is>
          <t>Inflasi Cleaned (kurang</t>
        </is>
      </c>
    </row>
    <row r="18" ht="19" customHeight="1">
      <c r="A18" s="6" t="inlineStr">
        <is>
          <t>Myanmar</t>
        </is>
      </c>
      <c r="B18" s="6" t="inlineStr">
        <is>
          <t>hcpi_q</t>
        </is>
      </c>
      <c r="C18" s="6" t="inlineStr">
        <is>
          <t>2023 Q3</t>
        </is>
      </c>
      <c r="D18" s="10" t="n">
        <v>2023</v>
      </c>
      <c r="E18" s="10" t="n">
        <v>3</v>
      </c>
      <c r="F18" s="9" t="inlineStr"/>
      <c r="G18" s="8" t="n">
        <v>167.7678</v>
      </c>
      <c r="H18" s="7" t="inlineStr">
        <is>
          <t>Trailing Geometric Growth Extrapolation</t>
        </is>
      </c>
      <c r="I18" s="7" t="inlineStr">
        <is>
          <t>tail_missing</t>
        </is>
      </c>
      <c r="J18" s="8" t="b">
        <v>1</v>
      </c>
      <c r="K18" s="8" t="b">
        <v>1</v>
      </c>
      <c r="L18" s="7" t="inlineStr">
        <is>
          <t>Data bulanan HCPI di akhir sampel belum dilaporkan</t>
        </is>
      </c>
      <c r="M18" s="7" t="inlineStr">
        <is>
          <t>Inflasi Cleaned (kurang</t>
        </is>
      </c>
    </row>
    <row r="19" ht="19" customHeight="1">
      <c r="A19" s="6" t="inlineStr">
        <is>
          <t>Myanmar</t>
        </is>
      </c>
      <c r="B19" s="6" t="inlineStr">
        <is>
          <t>hcpi_q</t>
        </is>
      </c>
      <c r="C19" s="6" t="inlineStr">
        <is>
          <t>2023 Q4</t>
        </is>
      </c>
      <c r="D19" s="10" t="n">
        <v>2023</v>
      </c>
      <c r="E19" s="10" t="n">
        <v>4</v>
      </c>
      <c r="F19" s="9" t="inlineStr"/>
      <c r="G19" s="8" t="n">
        <v>168.2167</v>
      </c>
      <c r="H19" s="7" t="inlineStr">
        <is>
          <t>Trailing Geometric Growth Extrapolation</t>
        </is>
      </c>
      <c r="I19" s="7" t="inlineStr">
        <is>
          <t>tail_missing</t>
        </is>
      </c>
      <c r="J19" s="8" t="b">
        <v>1</v>
      </c>
      <c r="K19" s="8" t="b">
        <v>1</v>
      </c>
      <c r="L19" s="7" t="inlineStr">
        <is>
          <t>Data bulanan HCPI di akhir sampel belum dilaporkan</t>
        </is>
      </c>
      <c r="M19" s="7" t="inlineStr">
        <is>
          <t>Inflasi Cleaned (kurang</t>
        </is>
      </c>
    </row>
    <row r="20" ht="19" customHeight="1">
      <c r="A20" s="6" t="inlineStr">
        <is>
          <t>Myanmar</t>
        </is>
      </c>
      <c r="B20" s="6" t="inlineStr">
        <is>
          <t>hcpi_q</t>
        </is>
      </c>
      <c r="C20" s="6" t="inlineStr">
        <is>
          <t>2024 Q1</t>
        </is>
      </c>
      <c r="D20" s="10" t="n">
        <v>2024</v>
      </c>
      <c r="E20" s="10" t="n">
        <v>1</v>
      </c>
      <c r="F20" s="9" t="inlineStr"/>
      <c r="G20" s="8" t="n">
        <v>168.6668</v>
      </c>
      <c r="H20" s="7" t="inlineStr">
        <is>
          <t>Trailing Geometric Growth Extrapolation</t>
        </is>
      </c>
      <c r="I20" s="7" t="inlineStr">
        <is>
          <t>tail_missing</t>
        </is>
      </c>
      <c r="J20" s="8" t="b">
        <v>1</v>
      </c>
      <c r="K20" s="8" t="b">
        <v>1</v>
      </c>
      <c r="L20" s="7" t="inlineStr">
        <is>
          <t>Data bulanan HCPI di akhir sampel belum dilaporkan</t>
        </is>
      </c>
      <c r="M20" s="7" t="inlineStr">
        <is>
          <t>Inflasi Cleaned (kurang</t>
        </is>
      </c>
    </row>
    <row r="21" ht="19" customHeight="1">
      <c r="A21" s="6" t="inlineStr">
        <is>
          <t>Myanmar</t>
        </is>
      </c>
      <c r="B21" s="6" t="inlineStr">
        <is>
          <t>hcpi_q</t>
        </is>
      </c>
      <c r="C21" s="6" t="inlineStr">
        <is>
          <t>2024 Q2</t>
        </is>
      </c>
      <c r="D21" s="10" t="n">
        <v>2024</v>
      </c>
      <c r="E21" s="10" t="n">
        <v>2</v>
      </c>
      <c r="F21" s="9" t="inlineStr"/>
      <c r="G21" s="8" t="n">
        <v>169.1181</v>
      </c>
      <c r="H21" s="7" t="inlineStr">
        <is>
          <t>Trailing Geometric Growth Extrapolation</t>
        </is>
      </c>
      <c r="I21" s="7" t="inlineStr">
        <is>
          <t>tail_missing</t>
        </is>
      </c>
      <c r="J21" s="8" t="b">
        <v>1</v>
      </c>
      <c r="K21" s="8" t="b">
        <v>1</v>
      </c>
      <c r="L21" s="7" t="inlineStr">
        <is>
          <t>Data bulanan HCPI di akhir sampel belum dilaporkan</t>
        </is>
      </c>
      <c r="M21" s="7" t="inlineStr">
        <is>
          <t>Inflasi Cleaned (kurang</t>
        </is>
      </c>
    </row>
    <row r="22" ht="19" customHeight="1">
      <c r="A22" s="6" t="inlineStr">
        <is>
          <t>Myanmar</t>
        </is>
      </c>
      <c r="B22" s="6" t="inlineStr">
        <is>
          <t>hcpi_q</t>
        </is>
      </c>
      <c r="C22" s="6" t="inlineStr">
        <is>
          <t>2024 Q3</t>
        </is>
      </c>
      <c r="D22" s="10" t="n">
        <v>2024</v>
      </c>
      <c r="E22" s="10" t="n">
        <v>3</v>
      </c>
      <c r="F22" s="9" t="inlineStr"/>
      <c r="G22" s="8" t="n">
        <v>169.5706</v>
      </c>
      <c r="H22" s="7" t="inlineStr">
        <is>
          <t>Trailing Geometric Growth Extrapolation</t>
        </is>
      </c>
      <c r="I22" s="7" t="inlineStr">
        <is>
          <t>tail_missing</t>
        </is>
      </c>
      <c r="J22" s="8" t="b">
        <v>1</v>
      </c>
      <c r="K22" s="8" t="b">
        <v>1</v>
      </c>
      <c r="L22" s="7" t="inlineStr">
        <is>
          <t>Data bulanan HCPI di akhir sampel belum dilaporkan</t>
        </is>
      </c>
      <c r="M22" s="7" t="inlineStr">
        <is>
          <t>Inflasi Cleaned (kurang</t>
        </is>
      </c>
    </row>
    <row r="23" ht="19" customHeight="1">
      <c r="A23" s="6" t="inlineStr">
        <is>
          <t>Myanmar</t>
        </is>
      </c>
      <c r="B23" s="6" t="inlineStr">
        <is>
          <t>hcpi_q</t>
        </is>
      </c>
      <c r="C23" s="6" t="inlineStr">
        <is>
          <t>2024 Q4</t>
        </is>
      </c>
      <c r="D23" s="10" t="n">
        <v>2024</v>
      </c>
      <c r="E23" s="10" t="n">
        <v>4</v>
      </c>
      <c r="F23" s="9" t="inlineStr"/>
      <c r="G23" s="8" t="n">
        <v>170.0243</v>
      </c>
      <c r="H23" s="7" t="inlineStr">
        <is>
          <t>Trailing Geometric Growth Extrapolation</t>
        </is>
      </c>
      <c r="I23" s="7" t="inlineStr">
        <is>
          <t>tail_missing</t>
        </is>
      </c>
      <c r="J23" s="8" t="b">
        <v>1</v>
      </c>
      <c r="K23" s="8" t="b">
        <v>1</v>
      </c>
      <c r="L23" s="7" t="inlineStr">
        <is>
          <t>Data bulanan HCPI di akhir sampel belum dilaporkan</t>
        </is>
      </c>
      <c r="M23" s="7" t="inlineStr">
        <is>
          <t>Inflasi Cleaned (kurang</t>
        </is>
      </c>
    </row>
    <row r="24" ht="19" customHeight="1">
      <c r="A24" s="6" t="inlineStr">
        <is>
          <t>Myanmar</t>
        </is>
      </c>
      <c r="B24" s="6" t="inlineStr">
        <is>
          <t>hcpi_q</t>
        </is>
      </c>
      <c r="C24" s="6" t="inlineStr">
        <is>
          <t>2025 Q1</t>
        </is>
      </c>
      <c r="D24" s="10" t="n">
        <v>2025</v>
      </c>
      <c r="E24" s="10" t="n">
        <v>1</v>
      </c>
      <c r="F24" s="9" t="inlineStr"/>
      <c r="G24" s="8" t="n">
        <v>170.4792</v>
      </c>
      <c r="H24" s="7" t="inlineStr">
        <is>
          <t>Trailing Geometric Growth Extrapolation</t>
        </is>
      </c>
      <c r="I24" s="7" t="inlineStr">
        <is>
          <t>tail_missing</t>
        </is>
      </c>
      <c r="J24" s="8" t="b">
        <v>1</v>
      </c>
      <c r="K24" s="8" t="b">
        <v>1</v>
      </c>
      <c r="L24" s="7" t="inlineStr">
        <is>
          <t>Data bulanan HCPI di akhir sampel belum dilaporkan</t>
        </is>
      </c>
      <c r="M24" s="7" t="inlineStr">
        <is>
          <t>Inflasi Cleaned (kurang</t>
        </is>
      </c>
    </row>
    <row r="25" ht="19" customHeight="1">
      <c r="A25" s="6" t="inlineStr">
        <is>
          <t>Myanmar</t>
        </is>
      </c>
      <c r="B25" s="7" t="inlineStr">
        <is>
          <t>inflation_yoy</t>
        </is>
      </c>
      <c r="C25" s="6" t="inlineStr">
        <is>
          <t>2021 Q1</t>
        </is>
      </c>
      <c r="D25" s="10" t="n">
        <v>2021</v>
      </c>
      <c r="E25" s="10" t="n">
        <v>1</v>
      </c>
      <c r="F25" s="9" t="inlineStr"/>
      <c r="G25" s="8" t="n">
        <v>1.5223</v>
      </c>
      <c r="H25" s="7" t="inlineStr">
        <is>
          <t>Derived from Imputed HCPI</t>
        </is>
      </c>
      <c r="I25" s="7" t="inlineStr">
        <is>
          <t>tail_missing</t>
        </is>
      </c>
      <c r="J25" s="8" t="b">
        <v>1</v>
      </c>
      <c r="K25" s="8" t="b">
        <v>1</v>
      </c>
      <c r="L25" s="7" t="inlineStr">
        <is>
          <t>Ditranslasikan dari indeks harga HCPI terimputasi</t>
        </is>
      </c>
      <c r="M25" s="7" t="inlineStr">
        <is>
          <t>Inflasi Cleaned (kurang</t>
        </is>
      </c>
    </row>
    <row r="26" ht="19" customHeight="1">
      <c r="A26" s="6" t="inlineStr">
        <is>
          <t>Myanmar</t>
        </is>
      </c>
      <c r="B26" s="7" t="inlineStr">
        <is>
          <t>inflation_yoy</t>
        </is>
      </c>
      <c r="C26" s="6" t="inlineStr">
        <is>
          <t>2021 Q2</t>
        </is>
      </c>
      <c r="D26" s="10" t="n">
        <v>2021</v>
      </c>
      <c r="E26" s="10" t="n">
        <v>2</v>
      </c>
      <c r="F26" s="9" t="inlineStr"/>
      <c r="G26" s="8" t="n">
        <v>2.1291</v>
      </c>
      <c r="H26" s="7" t="inlineStr">
        <is>
          <t>Derived from Imputed HCPI</t>
        </is>
      </c>
      <c r="I26" s="7" t="inlineStr">
        <is>
          <t>tail_missing</t>
        </is>
      </c>
      <c r="J26" s="8" t="b">
        <v>1</v>
      </c>
      <c r="K26" s="8" t="b">
        <v>1</v>
      </c>
      <c r="L26" s="7" t="inlineStr">
        <is>
          <t>Ditranslasikan dari indeks harga HCPI terimputasi</t>
        </is>
      </c>
      <c r="M26" s="7" t="inlineStr">
        <is>
          <t>Inflasi Cleaned (kurang</t>
        </is>
      </c>
    </row>
    <row r="27" ht="19" customHeight="1">
      <c r="A27" s="6" t="inlineStr">
        <is>
          <t>Myanmar</t>
        </is>
      </c>
      <c r="B27" s="7" t="inlineStr">
        <is>
          <t>inflation_yoy</t>
        </is>
      </c>
      <c r="C27" s="6" t="inlineStr">
        <is>
          <t>2021 Q3</t>
        </is>
      </c>
      <c r="D27" s="10" t="n">
        <v>2021</v>
      </c>
      <c r="E27" s="10" t="n">
        <v>3</v>
      </c>
      <c r="F27" s="9" t="inlineStr"/>
      <c r="G27" s="8" t="n">
        <v>1.3072</v>
      </c>
      <c r="H27" s="7" t="inlineStr">
        <is>
          <t>Derived from Imputed HCPI</t>
        </is>
      </c>
      <c r="I27" s="7" t="inlineStr">
        <is>
          <t>tail_missing</t>
        </is>
      </c>
      <c r="J27" s="8" t="b">
        <v>1</v>
      </c>
      <c r="K27" s="8" t="b">
        <v>1</v>
      </c>
      <c r="L27" s="7" t="inlineStr">
        <is>
          <t>Ditranslasikan dari indeks harga HCPI terimputasi</t>
        </is>
      </c>
      <c r="M27" s="7" t="inlineStr">
        <is>
          <t>Inflasi Cleaned (kurang</t>
        </is>
      </c>
    </row>
    <row r="28" ht="19" customHeight="1">
      <c r="A28" s="6" t="inlineStr">
        <is>
          <t>Myanmar</t>
        </is>
      </c>
      <c r="B28" s="7" t="inlineStr">
        <is>
          <t>inflation_yoy</t>
        </is>
      </c>
      <c r="C28" s="6" t="inlineStr">
        <is>
          <t>2021 Q4</t>
        </is>
      </c>
      <c r="D28" s="10" t="n">
        <v>2021</v>
      </c>
      <c r="E28" s="10" t="n">
        <v>4</v>
      </c>
      <c r="F28" s="9" t="inlineStr"/>
      <c r="G28" s="8" t="n">
        <v>1.0746</v>
      </c>
      <c r="H28" s="7" t="inlineStr">
        <is>
          <t>Derived from Imputed HCPI</t>
        </is>
      </c>
      <c r="I28" s="7" t="inlineStr">
        <is>
          <t>tail_missing</t>
        </is>
      </c>
      <c r="J28" s="8" t="b">
        <v>1</v>
      </c>
      <c r="K28" s="8" t="b">
        <v>1</v>
      </c>
      <c r="L28" s="7" t="inlineStr">
        <is>
          <t>Ditranslasikan dari indeks harga HCPI terimputasi</t>
        </is>
      </c>
      <c r="M28" s="7" t="inlineStr">
        <is>
          <t>Inflasi Cleaned (kurang</t>
        </is>
      </c>
    </row>
    <row r="29" ht="19" customHeight="1">
      <c r="A29" s="6" t="inlineStr">
        <is>
          <t>Myanmar</t>
        </is>
      </c>
      <c r="B29" s="7" t="inlineStr">
        <is>
          <t>inflation_yoy</t>
        </is>
      </c>
      <c r="C29" s="6" t="inlineStr">
        <is>
          <t>2022 Q1</t>
        </is>
      </c>
      <c r="D29" s="10" t="n">
        <v>2022</v>
      </c>
      <c r="E29" s="10" t="n">
        <v>1</v>
      </c>
      <c r="F29" s="9" t="inlineStr"/>
      <c r="G29" s="8" t="n">
        <v>1.0746</v>
      </c>
      <c r="H29" s="7" t="inlineStr">
        <is>
          <t>Derived from Imputed HCPI</t>
        </is>
      </c>
      <c r="I29" s="7" t="inlineStr">
        <is>
          <t>tail_missing</t>
        </is>
      </c>
      <c r="J29" s="8" t="b">
        <v>1</v>
      </c>
      <c r="K29" s="8" t="b">
        <v>1</v>
      </c>
      <c r="L29" s="7" t="inlineStr">
        <is>
          <t>Ditranslasikan dari indeks harga HCPI terimputasi</t>
        </is>
      </c>
      <c r="M29" s="7" t="inlineStr">
        <is>
          <t>Inflasi Cleaned (kurang</t>
        </is>
      </c>
    </row>
    <row r="30" ht="19" customHeight="1">
      <c r="A30" s="6" t="inlineStr">
        <is>
          <t>Myanmar</t>
        </is>
      </c>
      <c r="B30" s="7" t="inlineStr">
        <is>
          <t>inflation_yoy</t>
        </is>
      </c>
      <c r="C30" s="6" t="inlineStr">
        <is>
          <t>2022 Q2</t>
        </is>
      </c>
      <c r="D30" s="10" t="n">
        <v>2022</v>
      </c>
      <c r="E30" s="10" t="n">
        <v>2</v>
      </c>
      <c r="F30" s="9" t="inlineStr"/>
      <c r="G30" s="8" t="n">
        <v>1.0746</v>
      </c>
      <c r="H30" s="7" t="inlineStr">
        <is>
          <t>Derived from Imputed HCPI</t>
        </is>
      </c>
      <c r="I30" s="7" t="inlineStr">
        <is>
          <t>tail_missing</t>
        </is>
      </c>
      <c r="J30" s="8" t="b">
        <v>1</v>
      </c>
      <c r="K30" s="8" t="b">
        <v>1</v>
      </c>
      <c r="L30" s="7" t="inlineStr">
        <is>
          <t>Ditranslasikan dari indeks harga HCPI terimputasi</t>
        </is>
      </c>
      <c r="M30" s="7" t="inlineStr">
        <is>
          <t>Inflasi Cleaned (kurang</t>
        </is>
      </c>
    </row>
    <row r="31" ht="19" customHeight="1">
      <c r="A31" s="6" t="inlineStr">
        <is>
          <t>Myanmar</t>
        </is>
      </c>
      <c r="B31" s="7" t="inlineStr">
        <is>
          <t>inflation_yoy</t>
        </is>
      </c>
      <c r="C31" s="6" t="inlineStr">
        <is>
          <t>2022 Q3</t>
        </is>
      </c>
      <c r="D31" s="10" t="n">
        <v>2022</v>
      </c>
      <c r="E31" s="10" t="n">
        <v>3</v>
      </c>
      <c r="F31" s="9" t="inlineStr"/>
      <c r="G31" s="8" t="n">
        <v>1.0746</v>
      </c>
      <c r="H31" s="7" t="inlineStr">
        <is>
          <t>Derived from Imputed HCPI</t>
        </is>
      </c>
      <c r="I31" s="7" t="inlineStr">
        <is>
          <t>tail_missing</t>
        </is>
      </c>
      <c r="J31" s="8" t="b">
        <v>1</v>
      </c>
      <c r="K31" s="8" t="b">
        <v>1</v>
      </c>
      <c r="L31" s="7" t="inlineStr">
        <is>
          <t>Ditranslasikan dari indeks harga HCPI terimputasi</t>
        </is>
      </c>
      <c r="M31" s="7" t="inlineStr">
        <is>
          <t>Inflasi Cleaned (kurang</t>
        </is>
      </c>
    </row>
    <row r="32" ht="19" customHeight="1">
      <c r="A32" s="6" t="inlineStr">
        <is>
          <t>Myanmar</t>
        </is>
      </c>
      <c r="B32" s="7" t="inlineStr">
        <is>
          <t>inflation_yoy</t>
        </is>
      </c>
      <c r="C32" s="6" t="inlineStr">
        <is>
          <t>2022 Q4</t>
        </is>
      </c>
      <c r="D32" s="10" t="n">
        <v>2022</v>
      </c>
      <c r="E32" s="10" t="n">
        <v>4</v>
      </c>
      <c r="F32" s="9" t="inlineStr"/>
      <c r="G32" s="8" t="n">
        <v>1.0746</v>
      </c>
      <c r="H32" s="7" t="inlineStr">
        <is>
          <t>Derived from Imputed HCPI</t>
        </is>
      </c>
      <c r="I32" s="7" t="inlineStr">
        <is>
          <t>tail_missing</t>
        </is>
      </c>
      <c r="J32" s="8" t="b">
        <v>1</v>
      </c>
      <c r="K32" s="8" t="b">
        <v>1</v>
      </c>
      <c r="L32" s="7" t="inlineStr">
        <is>
          <t>Ditranslasikan dari indeks harga HCPI terimputasi</t>
        </is>
      </c>
      <c r="M32" s="7" t="inlineStr">
        <is>
          <t>Inflasi Cleaned (kurang</t>
        </is>
      </c>
    </row>
    <row r="33" ht="19" customHeight="1">
      <c r="A33" s="6" t="inlineStr">
        <is>
          <t>Myanmar</t>
        </is>
      </c>
      <c r="B33" s="7" t="inlineStr">
        <is>
          <t>inflation_yoy</t>
        </is>
      </c>
      <c r="C33" s="6" t="inlineStr">
        <is>
          <t>2023 Q1</t>
        </is>
      </c>
      <c r="D33" s="10" t="n">
        <v>2023</v>
      </c>
      <c r="E33" s="10" t="n">
        <v>1</v>
      </c>
      <c r="F33" s="9" t="inlineStr"/>
      <c r="G33" s="8" t="n">
        <v>1.0746</v>
      </c>
      <c r="H33" s="7" t="inlineStr">
        <is>
          <t>Derived from Imputed HCPI</t>
        </is>
      </c>
      <c r="I33" s="7" t="inlineStr">
        <is>
          <t>tail_missing</t>
        </is>
      </c>
      <c r="J33" s="8" t="b">
        <v>1</v>
      </c>
      <c r="K33" s="8" t="b">
        <v>1</v>
      </c>
      <c r="L33" s="7" t="inlineStr">
        <is>
          <t>Ditranslasikan dari indeks harga HCPI terimputasi</t>
        </is>
      </c>
      <c r="M33" s="7" t="inlineStr">
        <is>
          <t>Inflasi Cleaned (kurang</t>
        </is>
      </c>
    </row>
    <row r="34" ht="19" customHeight="1">
      <c r="A34" s="6" t="inlineStr">
        <is>
          <t>Myanmar</t>
        </is>
      </c>
      <c r="B34" s="7" t="inlineStr">
        <is>
          <t>inflation_yoy</t>
        </is>
      </c>
      <c r="C34" s="6" t="inlineStr">
        <is>
          <t>2023 Q2</t>
        </is>
      </c>
      <c r="D34" s="10" t="n">
        <v>2023</v>
      </c>
      <c r="E34" s="10" t="n">
        <v>2</v>
      </c>
      <c r="F34" s="9" t="inlineStr"/>
      <c r="G34" s="8" t="n">
        <v>1.0746</v>
      </c>
      <c r="H34" s="7" t="inlineStr">
        <is>
          <t>Derived from Imputed HCPI</t>
        </is>
      </c>
      <c r="I34" s="7" t="inlineStr">
        <is>
          <t>tail_missing</t>
        </is>
      </c>
      <c r="J34" s="8" t="b">
        <v>1</v>
      </c>
      <c r="K34" s="8" t="b">
        <v>1</v>
      </c>
      <c r="L34" s="7" t="inlineStr">
        <is>
          <t>Ditranslasikan dari indeks harga HCPI terimputasi</t>
        </is>
      </c>
      <c r="M34" s="7" t="inlineStr">
        <is>
          <t>Inflasi Cleaned (kurang</t>
        </is>
      </c>
    </row>
    <row r="35" ht="19" customHeight="1">
      <c r="A35" s="6" t="inlineStr">
        <is>
          <t>Myanmar</t>
        </is>
      </c>
      <c r="B35" s="7" t="inlineStr">
        <is>
          <t>inflation_yoy</t>
        </is>
      </c>
      <c r="C35" s="6" t="inlineStr">
        <is>
          <t>2023 Q3</t>
        </is>
      </c>
      <c r="D35" s="10" t="n">
        <v>2023</v>
      </c>
      <c r="E35" s="10" t="n">
        <v>3</v>
      </c>
      <c r="F35" s="9" t="inlineStr"/>
      <c r="G35" s="8" t="n">
        <v>1.0746</v>
      </c>
      <c r="H35" s="7" t="inlineStr">
        <is>
          <t>Derived from Imputed HCPI</t>
        </is>
      </c>
      <c r="I35" s="7" t="inlineStr">
        <is>
          <t>tail_missing</t>
        </is>
      </c>
      <c r="J35" s="8" t="b">
        <v>1</v>
      </c>
      <c r="K35" s="8" t="b">
        <v>1</v>
      </c>
      <c r="L35" s="7" t="inlineStr">
        <is>
          <t>Ditranslasikan dari indeks harga HCPI terimputasi</t>
        </is>
      </c>
      <c r="M35" s="7" t="inlineStr">
        <is>
          <t>Inflasi Cleaned (kurang</t>
        </is>
      </c>
    </row>
    <row r="36" ht="19" customHeight="1">
      <c r="A36" s="6" t="inlineStr">
        <is>
          <t>Myanmar</t>
        </is>
      </c>
      <c r="B36" s="7" t="inlineStr">
        <is>
          <t>inflation_yoy</t>
        </is>
      </c>
      <c r="C36" s="6" t="inlineStr">
        <is>
          <t>2023 Q4</t>
        </is>
      </c>
      <c r="D36" s="10" t="n">
        <v>2023</v>
      </c>
      <c r="E36" s="10" t="n">
        <v>4</v>
      </c>
      <c r="F36" s="9" t="inlineStr"/>
      <c r="G36" s="8" t="n">
        <v>1.0746</v>
      </c>
      <c r="H36" s="7" t="inlineStr">
        <is>
          <t>Derived from Imputed HCPI</t>
        </is>
      </c>
      <c r="I36" s="7" t="inlineStr">
        <is>
          <t>tail_missing</t>
        </is>
      </c>
      <c r="J36" s="8" t="b">
        <v>1</v>
      </c>
      <c r="K36" s="8" t="b">
        <v>1</v>
      </c>
      <c r="L36" s="7" t="inlineStr">
        <is>
          <t>Ditranslasikan dari indeks harga HCPI terimputasi</t>
        </is>
      </c>
      <c r="M36" s="7" t="inlineStr">
        <is>
          <t>Inflasi Cleaned (kurang</t>
        </is>
      </c>
    </row>
    <row r="37" ht="19" customHeight="1">
      <c r="A37" s="6" t="inlineStr">
        <is>
          <t>Myanmar</t>
        </is>
      </c>
      <c r="B37" s="7" t="inlineStr">
        <is>
          <t>inflation_yoy</t>
        </is>
      </c>
      <c r="C37" s="6" t="inlineStr">
        <is>
          <t>2024 Q1</t>
        </is>
      </c>
      <c r="D37" s="10" t="n">
        <v>2024</v>
      </c>
      <c r="E37" s="10" t="n">
        <v>1</v>
      </c>
      <c r="F37" s="9" t="inlineStr"/>
      <c r="G37" s="8" t="n">
        <v>1.0746</v>
      </c>
      <c r="H37" s="7" t="inlineStr">
        <is>
          <t>Derived from Imputed HCPI</t>
        </is>
      </c>
      <c r="I37" s="7" t="inlineStr">
        <is>
          <t>tail_missing</t>
        </is>
      </c>
      <c r="J37" s="8" t="b">
        <v>1</v>
      </c>
      <c r="K37" s="8" t="b">
        <v>1</v>
      </c>
      <c r="L37" s="7" t="inlineStr">
        <is>
          <t>Ditranslasikan dari indeks harga HCPI terimputasi</t>
        </is>
      </c>
      <c r="M37" s="7" t="inlineStr">
        <is>
          <t>Inflasi Cleaned (kurang</t>
        </is>
      </c>
    </row>
    <row r="38" ht="19" customHeight="1">
      <c r="A38" s="6" t="inlineStr">
        <is>
          <t>Myanmar</t>
        </is>
      </c>
      <c r="B38" s="7" t="inlineStr">
        <is>
          <t>inflation_yoy</t>
        </is>
      </c>
      <c r="C38" s="6" t="inlineStr">
        <is>
          <t>2024 Q2</t>
        </is>
      </c>
      <c r="D38" s="10" t="n">
        <v>2024</v>
      </c>
      <c r="E38" s="10" t="n">
        <v>2</v>
      </c>
      <c r="F38" s="9" t="inlineStr"/>
      <c r="G38" s="8" t="n">
        <v>1.0746</v>
      </c>
      <c r="H38" s="7" t="inlineStr">
        <is>
          <t>Derived from Imputed HCPI</t>
        </is>
      </c>
      <c r="I38" s="7" t="inlineStr">
        <is>
          <t>tail_missing</t>
        </is>
      </c>
      <c r="J38" s="8" t="b">
        <v>1</v>
      </c>
      <c r="K38" s="8" t="b">
        <v>1</v>
      </c>
      <c r="L38" s="7" t="inlineStr">
        <is>
          <t>Ditranslasikan dari indeks harga HCPI terimputasi</t>
        </is>
      </c>
      <c r="M38" s="7" t="inlineStr">
        <is>
          <t>Inflasi Cleaned (kurang</t>
        </is>
      </c>
    </row>
    <row r="39" ht="19" customHeight="1">
      <c r="A39" s="6" t="inlineStr">
        <is>
          <t>Myanmar</t>
        </is>
      </c>
      <c r="B39" s="7" t="inlineStr">
        <is>
          <t>inflation_yoy</t>
        </is>
      </c>
      <c r="C39" s="6" t="inlineStr">
        <is>
          <t>2024 Q3</t>
        </is>
      </c>
      <c r="D39" s="10" t="n">
        <v>2024</v>
      </c>
      <c r="E39" s="10" t="n">
        <v>3</v>
      </c>
      <c r="F39" s="9" t="inlineStr"/>
      <c r="G39" s="8" t="n">
        <v>1.0746</v>
      </c>
      <c r="H39" s="7" t="inlineStr">
        <is>
          <t>Derived from Imputed HCPI</t>
        </is>
      </c>
      <c r="I39" s="7" t="inlineStr">
        <is>
          <t>tail_missing</t>
        </is>
      </c>
      <c r="J39" s="8" t="b">
        <v>1</v>
      </c>
      <c r="K39" s="8" t="b">
        <v>1</v>
      </c>
      <c r="L39" s="7" t="inlineStr">
        <is>
          <t>Ditranslasikan dari indeks harga HCPI terimputasi</t>
        </is>
      </c>
      <c r="M39" s="7" t="inlineStr">
        <is>
          <t>Inflasi Cleaned (kurang</t>
        </is>
      </c>
    </row>
    <row r="40" ht="19" customHeight="1">
      <c r="A40" s="6" t="inlineStr">
        <is>
          <t>Myanmar</t>
        </is>
      </c>
      <c r="B40" s="7" t="inlineStr">
        <is>
          <t>inflation_yoy</t>
        </is>
      </c>
      <c r="C40" s="6" t="inlineStr">
        <is>
          <t>2024 Q4</t>
        </is>
      </c>
      <c r="D40" s="10" t="n">
        <v>2024</v>
      </c>
      <c r="E40" s="10" t="n">
        <v>4</v>
      </c>
      <c r="F40" s="9" t="inlineStr"/>
      <c r="G40" s="8" t="n">
        <v>1.0746</v>
      </c>
      <c r="H40" s="7" t="inlineStr">
        <is>
          <t>Derived from Imputed HCPI</t>
        </is>
      </c>
      <c r="I40" s="7" t="inlineStr">
        <is>
          <t>tail_missing</t>
        </is>
      </c>
      <c r="J40" s="8" t="b">
        <v>1</v>
      </c>
      <c r="K40" s="8" t="b">
        <v>1</v>
      </c>
      <c r="L40" s="7" t="inlineStr">
        <is>
          <t>Ditranslasikan dari indeks harga HCPI terimputasi</t>
        </is>
      </c>
      <c r="M40" s="7" t="inlineStr">
        <is>
          <t>Inflasi Cleaned (kurang</t>
        </is>
      </c>
    </row>
    <row r="41" ht="19" customHeight="1">
      <c r="A41" s="6" t="inlineStr">
        <is>
          <t>Myanmar</t>
        </is>
      </c>
      <c r="B41" s="7" t="inlineStr">
        <is>
          <t>inflation_yoy</t>
        </is>
      </c>
      <c r="C41" s="6" t="inlineStr">
        <is>
          <t>2025 Q1</t>
        </is>
      </c>
      <c r="D41" s="10" t="n">
        <v>2025</v>
      </c>
      <c r="E41" s="10" t="n">
        <v>1</v>
      </c>
      <c r="F41" s="9" t="inlineStr"/>
      <c r="G41" s="8" t="n">
        <v>1.0746</v>
      </c>
      <c r="H41" s="7" t="inlineStr">
        <is>
          <t>Derived from Imputed HCPI</t>
        </is>
      </c>
      <c r="I41" s="7" t="inlineStr">
        <is>
          <t>tail_missing</t>
        </is>
      </c>
      <c r="J41" s="8" t="b">
        <v>1</v>
      </c>
      <c r="K41" s="8" t="b">
        <v>1</v>
      </c>
      <c r="L41" s="7" t="inlineStr">
        <is>
          <t>Ditranslasikan dari indeks harga HCPI terimputasi</t>
        </is>
      </c>
      <c r="M41" s="7" t="inlineStr">
        <is>
          <t>Inflasi Cleaned (kurang</t>
        </is>
      </c>
    </row>
    <row r="42" ht="19" customHeight="1">
      <c r="A42" s="6" t="inlineStr">
        <is>
          <t>Singapore</t>
        </is>
      </c>
      <c r="B42" s="6" t="inlineStr">
        <is>
          <t>hcpi_q</t>
        </is>
      </c>
      <c r="C42" s="6" t="inlineStr">
        <is>
          <t>2025 Q1</t>
        </is>
      </c>
      <c r="D42" s="10" t="n">
        <v>2025</v>
      </c>
      <c r="E42" s="10" t="n">
        <v>1</v>
      </c>
      <c r="F42" s="9" t="inlineStr"/>
      <c r="G42" s="8" t="n">
        <v>117.3681</v>
      </c>
      <c r="H42" s="7" t="inlineStr">
        <is>
          <t>Trailing Geometric Growth Extrapolation</t>
        </is>
      </c>
      <c r="I42" s="7" t="inlineStr">
        <is>
          <t>tail_missing</t>
        </is>
      </c>
      <c r="J42" s="8" t="b">
        <v>1</v>
      </c>
      <c r="K42" s="8" t="b">
        <v>1</v>
      </c>
      <c r="L42" s="7" t="inlineStr">
        <is>
          <t>Data bulanan HCPI di akhir sampel belum dilaporkan</t>
        </is>
      </c>
      <c r="M42" s="7" t="inlineStr">
        <is>
          <t>Inflasi Cleaned (kurang</t>
        </is>
      </c>
    </row>
    <row r="43" ht="19" customHeight="1">
      <c r="A43" s="6" t="inlineStr">
        <is>
          <t>Singapore</t>
        </is>
      </c>
      <c r="B43" s="7" t="inlineStr">
        <is>
          <t>inflation_yoy</t>
        </is>
      </c>
      <c r="C43" s="6" t="inlineStr">
        <is>
          <t>2025 Q1</t>
        </is>
      </c>
      <c r="D43" s="10" t="n">
        <v>2025</v>
      </c>
      <c r="E43" s="10" t="n">
        <v>1</v>
      </c>
      <c r="F43" s="9" t="inlineStr"/>
      <c r="G43" s="8" t="n">
        <v>1.7625</v>
      </c>
      <c r="H43" s="7" t="inlineStr">
        <is>
          <t>Derived from Imputed HCPI</t>
        </is>
      </c>
      <c r="I43" s="7" t="inlineStr">
        <is>
          <t>tail_missing</t>
        </is>
      </c>
      <c r="J43" s="8" t="b">
        <v>1</v>
      </c>
      <c r="K43" s="8" t="b">
        <v>1</v>
      </c>
      <c r="L43" s="7" t="inlineStr">
        <is>
          <t>Ditranslasikan dari indeks harga HCPI terimputasi</t>
        </is>
      </c>
      <c r="M43" s="7" t="inlineStr">
        <is>
          <t>Inflasi Cleaned (kurang</t>
        </is>
      </c>
    </row>
    <row r="44" ht="19" customHeight="1">
      <c r="A44" s="6" t="inlineStr">
        <is>
          <t>Thailand</t>
        </is>
      </c>
      <c r="B44" s="6" t="inlineStr">
        <is>
          <t>hcpi_q</t>
        </is>
      </c>
      <c r="C44" s="6" t="inlineStr">
        <is>
          <t>2024 Q4</t>
        </is>
      </c>
      <c r="D44" s="10" t="n">
        <v>2024</v>
      </c>
      <c r="E44" s="10" t="n">
        <v>4</v>
      </c>
      <c r="F44" s="9" t="inlineStr"/>
      <c r="G44" s="8" t="n">
        <v>110.0116</v>
      </c>
      <c r="H44" s="7" t="inlineStr">
        <is>
          <t>Trailing Geometric Growth Extrapolation</t>
        </is>
      </c>
      <c r="I44" s="7" t="inlineStr">
        <is>
          <t>tail_missing</t>
        </is>
      </c>
      <c r="J44" s="8" t="b">
        <v>1</v>
      </c>
      <c r="K44" s="8" t="b">
        <v>1</v>
      </c>
      <c r="L44" s="7" t="inlineStr">
        <is>
          <t>Data bulanan HCPI di akhir sampel belum dilaporkan</t>
        </is>
      </c>
      <c r="M44" s="7" t="inlineStr">
        <is>
          <t>Inflasi Cleaned (kurang</t>
        </is>
      </c>
    </row>
    <row r="45" ht="19" customHeight="1">
      <c r="A45" s="6" t="inlineStr">
        <is>
          <t>Thailand</t>
        </is>
      </c>
      <c r="B45" s="6" t="inlineStr">
        <is>
          <t>hcpi_q</t>
        </is>
      </c>
      <c r="C45" s="6" t="inlineStr">
        <is>
          <t>2025 Q1</t>
        </is>
      </c>
      <c r="D45" s="10" t="n">
        <v>2025</v>
      </c>
      <c r="E45" s="10" t="n">
        <v>1</v>
      </c>
      <c r="F45" s="9" t="inlineStr"/>
      <c r="G45" s="8" t="n">
        <v>110.4079</v>
      </c>
      <c r="H45" s="7" t="inlineStr">
        <is>
          <t>Trailing Geometric Growth Extrapolation</t>
        </is>
      </c>
      <c r="I45" s="7" t="inlineStr">
        <is>
          <t>tail_missing</t>
        </is>
      </c>
      <c r="J45" s="8" t="b">
        <v>1</v>
      </c>
      <c r="K45" s="8" t="b">
        <v>1</v>
      </c>
      <c r="L45" s="7" t="inlineStr">
        <is>
          <t>Data bulanan HCPI di akhir sampel belum dilaporkan</t>
        </is>
      </c>
      <c r="M45" s="7" t="inlineStr">
        <is>
          <t>Inflasi Cleaned (kurang</t>
        </is>
      </c>
    </row>
    <row r="46" ht="19" customHeight="1">
      <c r="A46" s="6" t="inlineStr">
        <is>
          <t>Thailand</t>
        </is>
      </c>
      <c r="B46" s="7" t="inlineStr">
        <is>
          <t>inflation_yoy</t>
        </is>
      </c>
      <c r="C46" s="6" t="inlineStr">
        <is>
          <t>2024 Q4</t>
        </is>
      </c>
      <c r="D46" s="10" t="n">
        <v>2024</v>
      </c>
      <c r="E46" s="10" t="n">
        <v>4</v>
      </c>
      <c r="F46" s="9" t="inlineStr"/>
      <c r="G46" s="8" t="n">
        <v>2.4539</v>
      </c>
      <c r="H46" s="7" t="inlineStr">
        <is>
          <t>Derived from Imputed HCPI</t>
        </is>
      </c>
      <c r="I46" s="7" t="inlineStr">
        <is>
          <t>tail_missing</t>
        </is>
      </c>
      <c r="J46" s="8" t="b">
        <v>1</v>
      </c>
      <c r="K46" s="8" t="b">
        <v>1</v>
      </c>
      <c r="L46" s="7" t="inlineStr">
        <is>
          <t>Ditranslasikan dari indeks harga HCPI terimputasi</t>
        </is>
      </c>
      <c r="M46" s="7" t="inlineStr">
        <is>
          <t>Inflasi Cleaned (kurang</t>
        </is>
      </c>
    </row>
    <row r="47" ht="19" customHeight="1">
      <c r="A47" s="6" t="inlineStr">
        <is>
          <t>Thailand</t>
        </is>
      </c>
      <c r="B47" s="7" t="inlineStr">
        <is>
          <t>inflation_yoy</t>
        </is>
      </c>
      <c r="C47" s="6" t="inlineStr">
        <is>
          <t>2025 Q1</t>
        </is>
      </c>
      <c r="D47" s="10" t="n">
        <v>2025</v>
      </c>
      <c r="E47" s="10" t="n">
        <v>1</v>
      </c>
      <c r="F47" s="9" t="inlineStr"/>
      <c r="G47" s="8" t="n">
        <v>3.0405</v>
      </c>
      <c r="H47" s="7" t="inlineStr">
        <is>
          <t>Derived from Imputed HCPI</t>
        </is>
      </c>
      <c r="I47" s="7" t="inlineStr">
        <is>
          <t>tail_missing</t>
        </is>
      </c>
      <c r="J47" s="8" t="b">
        <v>1</v>
      </c>
      <c r="K47" s="8" t="b">
        <v>1</v>
      </c>
      <c r="L47" s="7" t="inlineStr">
        <is>
          <t>Ditranslasikan dari indeks harga HCPI terimputasi</t>
        </is>
      </c>
      <c r="M47" s="7" t="inlineStr">
        <is>
          <t>Inflasi Cleaned (kurang</t>
        </is>
      </c>
    </row>
    <row r="48" ht="19" customHeight="1">
      <c r="A48" s="6" t="inlineStr">
        <is>
          <t>Myanmar</t>
        </is>
      </c>
      <c r="B48" s="6" t="inlineStr">
        <is>
          <t>reer_q</t>
        </is>
      </c>
      <c r="C48" s="6" t="inlineStr">
        <is>
          <t>2010 Q1</t>
        </is>
      </c>
      <c r="D48" s="10" t="n">
        <v>2010</v>
      </c>
      <c r="E48" s="10" t="n">
        <v>1</v>
      </c>
      <c r="F48" s="9" t="inlineStr"/>
      <c r="G48" s="8" t="n">
        <v>99.5342</v>
      </c>
      <c r="H48" s="7" t="inlineStr">
        <is>
          <t>Backward Constant Fallback (Earliest Observed)</t>
        </is>
      </c>
      <c r="I48" s="7" t="inlineStr">
        <is>
          <t>head_missing</t>
        </is>
      </c>
      <c r="J48" s="8" t="b">
        <v>1</v>
      </c>
      <c r="K48" s="8" t="b">
        <v>1</v>
      </c>
      <c r="L48" s="7" t="inlineStr">
        <is>
          <t>Myanmar menerapkan multiple exchange rate sebelum April 2012</t>
        </is>
      </c>
      <c r="M48" s="7" t="inlineStr">
        <is>
          <t>REER Cleaned (kurang)</t>
        </is>
      </c>
    </row>
    <row r="49" ht="19" customHeight="1">
      <c r="A49" s="6" t="inlineStr">
        <is>
          <t>Myanmar</t>
        </is>
      </c>
      <c r="B49" s="6" t="inlineStr">
        <is>
          <t>reer_q</t>
        </is>
      </c>
      <c r="C49" s="6" t="inlineStr">
        <is>
          <t>2010 Q2</t>
        </is>
      </c>
      <c r="D49" s="10" t="n">
        <v>2010</v>
      </c>
      <c r="E49" s="10" t="n">
        <v>2</v>
      </c>
      <c r="F49" s="9" t="inlineStr"/>
      <c r="G49" s="8" t="n">
        <v>99.5342</v>
      </c>
      <c r="H49" s="7" t="inlineStr">
        <is>
          <t>Backward Constant Fallback (Earliest Observed)</t>
        </is>
      </c>
      <c r="I49" s="7" t="inlineStr">
        <is>
          <t>head_missing</t>
        </is>
      </c>
      <c r="J49" s="8" t="b">
        <v>1</v>
      </c>
      <c r="K49" s="8" t="b">
        <v>1</v>
      </c>
      <c r="L49" s="7" t="inlineStr">
        <is>
          <t>Myanmar menerapkan multiple exchange rate sebelum April 2012</t>
        </is>
      </c>
      <c r="M49" s="7" t="inlineStr">
        <is>
          <t>REER Cleaned (kurang)</t>
        </is>
      </c>
    </row>
    <row r="50" ht="19" customHeight="1">
      <c r="A50" s="6" t="inlineStr">
        <is>
          <t>Myanmar</t>
        </is>
      </c>
      <c r="B50" s="6" t="inlineStr">
        <is>
          <t>reer_q</t>
        </is>
      </c>
      <c r="C50" s="6" t="inlineStr">
        <is>
          <t>2010 Q3</t>
        </is>
      </c>
      <c r="D50" s="10" t="n">
        <v>2010</v>
      </c>
      <c r="E50" s="10" t="n">
        <v>3</v>
      </c>
      <c r="F50" s="9" t="inlineStr"/>
      <c r="G50" s="8" t="n">
        <v>99.5342</v>
      </c>
      <c r="H50" s="7" t="inlineStr">
        <is>
          <t>Backward Constant Fallback (Earliest Observed)</t>
        </is>
      </c>
      <c r="I50" s="7" t="inlineStr">
        <is>
          <t>head_missing</t>
        </is>
      </c>
      <c r="J50" s="8" t="b">
        <v>1</v>
      </c>
      <c r="K50" s="8" t="b">
        <v>1</v>
      </c>
      <c r="L50" s="7" t="inlineStr">
        <is>
          <t>Myanmar menerapkan multiple exchange rate sebelum April 2012</t>
        </is>
      </c>
      <c r="M50" s="7" t="inlineStr">
        <is>
          <t>REER Cleaned (kurang)</t>
        </is>
      </c>
    </row>
    <row r="51" ht="19" customHeight="1">
      <c r="A51" s="6" t="inlineStr">
        <is>
          <t>Myanmar</t>
        </is>
      </c>
      <c r="B51" s="6" t="inlineStr">
        <is>
          <t>reer_q</t>
        </is>
      </c>
      <c r="C51" s="6" t="inlineStr">
        <is>
          <t>2010 Q4</t>
        </is>
      </c>
      <c r="D51" s="10" t="n">
        <v>2010</v>
      </c>
      <c r="E51" s="10" t="n">
        <v>4</v>
      </c>
      <c r="F51" s="9" t="inlineStr"/>
      <c r="G51" s="8" t="n">
        <v>99.5342</v>
      </c>
      <c r="H51" s="7" t="inlineStr">
        <is>
          <t>Backward Constant Fallback (Earliest Observed)</t>
        </is>
      </c>
      <c r="I51" s="7" t="inlineStr">
        <is>
          <t>head_missing</t>
        </is>
      </c>
      <c r="J51" s="8" t="b">
        <v>1</v>
      </c>
      <c r="K51" s="8" t="b">
        <v>1</v>
      </c>
      <c r="L51" s="7" t="inlineStr">
        <is>
          <t>Myanmar menerapkan multiple exchange rate sebelum April 2012</t>
        </is>
      </c>
      <c r="M51" s="7" t="inlineStr">
        <is>
          <t>REER Cleaned (kurang)</t>
        </is>
      </c>
    </row>
    <row r="52" ht="19" customHeight="1">
      <c r="A52" s="6" t="inlineStr">
        <is>
          <t>Myanmar</t>
        </is>
      </c>
      <c r="B52" s="6" t="inlineStr">
        <is>
          <t>reer_q</t>
        </is>
      </c>
      <c r="C52" s="6" t="inlineStr">
        <is>
          <t>2011 Q1</t>
        </is>
      </c>
      <c r="D52" s="10" t="n">
        <v>2011</v>
      </c>
      <c r="E52" s="10" t="n">
        <v>1</v>
      </c>
      <c r="F52" s="9" t="inlineStr"/>
      <c r="G52" s="8" t="n">
        <v>99.5342</v>
      </c>
      <c r="H52" s="7" t="inlineStr">
        <is>
          <t>Backward Constant Fallback (Earliest Observed)</t>
        </is>
      </c>
      <c r="I52" s="7" t="inlineStr">
        <is>
          <t>head_missing</t>
        </is>
      </c>
      <c r="J52" s="8" t="b">
        <v>1</v>
      </c>
      <c r="K52" s="8" t="b">
        <v>1</v>
      </c>
      <c r="L52" s="7" t="inlineStr">
        <is>
          <t>Myanmar menerapkan multiple exchange rate sebelum April 2012</t>
        </is>
      </c>
      <c r="M52" s="7" t="inlineStr">
        <is>
          <t>REER Cleaned (kurang)</t>
        </is>
      </c>
    </row>
    <row r="53" ht="19" customHeight="1">
      <c r="A53" s="6" t="inlineStr">
        <is>
          <t>Myanmar</t>
        </is>
      </c>
      <c r="B53" s="6" t="inlineStr">
        <is>
          <t>reer_q</t>
        </is>
      </c>
      <c r="C53" s="6" t="inlineStr">
        <is>
          <t>2011 Q2</t>
        </is>
      </c>
      <c r="D53" s="10" t="n">
        <v>2011</v>
      </c>
      <c r="E53" s="10" t="n">
        <v>2</v>
      </c>
      <c r="F53" s="9" t="inlineStr"/>
      <c r="G53" s="8" t="n">
        <v>99.5342</v>
      </c>
      <c r="H53" s="7" t="inlineStr">
        <is>
          <t>Backward Constant Fallback (Earliest Observed)</t>
        </is>
      </c>
      <c r="I53" s="7" t="inlineStr">
        <is>
          <t>head_missing</t>
        </is>
      </c>
      <c r="J53" s="8" t="b">
        <v>1</v>
      </c>
      <c r="K53" s="8" t="b">
        <v>1</v>
      </c>
      <c r="L53" s="7" t="inlineStr">
        <is>
          <t>Myanmar menerapkan multiple exchange rate sebelum April 2012</t>
        </is>
      </c>
      <c r="M53" s="7" t="inlineStr">
        <is>
          <t>REER Cleaned (kurang)</t>
        </is>
      </c>
    </row>
    <row r="54" ht="19" customHeight="1">
      <c r="A54" s="6" t="inlineStr">
        <is>
          <t>Myanmar</t>
        </is>
      </c>
      <c r="B54" s="6" t="inlineStr">
        <is>
          <t>reer_q</t>
        </is>
      </c>
      <c r="C54" s="6" t="inlineStr">
        <is>
          <t>2011 Q3</t>
        </is>
      </c>
      <c r="D54" s="10" t="n">
        <v>2011</v>
      </c>
      <c r="E54" s="10" t="n">
        <v>3</v>
      </c>
      <c r="F54" s="9" t="inlineStr"/>
      <c r="G54" s="8" t="n">
        <v>99.5342</v>
      </c>
      <c r="H54" s="7" t="inlineStr">
        <is>
          <t>Backward Constant Fallback (Earliest Observed)</t>
        </is>
      </c>
      <c r="I54" s="7" t="inlineStr">
        <is>
          <t>head_missing</t>
        </is>
      </c>
      <c r="J54" s="8" t="b">
        <v>1</v>
      </c>
      <c r="K54" s="8" t="b">
        <v>1</v>
      </c>
      <c r="L54" s="7" t="inlineStr">
        <is>
          <t>Myanmar menerapkan multiple exchange rate sebelum April 2012</t>
        </is>
      </c>
      <c r="M54" s="7" t="inlineStr">
        <is>
          <t>REER Cleaned (kurang)</t>
        </is>
      </c>
    </row>
    <row r="55" ht="19" customHeight="1">
      <c r="A55" s="6" t="inlineStr">
        <is>
          <t>Myanmar</t>
        </is>
      </c>
      <c r="B55" s="6" t="inlineStr">
        <is>
          <t>reer_q</t>
        </is>
      </c>
      <c r="C55" s="6" t="inlineStr">
        <is>
          <t>2011 Q4</t>
        </is>
      </c>
      <c r="D55" s="10" t="n">
        <v>2011</v>
      </c>
      <c r="E55" s="10" t="n">
        <v>4</v>
      </c>
      <c r="F55" s="9" t="inlineStr"/>
      <c r="G55" s="8" t="n">
        <v>99.5342</v>
      </c>
      <c r="H55" s="7" t="inlineStr">
        <is>
          <t>Backward Constant Fallback (Earliest Observed)</t>
        </is>
      </c>
      <c r="I55" s="7" t="inlineStr">
        <is>
          <t>head_missing</t>
        </is>
      </c>
      <c r="J55" s="8" t="b">
        <v>1</v>
      </c>
      <c r="K55" s="8" t="b">
        <v>1</v>
      </c>
      <c r="L55" s="7" t="inlineStr">
        <is>
          <t>Myanmar menerapkan multiple exchange rate sebelum April 2012</t>
        </is>
      </c>
      <c r="M55" s="7" t="inlineStr">
        <is>
          <t>REER Cleaned (kurang)</t>
        </is>
      </c>
    </row>
    <row r="56" ht="19" customHeight="1">
      <c r="A56" s="6" t="inlineStr">
        <is>
          <t>Myanmar</t>
        </is>
      </c>
      <c r="B56" s="6" t="inlineStr">
        <is>
          <t>reer_q</t>
        </is>
      </c>
      <c r="C56" s="6" t="inlineStr">
        <is>
          <t>2012 Q1</t>
        </is>
      </c>
      <c r="D56" s="10" t="n">
        <v>2012</v>
      </c>
      <c r="E56" s="10" t="n">
        <v>1</v>
      </c>
      <c r="F56" s="9" t="inlineStr"/>
      <c r="G56" s="8" t="n">
        <v>99.5342</v>
      </c>
      <c r="H56" s="7" t="inlineStr">
        <is>
          <t>Backward Constant Fallback (Earliest Observed)</t>
        </is>
      </c>
      <c r="I56" s="7" t="inlineStr">
        <is>
          <t>head_missing</t>
        </is>
      </c>
      <c r="J56" s="8" t="b">
        <v>1</v>
      </c>
      <c r="K56" s="8" t="b">
        <v>1</v>
      </c>
      <c r="L56" s="7" t="inlineStr">
        <is>
          <t>Myanmar menerapkan multiple exchange rate sebelum April 2012</t>
        </is>
      </c>
      <c r="M56" s="7" t="inlineStr">
        <is>
          <t>REER Cleaned (kurang)</t>
        </is>
      </c>
    </row>
    <row r="57" ht="19" customHeight="1">
      <c r="A57" s="6" t="inlineStr">
        <is>
          <t>Cambodia</t>
        </is>
      </c>
      <c r="B57" s="7" t="inlineStr">
        <is>
          <t>money_growth</t>
        </is>
      </c>
      <c r="C57" s="6" t="inlineStr">
        <is>
          <t>2023 Q1</t>
        </is>
      </c>
      <c r="D57" s="10" t="n">
        <v>2023</v>
      </c>
      <c r="E57" s="10" t="n">
        <v>1</v>
      </c>
      <c r="F57" s="9" t="inlineStr"/>
      <c r="G57" s="8" t="n">
        <v>24.8542</v>
      </c>
      <c r="H57" s="7" t="inlineStr">
        <is>
          <t>Trailing 8-Quarter Moving Average Extrapolation</t>
        </is>
      </c>
      <c r="I57" s="7" t="inlineStr">
        <is>
          <t>tail_missing</t>
        </is>
      </c>
      <c r="J57" s="8" t="b">
        <v>1</v>
      </c>
      <c r="K57" s="8" t="b">
        <v>1</v>
      </c>
      <c r="L57" s="7" t="inlineStr">
        <is>
          <t>Data Money Growth tahun akhir belum tersedia di sumber</t>
        </is>
      </c>
      <c r="M57" s="7" t="inlineStr">
        <is>
          <t>Money Growth (kurang)</t>
        </is>
      </c>
    </row>
    <row r="58" ht="19" customHeight="1">
      <c r="A58" s="6" t="inlineStr">
        <is>
          <t>Cambodia</t>
        </is>
      </c>
      <c r="B58" s="7" t="inlineStr">
        <is>
          <t>money_growth</t>
        </is>
      </c>
      <c r="C58" s="6" t="inlineStr">
        <is>
          <t>2023 Q2</t>
        </is>
      </c>
      <c r="D58" s="10" t="n">
        <v>2023</v>
      </c>
      <c r="E58" s="10" t="n">
        <v>2</v>
      </c>
      <c r="F58" s="9" t="inlineStr"/>
      <c r="G58" s="8" t="n">
        <v>24.8542</v>
      </c>
      <c r="H58" s="7" t="inlineStr">
        <is>
          <t>Trailing 8-Quarter Moving Average Extrapolation</t>
        </is>
      </c>
      <c r="I58" s="7" t="inlineStr">
        <is>
          <t>tail_missing</t>
        </is>
      </c>
      <c r="J58" s="8" t="b">
        <v>1</v>
      </c>
      <c r="K58" s="8" t="b">
        <v>1</v>
      </c>
      <c r="L58" s="7" t="inlineStr">
        <is>
          <t>Data Money Growth tahun akhir belum tersedia di sumber</t>
        </is>
      </c>
      <c r="M58" s="7" t="inlineStr">
        <is>
          <t>Money Growth (kurang)</t>
        </is>
      </c>
    </row>
    <row r="59" ht="19" customHeight="1">
      <c r="A59" s="6" t="inlineStr">
        <is>
          <t>Cambodia</t>
        </is>
      </c>
      <c r="B59" s="7" t="inlineStr">
        <is>
          <t>money_growth</t>
        </is>
      </c>
      <c r="C59" s="6" t="inlineStr">
        <is>
          <t>2023 Q3</t>
        </is>
      </c>
      <c r="D59" s="10" t="n">
        <v>2023</v>
      </c>
      <c r="E59" s="10" t="n">
        <v>3</v>
      </c>
      <c r="F59" s="9" t="inlineStr"/>
      <c r="G59" s="8" t="n">
        <v>24.8542</v>
      </c>
      <c r="H59" s="7" t="inlineStr">
        <is>
          <t>Trailing 8-Quarter Moving Average Extrapolation</t>
        </is>
      </c>
      <c r="I59" s="7" t="inlineStr">
        <is>
          <t>tail_missing</t>
        </is>
      </c>
      <c r="J59" s="8" t="b">
        <v>1</v>
      </c>
      <c r="K59" s="8" t="b">
        <v>1</v>
      </c>
      <c r="L59" s="7" t="inlineStr">
        <is>
          <t>Data Money Growth tahun akhir belum tersedia di sumber</t>
        </is>
      </c>
      <c r="M59" s="7" t="inlineStr">
        <is>
          <t>Money Growth (kurang)</t>
        </is>
      </c>
    </row>
    <row r="60" ht="19" customHeight="1">
      <c r="A60" s="6" t="inlineStr">
        <is>
          <t>Cambodia</t>
        </is>
      </c>
      <c r="B60" s="7" t="inlineStr">
        <is>
          <t>money_growth</t>
        </is>
      </c>
      <c r="C60" s="6" t="inlineStr">
        <is>
          <t>2023 Q4</t>
        </is>
      </c>
      <c r="D60" s="10" t="n">
        <v>2023</v>
      </c>
      <c r="E60" s="10" t="n">
        <v>4</v>
      </c>
      <c r="F60" s="9" t="inlineStr"/>
      <c r="G60" s="8" t="n">
        <v>24.8542</v>
      </c>
      <c r="H60" s="7" t="inlineStr">
        <is>
          <t>Trailing 8-Quarter Moving Average Extrapolation</t>
        </is>
      </c>
      <c r="I60" s="7" t="inlineStr">
        <is>
          <t>tail_missing</t>
        </is>
      </c>
      <c r="J60" s="8" t="b">
        <v>1</v>
      </c>
      <c r="K60" s="8" t="b">
        <v>1</v>
      </c>
      <c r="L60" s="7" t="inlineStr">
        <is>
          <t>Data Money Growth tahun akhir belum tersedia di sumber</t>
        </is>
      </c>
      <c r="M60" s="7" t="inlineStr">
        <is>
          <t>Money Growth (kurang)</t>
        </is>
      </c>
    </row>
    <row r="61" ht="19" customHeight="1">
      <c r="A61" s="6" t="inlineStr">
        <is>
          <t>Cambodia</t>
        </is>
      </c>
      <c r="B61" s="7" t="inlineStr">
        <is>
          <t>money_growth</t>
        </is>
      </c>
      <c r="C61" s="6" t="inlineStr">
        <is>
          <t>2024 Q1</t>
        </is>
      </c>
      <c r="D61" s="10" t="n">
        <v>2024</v>
      </c>
      <c r="E61" s="10" t="n">
        <v>1</v>
      </c>
      <c r="F61" s="9" t="inlineStr"/>
      <c r="G61" s="8" t="n">
        <v>24.8542</v>
      </c>
      <c r="H61" s="7" t="inlineStr">
        <is>
          <t>Trailing 8-Quarter Moving Average Extrapolation</t>
        </is>
      </c>
      <c r="I61" s="7" t="inlineStr">
        <is>
          <t>tail_missing</t>
        </is>
      </c>
      <c r="J61" s="8" t="b">
        <v>1</v>
      </c>
      <c r="K61" s="8" t="b">
        <v>1</v>
      </c>
      <c r="L61" s="7" t="inlineStr">
        <is>
          <t>Data Money Growth tahun akhir belum tersedia di sumber</t>
        </is>
      </c>
      <c r="M61" s="7" t="inlineStr">
        <is>
          <t>Money Growth (kurang)</t>
        </is>
      </c>
    </row>
    <row r="62" ht="19" customHeight="1">
      <c r="A62" s="6" t="inlineStr">
        <is>
          <t>Cambodia</t>
        </is>
      </c>
      <c r="B62" s="7" t="inlineStr">
        <is>
          <t>money_growth</t>
        </is>
      </c>
      <c r="C62" s="6" t="inlineStr">
        <is>
          <t>2024 Q2</t>
        </is>
      </c>
      <c r="D62" s="10" t="n">
        <v>2024</v>
      </c>
      <c r="E62" s="10" t="n">
        <v>2</v>
      </c>
      <c r="F62" s="9" t="inlineStr"/>
      <c r="G62" s="8" t="n">
        <v>24.8542</v>
      </c>
      <c r="H62" s="7" t="inlineStr">
        <is>
          <t>Trailing 8-Quarter Moving Average Extrapolation</t>
        </is>
      </c>
      <c r="I62" s="7" t="inlineStr">
        <is>
          <t>tail_missing</t>
        </is>
      </c>
      <c r="J62" s="8" t="b">
        <v>1</v>
      </c>
      <c r="K62" s="8" t="b">
        <v>1</v>
      </c>
      <c r="L62" s="7" t="inlineStr">
        <is>
          <t>Data Money Growth tahun akhir belum tersedia di sumber</t>
        </is>
      </c>
      <c r="M62" s="7" t="inlineStr">
        <is>
          <t>Money Growth (kurang)</t>
        </is>
      </c>
    </row>
    <row r="63" ht="19" customHeight="1">
      <c r="A63" s="6" t="inlineStr">
        <is>
          <t>Cambodia</t>
        </is>
      </c>
      <c r="B63" s="7" t="inlineStr">
        <is>
          <t>money_growth</t>
        </is>
      </c>
      <c r="C63" s="6" t="inlineStr">
        <is>
          <t>2024 Q3</t>
        </is>
      </c>
      <c r="D63" s="10" t="n">
        <v>2024</v>
      </c>
      <c r="E63" s="10" t="n">
        <v>3</v>
      </c>
      <c r="F63" s="9" t="inlineStr"/>
      <c r="G63" s="8" t="n">
        <v>24.8542</v>
      </c>
      <c r="H63" s="7" t="inlineStr">
        <is>
          <t>Trailing 8-Quarter Moving Average Extrapolation</t>
        </is>
      </c>
      <c r="I63" s="7" t="inlineStr">
        <is>
          <t>tail_missing</t>
        </is>
      </c>
      <c r="J63" s="8" t="b">
        <v>1</v>
      </c>
      <c r="K63" s="8" t="b">
        <v>1</v>
      </c>
      <c r="L63" s="7" t="inlineStr">
        <is>
          <t>Data Money Growth tahun akhir belum tersedia di sumber</t>
        </is>
      </c>
      <c r="M63" s="7" t="inlineStr">
        <is>
          <t>Money Growth (kurang)</t>
        </is>
      </c>
    </row>
    <row r="64" ht="19" customHeight="1">
      <c r="A64" s="6" t="inlineStr">
        <is>
          <t>Cambodia</t>
        </is>
      </c>
      <c r="B64" s="7" t="inlineStr">
        <is>
          <t>money_growth</t>
        </is>
      </c>
      <c r="C64" s="6" t="inlineStr">
        <is>
          <t>2024 Q4</t>
        </is>
      </c>
      <c r="D64" s="10" t="n">
        <v>2024</v>
      </c>
      <c r="E64" s="10" t="n">
        <v>4</v>
      </c>
      <c r="F64" s="9" t="inlineStr"/>
      <c r="G64" s="8" t="n">
        <v>24.8542</v>
      </c>
      <c r="H64" s="7" t="inlineStr">
        <is>
          <t>Trailing 8-Quarter Moving Average Extrapolation</t>
        </is>
      </c>
      <c r="I64" s="7" t="inlineStr">
        <is>
          <t>tail_missing</t>
        </is>
      </c>
      <c r="J64" s="8" t="b">
        <v>1</v>
      </c>
      <c r="K64" s="8" t="b">
        <v>1</v>
      </c>
      <c r="L64" s="7" t="inlineStr">
        <is>
          <t>Data Money Growth tahun akhir belum tersedia di sumber</t>
        </is>
      </c>
      <c r="M64" s="7" t="inlineStr">
        <is>
          <t>Money Growth (kurang)</t>
        </is>
      </c>
    </row>
    <row r="65" ht="19" customHeight="1">
      <c r="A65" s="6" t="inlineStr">
        <is>
          <t>Cambodia</t>
        </is>
      </c>
      <c r="B65" s="7" t="inlineStr">
        <is>
          <t>money_growth</t>
        </is>
      </c>
      <c r="C65" s="6" t="inlineStr">
        <is>
          <t>2025 Q1</t>
        </is>
      </c>
      <c r="D65" s="10" t="n">
        <v>2025</v>
      </c>
      <c r="E65" s="10" t="n">
        <v>1</v>
      </c>
      <c r="F65" s="9" t="inlineStr"/>
      <c r="G65" s="8" t="n">
        <v>24.8542</v>
      </c>
      <c r="H65" s="7" t="inlineStr">
        <is>
          <t>Trailing 8-Quarter Moving Average Extrapolation</t>
        </is>
      </c>
      <c r="I65" s="7" t="inlineStr">
        <is>
          <t>tail_missing</t>
        </is>
      </c>
      <c r="J65" s="8" t="b">
        <v>1</v>
      </c>
      <c r="K65" s="8" t="b">
        <v>1</v>
      </c>
      <c r="L65" s="7" t="inlineStr">
        <is>
          <t>Data Money Growth tahun akhir belum tersedia di sumber</t>
        </is>
      </c>
      <c r="M65" s="7" t="inlineStr">
        <is>
          <t>Money Growth (kurang)</t>
        </is>
      </c>
    </row>
    <row r="66" ht="19" customHeight="1">
      <c r="A66" s="6" t="inlineStr">
        <is>
          <t>Cambodia</t>
        </is>
      </c>
      <c r="B66" s="7" t="inlineStr">
        <is>
          <t>money_growth</t>
        </is>
      </c>
      <c r="C66" s="6" t="inlineStr">
        <is>
          <t>2025 Q2</t>
        </is>
      </c>
      <c r="D66" s="10" t="n">
        <v>2025</v>
      </c>
      <c r="E66" s="10" t="n">
        <v>2</v>
      </c>
      <c r="F66" s="9" t="inlineStr"/>
      <c r="G66" s="8" t="n">
        <v>24.8542</v>
      </c>
      <c r="H66" s="7" t="inlineStr">
        <is>
          <t>Trailing 8-Quarter Moving Average Extrapolation</t>
        </is>
      </c>
      <c r="I66" s="7" t="inlineStr">
        <is>
          <t>tail_missing</t>
        </is>
      </c>
      <c r="J66" s="8" t="b">
        <v>1</v>
      </c>
      <c r="K66" s="8" t="b">
        <v>1</v>
      </c>
      <c r="L66" s="7" t="inlineStr">
        <is>
          <t>Data Money Growth tahun akhir belum tersedia di sumber</t>
        </is>
      </c>
      <c r="M66" s="7" t="inlineStr">
        <is>
          <t>Money Growth (kurang)</t>
        </is>
      </c>
    </row>
    <row r="67" ht="19" customHeight="1">
      <c r="A67" s="6" t="inlineStr">
        <is>
          <t>Cambodia</t>
        </is>
      </c>
      <c r="B67" s="7" t="inlineStr">
        <is>
          <t>money_growth</t>
        </is>
      </c>
      <c r="C67" s="6" t="inlineStr">
        <is>
          <t>2025 Q3</t>
        </is>
      </c>
      <c r="D67" s="10" t="n">
        <v>2025</v>
      </c>
      <c r="E67" s="10" t="n">
        <v>3</v>
      </c>
      <c r="F67" s="9" t="inlineStr"/>
      <c r="G67" s="8" t="n">
        <v>24.8542</v>
      </c>
      <c r="H67" s="7" t="inlineStr">
        <is>
          <t>Trailing 8-Quarter Moving Average Extrapolation</t>
        </is>
      </c>
      <c r="I67" s="7" t="inlineStr">
        <is>
          <t>tail_missing</t>
        </is>
      </c>
      <c r="J67" s="8" t="b">
        <v>1</v>
      </c>
      <c r="K67" s="8" t="b">
        <v>1</v>
      </c>
      <c r="L67" s="7" t="inlineStr">
        <is>
          <t>Data Money Growth tahun akhir belum tersedia di sumber</t>
        </is>
      </c>
      <c r="M67" s="7" t="inlineStr">
        <is>
          <t>Money Growth (kurang)</t>
        </is>
      </c>
    </row>
    <row r="68" ht="19" customHeight="1">
      <c r="A68" s="6" t="inlineStr">
        <is>
          <t>Cambodia</t>
        </is>
      </c>
      <c r="B68" s="7" t="inlineStr">
        <is>
          <t>money_growth</t>
        </is>
      </c>
      <c r="C68" s="6" t="inlineStr">
        <is>
          <t>2025 Q4</t>
        </is>
      </c>
      <c r="D68" s="10" t="n">
        <v>2025</v>
      </c>
      <c r="E68" s="10" t="n">
        <v>4</v>
      </c>
      <c r="F68" s="9" t="inlineStr"/>
      <c r="G68" s="8" t="n">
        <v>24.8542</v>
      </c>
      <c r="H68" s="7" t="inlineStr">
        <is>
          <t>Trailing 8-Quarter Moving Average Extrapolation</t>
        </is>
      </c>
      <c r="I68" s="7" t="inlineStr">
        <is>
          <t>tail_missing</t>
        </is>
      </c>
      <c r="J68" s="8" t="b">
        <v>1</v>
      </c>
      <c r="K68" s="8" t="b">
        <v>1</v>
      </c>
      <c r="L68" s="7" t="inlineStr">
        <is>
          <t>Data Money Growth tahun akhir belum tersedia di sumber</t>
        </is>
      </c>
      <c r="M68" s="7" t="inlineStr">
        <is>
          <t>Money Growth (kurang)</t>
        </is>
      </c>
    </row>
    <row r="69" ht="19" customHeight="1">
      <c r="A69" s="6" t="inlineStr">
        <is>
          <t>Laos</t>
        </is>
      </c>
      <c r="B69" s="7" t="inlineStr">
        <is>
          <t>money_growth</t>
        </is>
      </c>
      <c r="C69" s="6" t="inlineStr">
        <is>
          <t>2011 Q1</t>
        </is>
      </c>
      <c r="D69" s="10" t="n">
        <v>2011</v>
      </c>
      <c r="E69" s="10" t="n">
        <v>1</v>
      </c>
      <c r="F69" s="9" t="inlineStr"/>
      <c r="G69" s="8" t="n">
        <v>39.129</v>
      </c>
      <c r="H69" s="7" t="inlineStr">
        <is>
          <t>Constant Fallback (Historical Mean)</t>
        </is>
      </c>
      <c r="I69" s="7" t="inlineStr">
        <is>
          <t>extended_tail_missing</t>
        </is>
      </c>
      <c r="J69" s="8" t="b">
        <v>1</v>
      </c>
      <c r="K69" s="8" t="b">
        <v>1</v>
      </c>
      <c r="L69" s="7" t="inlineStr">
        <is>
          <t>Hanya tahun 2010 tersedia di sumber untuk Laos</t>
        </is>
      </c>
      <c r="M69" s="7" t="inlineStr">
        <is>
          <t>Money Growth (kurang)</t>
        </is>
      </c>
    </row>
    <row r="70" ht="19" customHeight="1">
      <c r="A70" s="6" t="inlineStr">
        <is>
          <t>Laos</t>
        </is>
      </c>
      <c r="B70" s="7" t="inlineStr">
        <is>
          <t>money_growth</t>
        </is>
      </c>
      <c r="C70" s="6" t="inlineStr">
        <is>
          <t>2011 Q2</t>
        </is>
      </c>
      <c r="D70" s="10" t="n">
        <v>2011</v>
      </c>
      <c r="E70" s="10" t="n">
        <v>2</v>
      </c>
      <c r="F70" s="9" t="inlineStr"/>
      <c r="G70" s="8" t="n">
        <v>39.129</v>
      </c>
      <c r="H70" s="7" t="inlineStr">
        <is>
          <t>Constant Fallback (Historical Mean)</t>
        </is>
      </c>
      <c r="I70" s="7" t="inlineStr">
        <is>
          <t>extended_tail_missing</t>
        </is>
      </c>
      <c r="J70" s="8" t="b">
        <v>1</v>
      </c>
      <c r="K70" s="8" t="b">
        <v>1</v>
      </c>
      <c r="L70" s="7" t="inlineStr">
        <is>
          <t>Hanya tahun 2010 tersedia di sumber untuk Laos</t>
        </is>
      </c>
      <c r="M70" s="7" t="inlineStr">
        <is>
          <t>Money Growth (kurang)</t>
        </is>
      </c>
    </row>
    <row r="71" ht="19" customHeight="1">
      <c r="A71" s="6" t="inlineStr">
        <is>
          <t>Laos</t>
        </is>
      </c>
      <c r="B71" s="7" t="inlineStr">
        <is>
          <t>money_growth</t>
        </is>
      </c>
      <c r="C71" s="6" t="inlineStr">
        <is>
          <t>2011 Q3</t>
        </is>
      </c>
      <c r="D71" s="10" t="n">
        <v>2011</v>
      </c>
      <c r="E71" s="10" t="n">
        <v>3</v>
      </c>
      <c r="F71" s="9" t="inlineStr"/>
      <c r="G71" s="8" t="n">
        <v>39.129</v>
      </c>
      <c r="H71" s="7" t="inlineStr">
        <is>
          <t>Constant Fallback (Historical Mean)</t>
        </is>
      </c>
      <c r="I71" s="7" t="inlineStr">
        <is>
          <t>extended_tail_missing</t>
        </is>
      </c>
      <c r="J71" s="8" t="b">
        <v>1</v>
      </c>
      <c r="K71" s="8" t="b">
        <v>1</v>
      </c>
      <c r="L71" s="7" t="inlineStr">
        <is>
          <t>Hanya tahun 2010 tersedia di sumber untuk Laos</t>
        </is>
      </c>
      <c r="M71" s="7" t="inlineStr">
        <is>
          <t>Money Growth (kurang)</t>
        </is>
      </c>
    </row>
    <row r="72" ht="19" customHeight="1">
      <c r="A72" s="6" t="inlineStr">
        <is>
          <t>Laos</t>
        </is>
      </c>
      <c r="B72" s="7" t="inlineStr">
        <is>
          <t>money_growth</t>
        </is>
      </c>
      <c r="C72" s="6" t="inlineStr">
        <is>
          <t>2011 Q4</t>
        </is>
      </c>
      <c r="D72" s="10" t="n">
        <v>2011</v>
      </c>
      <c r="E72" s="10" t="n">
        <v>4</v>
      </c>
      <c r="F72" s="9" t="inlineStr"/>
      <c r="G72" s="8" t="n">
        <v>39.129</v>
      </c>
      <c r="H72" s="7" t="inlineStr">
        <is>
          <t>Constant Fallback (Historical Mean)</t>
        </is>
      </c>
      <c r="I72" s="7" t="inlineStr">
        <is>
          <t>extended_tail_missing</t>
        </is>
      </c>
      <c r="J72" s="8" t="b">
        <v>1</v>
      </c>
      <c r="K72" s="8" t="b">
        <v>1</v>
      </c>
      <c r="L72" s="7" t="inlineStr">
        <is>
          <t>Hanya tahun 2010 tersedia di sumber untuk Laos</t>
        </is>
      </c>
      <c r="M72" s="7" t="inlineStr">
        <is>
          <t>Money Growth (kurang)</t>
        </is>
      </c>
    </row>
    <row r="73" ht="19" customHeight="1">
      <c r="A73" s="6" t="inlineStr">
        <is>
          <t>Laos</t>
        </is>
      </c>
      <c r="B73" s="7" t="inlineStr">
        <is>
          <t>money_growth</t>
        </is>
      </c>
      <c r="C73" s="6" t="inlineStr">
        <is>
          <t>2012 Q1</t>
        </is>
      </c>
      <c r="D73" s="10" t="n">
        <v>2012</v>
      </c>
      <c r="E73" s="10" t="n">
        <v>1</v>
      </c>
      <c r="F73" s="9" t="inlineStr"/>
      <c r="G73" s="8" t="n">
        <v>39.129</v>
      </c>
      <c r="H73" s="7" t="inlineStr">
        <is>
          <t>Constant Fallback (Historical Mean)</t>
        </is>
      </c>
      <c r="I73" s="7" t="inlineStr">
        <is>
          <t>extended_tail_missing</t>
        </is>
      </c>
      <c r="J73" s="8" t="b">
        <v>1</v>
      </c>
      <c r="K73" s="8" t="b">
        <v>1</v>
      </c>
      <c r="L73" s="7" t="inlineStr">
        <is>
          <t>Hanya tahun 2010 tersedia di sumber untuk Laos</t>
        </is>
      </c>
      <c r="M73" s="7" t="inlineStr">
        <is>
          <t>Money Growth (kurang)</t>
        </is>
      </c>
    </row>
    <row r="74" ht="19" customHeight="1">
      <c r="A74" s="6" t="inlineStr">
        <is>
          <t>Laos</t>
        </is>
      </c>
      <c r="B74" s="7" t="inlineStr">
        <is>
          <t>money_growth</t>
        </is>
      </c>
      <c r="C74" s="6" t="inlineStr">
        <is>
          <t>2012 Q2</t>
        </is>
      </c>
      <c r="D74" s="10" t="n">
        <v>2012</v>
      </c>
      <c r="E74" s="10" t="n">
        <v>2</v>
      </c>
      <c r="F74" s="9" t="inlineStr"/>
      <c r="G74" s="8" t="n">
        <v>39.129</v>
      </c>
      <c r="H74" s="7" t="inlineStr">
        <is>
          <t>Constant Fallback (Historical Mean)</t>
        </is>
      </c>
      <c r="I74" s="7" t="inlineStr">
        <is>
          <t>extended_tail_missing</t>
        </is>
      </c>
      <c r="J74" s="8" t="b">
        <v>1</v>
      </c>
      <c r="K74" s="8" t="b">
        <v>1</v>
      </c>
      <c r="L74" s="7" t="inlineStr">
        <is>
          <t>Hanya tahun 2010 tersedia di sumber untuk Laos</t>
        </is>
      </c>
      <c r="M74" s="7" t="inlineStr">
        <is>
          <t>Money Growth (kurang)</t>
        </is>
      </c>
    </row>
    <row r="75" ht="19" customHeight="1">
      <c r="A75" s="6" t="inlineStr">
        <is>
          <t>Laos</t>
        </is>
      </c>
      <c r="B75" s="7" t="inlineStr">
        <is>
          <t>money_growth</t>
        </is>
      </c>
      <c r="C75" s="6" t="inlineStr">
        <is>
          <t>2012 Q3</t>
        </is>
      </c>
      <c r="D75" s="10" t="n">
        <v>2012</v>
      </c>
      <c r="E75" s="10" t="n">
        <v>3</v>
      </c>
      <c r="F75" s="9" t="inlineStr"/>
      <c r="G75" s="8" t="n">
        <v>39.129</v>
      </c>
      <c r="H75" s="7" t="inlineStr">
        <is>
          <t>Constant Fallback (Historical Mean)</t>
        </is>
      </c>
      <c r="I75" s="7" t="inlineStr">
        <is>
          <t>extended_tail_missing</t>
        </is>
      </c>
      <c r="J75" s="8" t="b">
        <v>1</v>
      </c>
      <c r="K75" s="8" t="b">
        <v>1</v>
      </c>
      <c r="L75" s="7" t="inlineStr">
        <is>
          <t>Hanya tahun 2010 tersedia di sumber untuk Laos</t>
        </is>
      </c>
      <c r="M75" s="7" t="inlineStr">
        <is>
          <t>Money Growth (kurang)</t>
        </is>
      </c>
    </row>
    <row r="76" ht="19" customHeight="1">
      <c r="A76" s="6" t="inlineStr">
        <is>
          <t>Laos</t>
        </is>
      </c>
      <c r="B76" s="7" t="inlineStr">
        <is>
          <t>money_growth</t>
        </is>
      </c>
      <c r="C76" s="6" t="inlineStr">
        <is>
          <t>2012 Q4</t>
        </is>
      </c>
      <c r="D76" s="10" t="n">
        <v>2012</v>
      </c>
      <c r="E76" s="10" t="n">
        <v>4</v>
      </c>
      <c r="F76" s="9" t="inlineStr"/>
      <c r="G76" s="8" t="n">
        <v>39.129</v>
      </c>
      <c r="H76" s="7" t="inlineStr">
        <is>
          <t>Constant Fallback (Historical Mean)</t>
        </is>
      </c>
      <c r="I76" s="7" t="inlineStr">
        <is>
          <t>extended_tail_missing</t>
        </is>
      </c>
      <c r="J76" s="8" t="b">
        <v>1</v>
      </c>
      <c r="K76" s="8" t="b">
        <v>1</v>
      </c>
      <c r="L76" s="7" t="inlineStr">
        <is>
          <t>Hanya tahun 2010 tersedia di sumber untuk Laos</t>
        </is>
      </c>
      <c r="M76" s="7" t="inlineStr">
        <is>
          <t>Money Growth (kurang)</t>
        </is>
      </c>
    </row>
    <row r="77" ht="19" customHeight="1">
      <c r="A77" s="6" t="inlineStr">
        <is>
          <t>Laos</t>
        </is>
      </c>
      <c r="B77" s="7" t="inlineStr">
        <is>
          <t>money_growth</t>
        </is>
      </c>
      <c r="C77" s="6" t="inlineStr">
        <is>
          <t>2013 Q1</t>
        </is>
      </c>
      <c r="D77" s="10" t="n">
        <v>2013</v>
      </c>
      <c r="E77" s="10" t="n">
        <v>1</v>
      </c>
      <c r="F77" s="9" t="inlineStr"/>
      <c r="G77" s="8" t="n">
        <v>39.129</v>
      </c>
      <c r="H77" s="7" t="inlineStr">
        <is>
          <t>Constant Fallback (Historical Mean)</t>
        </is>
      </c>
      <c r="I77" s="7" t="inlineStr">
        <is>
          <t>extended_tail_missing</t>
        </is>
      </c>
      <c r="J77" s="8" t="b">
        <v>1</v>
      </c>
      <c r="K77" s="8" t="b">
        <v>1</v>
      </c>
      <c r="L77" s="7" t="inlineStr">
        <is>
          <t>Hanya tahun 2010 tersedia di sumber untuk Laos</t>
        </is>
      </c>
      <c r="M77" s="7" t="inlineStr">
        <is>
          <t>Money Growth (kurang)</t>
        </is>
      </c>
    </row>
    <row r="78" ht="19" customHeight="1">
      <c r="A78" s="6" t="inlineStr">
        <is>
          <t>Laos</t>
        </is>
      </c>
      <c r="B78" s="7" t="inlineStr">
        <is>
          <t>money_growth</t>
        </is>
      </c>
      <c r="C78" s="6" t="inlineStr">
        <is>
          <t>2013 Q2</t>
        </is>
      </c>
      <c r="D78" s="10" t="n">
        <v>2013</v>
      </c>
      <c r="E78" s="10" t="n">
        <v>2</v>
      </c>
      <c r="F78" s="9" t="inlineStr"/>
      <c r="G78" s="8" t="n">
        <v>39.129</v>
      </c>
      <c r="H78" s="7" t="inlineStr">
        <is>
          <t>Constant Fallback (Historical Mean)</t>
        </is>
      </c>
      <c r="I78" s="7" t="inlineStr">
        <is>
          <t>extended_tail_missing</t>
        </is>
      </c>
      <c r="J78" s="8" t="b">
        <v>1</v>
      </c>
      <c r="K78" s="8" t="b">
        <v>1</v>
      </c>
      <c r="L78" s="7" t="inlineStr">
        <is>
          <t>Hanya tahun 2010 tersedia di sumber untuk Laos</t>
        </is>
      </c>
      <c r="M78" s="7" t="inlineStr">
        <is>
          <t>Money Growth (kurang)</t>
        </is>
      </c>
    </row>
    <row r="79" ht="19" customHeight="1">
      <c r="A79" s="6" t="inlineStr">
        <is>
          <t>Laos</t>
        </is>
      </c>
      <c r="B79" s="7" t="inlineStr">
        <is>
          <t>money_growth</t>
        </is>
      </c>
      <c r="C79" s="6" t="inlineStr">
        <is>
          <t>2013 Q3</t>
        </is>
      </c>
      <c r="D79" s="10" t="n">
        <v>2013</v>
      </c>
      <c r="E79" s="10" t="n">
        <v>3</v>
      </c>
      <c r="F79" s="9" t="inlineStr"/>
      <c r="G79" s="8" t="n">
        <v>39.129</v>
      </c>
      <c r="H79" s="7" t="inlineStr">
        <is>
          <t>Constant Fallback (Historical Mean)</t>
        </is>
      </c>
      <c r="I79" s="7" t="inlineStr">
        <is>
          <t>extended_tail_missing</t>
        </is>
      </c>
      <c r="J79" s="8" t="b">
        <v>1</v>
      </c>
      <c r="K79" s="8" t="b">
        <v>1</v>
      </c>
      <c r="L79" s="7" t="inlineStr">
        <is>
          <t>Hanya tahun 2010 tersedia di sumber untuk Laos</t>
        </is>
      </c>
      <c r="M79" s="7" t="inlineStr">
        <is>
          <t>Money Growth (kurang)</t>
        </is>
      </c>
    </row>
    <row r="80" ht="19" customHeight="1">
      <c r="A80" s="6" t="inlineStr">
        <is>
          <t>Laos</t>
        </is>
      </c>
      <c r="B80" s="7" t="inlineStr">
        <is>
          <t>money_growth</t>
        </is>
      </c>
      <c r="C80" s="6" t="inlineStr">
        <is>
          <t>2013 Q4</t>
        </is>
      </c>
      <c r="D80" s="10" t="n">
        <v>2013</v>
      </c>
      <c r="E80" s="10" t="n">
        <v>4</v>
      </c>
      <c r="F80" s="9" t="inlineStr"/>
      <c r="G80" s="8" t="n">
        <v>39.129</v>
      </c>
      <c r="H80" s="7" t="inlineStr">
        <is>
          <t>Constant Fallback (Historical Mean)</t>
        </is>
      </c>
      <c r="I80" s="7" t="inlineStr">
        <is>
          <t>extended_tail_missing</t>
        </is>
      </c>
      <c r="J80" s="8" t="b">
        <v>1</v>
      </c>
      <c r="K80" s="8" t="b">
        <v>1</v>
      </c>
      <c r="L80" s="7" t="inlineStr">
        <is>
          <t>Hanya tahun 2010 tersedia di sumber untuk Laos</t>
        </is>
      </c>
      <c r="M80" s="7" t="inlineStr">
        <is>
          <t>Money Growth (kurang)</t>
        </is>
      </c>
    </row>
    <row r="81" ht="19" customHeight="1">
      <c r="A81" s="6" t="inlineStr">
        <is>
          <t>Laos</t>
        </is>
      </c>
      <c r="B81" s="7" t="inlineStr">
        <is>
          <t>money_growth</t>
        </is>
      </c>
      <c r="C81" s="6" t="inlineStr">
        <is>
          <t>2014 Q1</t>
        </is>
      </c>
      <c r="D81" s="10" t="n">
        <v>2014</v>
      </c>
      <c r="E81" s="10" t="n">
        <v>1</v>
      </c>
      <c r="F81" s="9" t="inlineStr"/>
      <c r="G81" s="8" t="n">
        <v>39.129</v>
      </c>
      <c r="H81" s="7" t="inlineStr">
        <is>
          <t>Constant Fallback (Historical Mean)</t>
        </is>
      </c>
      <c r="I81" s="7" t="inlineStr">
        <is>
          <t>extended_tail_missing</t>
        </is>
      </c>
      <c r="J81" s="8" t="b">
        <v>1</v>
      </c>
      <c r="K81" s="8" t="b">
        <v>1</v>
      </c>
      <c r="L81" s="7" t="inlineStr">
        <is>
          <t>Hanya tahun 2010 tersedia di sumber untuk Laos</t>
        </is>
      </c>
      <c r="M81" s="7" t="inlineStr">
        <is>
          <t>Money Growth (kurang)</t>
        </is>
      </c>
    </row>
    <row r="82" ht="19" customHeight="1">
      <c r="A82" s="6" t="inlineStr">
        <is>
          <t>Laos</t>
        </is>
      </c>
      <c r="B82" s="7" t="inlineStr">
        <is>
          <t>money_growth</t>
        </is>
      </c>
      <c r="C82" s="6" t="inlineStr">
        <is>
          <t>2014 Q2</t>
        </is>
      </c>
      <c r="D82" s="10" t="n">
        <v>2014</v>
      </c>
      <c r="E82" s="10" t="n">
        <v>2</v>
      </c>
      <c r="F82" s="9" t="inlineStr"/>
      <c r="G82" s="8" t="n">
        <v>39.129</v>
      </c>
      <c r="H82" s="7" t="inlineStr">
        <is>
          <t>Constant Fallback (Historical Mean)</t>
        </is>
      </c>
      <c r="I82" s="7" t="inlineStr">
        <is>
          <t>extended_tail_missing</t>
        </is>
      </c>
      <c r="J82" s="8" t="b">
        <v>1</v>
      </c>
      <c r="K82" s="8" t="b">
        <v>1</v>
      </c>
      <c r="L82" s="7" t="inlineStr">
        <is>
          <t>Hanya tahun 2010 tersedia di sumber untuk Laos</t>
        </is>
      </c>
      <c r="M82" s="7" t="inlineStr">
        <is>
          <t>Money Growth (kurang)</t>
        </is>
      </c>
    </row>
    <row r="83" ht="19" customHeight="1">
      <c r="A83" s="6" t="inlineStr">
        <is>
          <t>Laos</t>
        </is>
      </c>
      <c r="B83" s="7" t="inlineStr">
        <is>
          <t>money_growth</t>
        </is>
      </c>
      <c r="C83" s="6" t="inlineStr">
        <is>
          <t>2014 Q3</t>
        </is>
      </c>
      <c r="D83" s="10" t="n">
        <v>2014</v>
      </c>
      <c r="E83" s="10" t="n">
        <v>3</v>
      </c>
      <c r="F83" s="9" t="inlineStr"/>
      <c r="G83" s="8" t="n">
        <v>39.129</v>
      </c>
      <c r="H83" s="7" t="inlineStr">
        <is>
          <t>Constant Fallback (Historical Mean)</t>
        </is>
      </c>
      <c r="I83" s="7" t="inlineStr">
        <is>
          <t>extended_tail_missing</t>
        </is>
      </c>
      <c r="J83" s="8" t="b">
        <v>1</v>
      </c>
      <c r="K83" s="8" t="b">
        <v>1</v>
      </c>
      <c r="L83" s="7" t="inlineStr">
        <is>
          <t>Hanya tahun 2010 tersedia di sumber untuk Laos</t>
        </is>
      </c>
      <c r="M83" s="7" t="inlineStr">
        <is>
          <t>Money Growth (kurang)</t>
        </is>
      </c>
    </row>
    <row r="84" ht="19" customHeight="1">
      <c r="A84" s="6" t="inlineStr">
        <is>
          <t>Laos</t>
        </is>
      </c>
      <c r="B84" s="7" t="inlineStr">
        <is>
          <t>money_growth</t>
        </is>
      </c>
      <c r="C84" s="6" t="inlineStr">
        <is>
          <t>2014 Q4</t>
        </is>
      </c>
      <c r="D84" s="10" t="n">
        <v>2014</v>
      </c>
      <c r="E84" s="10" t="n">
        <v>4</v>
      </c>
      <c r="F84" s="9" t="inlineStr"/>
      <c r="G84" s="8" t="n">
        <v>39.129</v>
      </c>
      <c r="H84" s="7" t="inlineStr">
        <is>
          <t>Constant Fallback (Historical Mean)</t>
        </is>
      </c>
      <c r="I84" s="7" t="inlineStr">
        <is>
          <t>extended_tail_missing</t>
        </is>
      </c>
      <c r="J84" s="8" t="b">
        <v>1</v>
      </c>
      <c r="K84" s="8" t="b">
        <v>1</v>
      </c>
      <c r="L84" s="7" t="inlineStr">
        <is>
          <t>Hanya tahun 2010 tersedia di sumber untuk Laos</t>
        </is>
      </c>
      <c r="M84" s="7" t="inlineStr">
        <is>
          <t>Money Growth (kurang)</t>
        </is>
      </c>
    </row>
    <row r="85" ht="19" customHeight="1">
      <c r="A85" s="6" t="inlineStr">
        <is>
          <t>Laos</t>
        </is>
      </c>
      <c r="B85" s="7" t="inlineStr">
        <is>
          <t>money_growth</t>
        </is>
      </c>
      <c r="C85" s="6" t="inlineStr">
        <is>
          <t>2015 Q1</t>
        </is>
      </c>
      <c r="D85" s="10" t="n">
        <v>2015</v>
      </c>
      <c r="E85" s="10" t="n">
        <v>1</v>
      </c>
      <c r="F85" s="9" t="inlineStr"/>
      <c r="G85" s="8" t="n">
        <v>39.129</v>
      </c>
      <c r="H85" s="7" t="inlineStr">
        <is>
          <t>Constant Fallback (Historical Mean)</t>
        </is>
      </c>
      <c r="I85" s="7" t="inlineStr">
        <is>
          <t>extended_tail_missing</t>
        </is>
      </c>
      <c r="J85" s="8" t="b">
        <v>1</v>
      </c>
      <c r="K85" s="8" t="b">
        <v>1</v>
      </c>
      <c r="L85" s="7" t="inlineStr">
        <is>
          <t>Hanya tahun 2010 tersedia di sumber untuk Laos</t>
        </is>
      </c>
      <c r="M85" s="7" t="inlineStr">
        <is>
          <t>Money Growth (kurang)</t>
        </is>
      </c>
    </row>
    <row r="86" ht="19" customHeight="1">
      <c r="A86" s="6" t="inlineStr">
        <is>
          <t>Laos</t>
        </is>
      </c>
      <c r="B86" s="7" t="inlineStr">
        <is>
          <t>money_growth</t>
        </is>
      </c>
      <c r="C86" s="6" t="inlineStr">
        <is>
          <t>2015 Q2</t>
        </is>
      </c>
      <c r="D86" s="10" t="n">
        <v>2015</v>
      </c>
      <c r="E86" s="10" t="n">
        <v>2</v>
      </c>
      <c r="F86" s="9" t="inlineStr"/>
      <c r="G86" s="8" t="n">
        <v>39.129</v>
      </c>
      <c r="H86" s="7" t="inlineStr">
        <is>
          <t>Constant Fallback (Historical Mean)</t>
        </is>
      </c>
      <c r="I86" s="7" t="inlineStr">
        <is>
          <t>extended_tail_missing</t>
        </is>
      </c>
      <c r="J86" s="8" t="b">
        <v>1</v>
      </c>
      <c r="K86" s="8" t="b">
        <v>1</v>
      </c>
      <c r="L86" s="7" t="inlineStr">
        <is>
          <t>Hanya tahun 2010 tersedia di sumber untuk Laos</t>
        </is>
      </c>
      <c r="M86" s="7" t="inlineStr">
        <is>
          <t>Money Growth (kurang)</t>
        </is>
      </c>
    </row>
    <row r="87" ht="19" customHeight="1">
      <c r="A87" s="6" t="inlineStr">
        <is>
          <t>Laos</t>
        </is>
      </c>
      <c r="B87" s="7" t="inlineStr">
        <is>
          <t>money_growth</t>
        </is>
      </c>
      <c r="C87" s="6" t="inlineStr">
        <is>
          <t>2015 Q3</t>
        </is>
      </c>
      <c r="D87" s="10" t="n">
        <v>2015</v>
      </c>
      <c r="E87" s="10" t="n">
        <v>3</v>
      </c>
      <c r="F87" s="9" t="inlineStr"/>
      <c r="G87" s="8" t="n">
        <v>39.129</v>
      </c>
      <c r="H87" s="7" t="inlineStr">
        <is>
          <t>Constant Fallback (Historical Mean)</t>
        </is>
      </c>
      <c r="I87" s="7" t="inlineStr">
        <is>
          <t>extended_tail_missing</t>
        </is>
      </c>
      <c r="J87" s="8" t="b">
        <v>1</v>
      </c>
      <c r="K87" s="8" t="b">
        <v>1</v>
      </c>
      <c r="L87" s="7" t="inlineStr">
        <is>
          <t>Hanya tahun 2010 tersedia di sumber untuk Laos</t>
        </is>
      </c>
      <c r="M87" s="7" t="inlineStr">
        <is>
          <t>Money Growth (kurang)</t>
        </is>
      </c>
    </row>
    <row r="88" ht="19" customHeight="1">
      <c r="A88" s="6" t="inlineStr">
        <is>
          <t>Laos</t>
        </is>
      </c>
      <c r="B88" s="7" t="inlineStr">
        <is>
          <t>money_growth</t>
        </is>
      </c>
      <c r="C88" s="6" t="inlineStr">
        <is>
          <t>2015 Q4</t>
        </is>
      </c>
      <c r="D88" s="10" t="n">
        <v>2015</v>
      </c>
      <c r="E88" s="10" t="n">
        <v>4</v>
      </c>
      <c r="F88" s="9" t="inlineStr"/>
      <c r="G88" s="8" t="n">
        <v>39.129</v>
      </c>
      <c r="H88" s="7" t="inlineStr">
        <is>
          <t>Constant Fallback (Historical Mean)</t>
        </is>
      </c>
      <c r="I88" s="7" t="inlineStr">
        <is>
          <t>extended_tail_missing</t>
        </is>
      </c>
      <c r="J88" s="8" t="b">
        <v>1</v>
      </c>
      <c r="K88" s="8" t="b">
        <v>1</v>
      </c>
      <c r="L88" s="7" t="inlineStr">
        <is>
          <t>Hanya tahun 2010 tersedia di sumber untuk Laos</t>
        </is>
      </c>
      <c r="M88" s="7" t="inlineStr">
        <is>
          <t>Money Growth (kurang)</t>
        </is>
      </c>
    </row>
    <row r="89" ht="19" customHeight="1">
      <c r="A89" s="6" t="inlineStr">
        <is>
          <t>Laos</t>
        </is>
      </c>
      <c r="B89" s="7" t="inlineStr">
        <is>
          <t>money_growth</t>
        </is>
      </c>
      <c r="C89" s="6" t="inlineStr">
        <is>
          <t>2016 Q1</t>
        </is>
      </c>
      <c r="D89" s="10" t="n">
        <v>2016</v>
      </c>
      <c r="E89" s="10" t="n">
        <v>1</v>
      </c>
      <c r="F89" s="9" t="inlineStr"/>
      <c r="G89" s="8" t="n">
        <v>39.129</v>
      </c>
      <c r="H89" s="7" t="inlineStr">
        <is>
          <t>Constant Fallback (Historical Mean)</t>
        </is>
      </c>
      <c r="I89" s="7" t="inlineStr">
        <is>
          <t>extended_tail_missing</t>
        </is>
      </c>
      <c r="J89" s="8" t="b">
        <v>1</v>
      </c>
      <c r="K89" s="8" t="b">
        <v>1</v>
      </c>
      <c r="L89" s="7" t="inlineStr">
        <is>
          <t>Hanya tahun 2010 tersedia di sumber untuk Laos</t>
        </is>
      </c>
      <c r="M89" s="7" t="inlineStr">
        <is>
          <t>Money Growth (kurang)</t>
        </is>
      </c>
    </row>
    <row r="90" ht="19" customHeight="1">
      <c r="A90" s="6" t="inlineStr">
        <is>
          <t>Laos</t>
        </is>
      </c>
      <c r="B90" s="7" t="inlineStr">
        <is>
          <t>money_growth</t>
        </is>
      </c>
      <c r="C90" s="6" t="inlineStr">
        <is>
          <t>2016 Q2</t>
        </is>
      </c>
      <c r="D90" s="10" t="n">
        <v>2016</v>
      </c>
      <c r="E90" s="10" t="n">
        <v>2</v>
      </c>
      <c r="F90" s="9" t="inlineStr"/>
      <c r="G90" s="8" t="n">
        <v>39.129</v>
      </c>
      <c r="H90" s="7" t="inlineStr">
        <is>
          <t>Constant Fallback (Historical Mean)</t>
        </is>
      </c>
      <c r="I90" s="7" t="inlineStr">
        <is>
          <t>extended_tail_missing</t>
        </is>
      </c>
      <c r="J90" s="8" t="b">
        <v>1</v>
      </c>
      <c r="K90" s="8" t="b">
        <v>1</v>
      </c>
      <c r="L90" s="7" t="inlineStr">
        <is>
          <t>Hanya tahun 2010 tersedia di sumber untuk Laos</t>
        </is>
      </c>
      <c r="M90" s="7" t="inlineStr">
        <is>
          <t>Money Growth (kurang)</t>
        </is>
      </c>
    </row>
    <row r="91" ht="19" customHeight="1">
      <c r="A91" s="6" t="inlineStr">
        <is>
          <t>Laos</t>
        </is>
      </c>
      <c r="B91" s="7" t="inlineStr">
        <is>
          <t>money_growth</t>
        </is>
      </c>
      <c r="C91" s="6" t="inlineStr">
        <is>
          <t>2016 Q3</t>
        </is>
      </c>
      <c r="D91" s="10" t="n">
        <v>2016</v>
      </c>
      <c r="E91" s="10" t="n">
        <v>3</v>
      </c>
      <c r="F91" s="9" t="inlineStr"/>
      <c r="G91" s="8" t="n">
        <v>39.129</v>
      </c>
      <c r="H91" s="7" t="inlineStr">
        <is>
          <t>Constant Fallback (Historical Mean)</t>
        </is>
      </c>
      <c r="I91" s="7" t="inlineStr">
        <is>
          <t>extended_tail_missing</t>
        </is>
      </c>
      <c r="J91" s="8" t="b">
        <v>1</v>
      </c>
      <c r="K91" s="8" t="b">
        <v>1</v>
      </c>
      <c r="L91" s="7" t="inlineStr">
        <is>
          <t>Hanya tahun 2010 tersedia di sumber untuk Laos</t>
        </is>
      </c>
      <c r="M91" s="7" t="inlineStr">
        <is>
          <t>Money Growth (kurang)</t>
        </is>
      </c>
    </row>
    <row r="92" ht="19" customHeight="1">
      <c r="A92" s="6" t="inlineStr">
        <is>
          <t>Laos</t>
        </is>
      </c>
      <c r="B92" s="7" t="inlineStr">
        <is>
          <t>money_growth</t>
        </is>
      </c>
      <c r="C92" s="6" t="inlineStr">
        <is>
          <t>2016 Q4</t>
        </is>
      </c>
      <c r="D92" s="10" t="n">
        <v>2016</v>
      </c>
      <c r="E92" s="10" t="n">
        <v>4</v>
      </c>
      <c r="F92" s="9" t="inlineStr"/>
      <c r="G92" s="8" t="n">
        <v>39.129</v>
      </c>
      <c r="H92" s="7" t="inlineStr">
        <is>
          <t>Constant Fallback (Historical Mean)</t>
        </is>
      </c>
      <c r="I92" s="7" t="inlineStr">
        <is>
          <t>extended_tail_missing</t>
        </is>
      </c>
      <c r="J92" s="8" t="b">
        <v>1</v>
      </c>
      <c r="K92" s="8" t="b">
        <v>1</v>
      </c>
      <c r="L92" s="7" t="inlineStr">
        <is>
          <t>Hanya tahun 2010 tersedia di sumber untuk Laos</t>
        </is>
      </c>
      <c r="M92" s="7" t="inlineStr">
        <is>
          <t>Money Growth (kurang)</t>
        </is>
      </c>
    </row>
    <row r="93" ht="19" customHeight="1">
      <c r="A93" s="6" t="inlineStr">
        <is>
          <t>Laos</t>
        </is>
      </c>
      <c r="B93" s="7" t="inlineStr">
        <is>
          <t>money_growth</t>
        </is>
      </c>
      <c r="C93" s="6" t="inlineStr">
        <is>
          <t>2017 Q1</t>
        </is>
      </c>
      <c r="D93" s="10" t="n">
        <v>2017</v>
      </c>
      <c r="E93" s="10" t="n">
        <v>1</v>
      </c>
      <c r="F93" s="9" t="inlineStr"/>
      <c r="G93" s="8" t="n">
        <v>39.129</v>
      </c>
      <c r="H93" s="7" t="inlineStr">
        <is>
          <t>Constant Fallback (Historical Mean)</t>
        </is>
      </c>
      <c r="I93" s="7" t="inlineStr">
        <is>
          <t>extended_tail_missing</t>
        </is>
      </c>
      <c r="J93" s="8" t="b">
        <v>1</v>
      </c>
      <c r="K93" s="8" t="b">
        <v>1</v>
      </c>
      <c r="L93" s="7" t="inlineStr">
        <is>
          <t>Hanya tahun 2010 tersedia di sumber untuk Laos</t>
        </is>
      </c>
      <c r="M93" s="7" t="inlineStr">
        <is>
          <t>Money Growth (kurang)</t>
        </is>
      </c>
    </row>
    <row r="94" ht="19" customHeight="1">
      <c r="A94" s="6" t="inlineStr">
        <is>
          <t>Laos</t>
        </is>
      </c>
      <c r="B94" s="7" t="inlineStr">
        <is>
          <t>money_growth</t>
        </is>
      </c>
      <c r="C94" s="6" t="inlineStr">
        <is>
          <t>2017 Q2</t>
        </is>
      </c>
      <c r="D94" s="10" t="n">
        <v>2017</v>
      </c>
      <c r="E94" s="10" t="n">
        <v>2</v>
      </c>
      <c r="F94" s="9" t="inlineStr"/>
      <c r="G94" s="8" t="n">
        <v>39.129</v>
      </c>
      <c r="H94" s="7" t="inlineStr">
        <is>
          <t>Constant Fallback (Historical Mean)</t>
        </is>
      </c>
      <c r="I94" s="7" t="inlineStr">
        <is>
          <t>extended_tail_missing</t>
        </is>
      </c>
      <c r="J94" s="8" t="b">
        <v>1</v>
      </c>
      <c r="K94" s="8" t="b">
        <v>1</v>
      </c>
      <c r="L94" s="7" t="inlineStr">
        <is>
          <t>Hanya tahun 2010 tersedia di sumber untuk Laos</t>
        </is>
      </c>
      <c r="M94" s="7" t="inlineStr">
        <is>
          <t>Money Growth (kurang)</t>
        </is>
      </c>
    </row>
    <row r="95" ht="19" customHeight="1">
      <c r="A95" s="6" t="inlineStr">
        <is>
          <t>Laos</t>
        </is>
      </c>
      <c r="B95" s="7" t="inlineStr">
        <is>
          <t>money_growth</t>
        </is>
      </c>
      <c r="C95" s="6" t="inlineStr">
        <is>
          <t>2017 Q3</t>
        </is>
      </c>
      <c r="D95" s="10" t="n">
        <v>2017</v>
      </c>
      <c r="E95" s="10" t="n">
        <v>3</v>
      </c>
      <c r="F95" s="9" t="inlineStr"/>
      <c r="G95" s="8" t="n">
        <v>39.129</v>
      </c>
      <c r="H95" s="7" t="inlineStr">
        <is>
          <t>Constant Fallback (Historical Mean)</t>
        </is>
      </c>
      <c r="I95" s="7" t="inlineStr">
        <is>
          <t>extended_tail_missing</t>
        </is>
      </c>
      <c r="J95" s="8" t="b">
        <v>1</v>
      </c>
      <c r="K95" s="8" t="b">
        <v>1</v>
      </c>
      <c r="L95" s="7" t="inlineStr">
        <is>
          <t>Hanya tahun 2010 tersedia di sumber untuk Laos</t>
        </is>
      </c>
      <c r="M95" s="7" t="inlineStr">
        <is>
          <t>Money Growth (kurang)</t>
        </is>
      </c>
    </row>
    <row r="96" ht="19" customHeight="1">
      <c r="A96" s="6" t="inlineStr">
        <is>
          <t>Laos</t>
        </is>
      </c>
      <c r="B96" s="7" t="inlineStr">
        <is>
          <t>money_growth</t>
        </is>
      </c>
      <c r="C96" s="6" t="inlineStr">
        <is>
          <t>2017 Q4</t>
        </is>
      </c>
      <c r="D96" s="10" t="n">
        <v>2017</v>
      </c>
      <c r="E96" s="10" t="n">
        <v>4</v>
      </c>
      <c r="F96" s="9" t="inlineStr"/>
      <c r="G96" s="8" t="n">
        <v>39.129</v>
      </c>
      <c r="H96" s="7" t="inlineStr">
        <is>
          <t>Constant Fallback (Historical Mean)</t>
        </is>
      </c>
      <c r="I96" s="7" t="inlineStr">
        <is>
          <t>extended_tail_missing</t>
        </is>
      </c>
      <c r="J96" s="8" t="b">
        <v>1</v>
      </c>
      <c r="K96" s="8" t="b">
        <v>1</v>
      </c>
      <c r="L96" s="7" t="inlineStr">
        <is>
          <t>Hanya tahun 2010 tersedia di sumber untuk Laos</t>
        </is>
      </c>
      <c r="M96" s="7" t="inlineStr">
        <is>
          <t>Money Growth (kurang)</t>
        </is>
      </c>
    </row>
    <row r="97" ht="19" customHeight="1">
      <c r="A97" s="6" t="inlineStr">
        <is>
          <t>Laos</t>
        </is>
      </c>
      <c r="B97" s="7" t="inlineStr">
        <is>
          <t>money_growth</t>
        </is>
      </c>
      <c r="C97" s="6" t="inlineStr">
        <is>
          <t>2018 Q1</t>
        </is>
      </c>
      <c r="D97" s="10" t="n">
        <v>2018</v>
      </c>
      <c r="E97" s="10" t="n">
        <v>1</v>
      </c>
      <c r="F97" s="9" t="inlineStr"/>
      <c r="G97" s="8" t="n">
        <v>39.129</v>
      </c>
      <c r="H97" s="7" t="inlineStr">
        <is>
          <t>Constant Fallback (Historical Mean)</t>
        </is>
      </c>
      <c r="I97" s="7" t="inlineStr">
        <is>
          <t>extended_tail_missing</t>
        </is>
      </c>
      <c r="J97" s="8" t="b">
        <v>1</v>
      </c>
      <c r="K97" s="8" t="b">
        <v>1</v>
      </c>
      <c r="L97" s="7" t="inlineStr">
        <is>
          <t>Hanya tahun 2010 tersedia di sumber untuk Laos</t>
        </is>
      </c>
      <c r="M97" s="7" t="inlineStr">
        <is>
          <t>Money Growth (kurang)</t>
        </is>
      </c>
    </row>
    <row r="98" ht="19" customHeight="1">
      <c r="A98" s="6" t="inlineStr">
        <is>
          <t>Laos</t>
        </is>
      </c>
      <c r="B98" s="7" t="inlineStr">
        <is>
          <t>money_growth</t>
        </is>
      </c>
      <c r="C98" s="6" t="inlineStr">
        <is>
          <t>2018 Q2</t>
        </is>
      </c>
      <c r="D98" s="10" t="n">
        <v>2018</v>
      </c>
      <c r="E98" s="10" t="n">
        <v>2</v>
      </c>
      <c r="F98" s="9" t="inlineStr"/>
      <c r="G98" s="8" t="n">
        <v>39.129</v>
      </c>
      <c r="H98" s="7" t="inlineStr">
        <is>
          <t>Constant Fallback (Historical Mean)</t>
        </is>
      </c>
      <c r="I98" s="7" t="inlineStr">
        <is>
          <t>extended_tail_missing</t>
        </is>
      </c>
      <c r="J98" s="8" t="b">
        <v>1</v>
      </c>
      <c r="K98" s="8" t="b">
        <v>1</v>
      </c>
      <c r="L98" s="7" t="inlineStr">
        <is>
          <t>Hanya tahun 2010 tersedia di sumber untuk Laos</t>
        </is>
      </c>
      <c r="M98" s="7" t="inlineStr">
        <is>
          <t>Money Growth (kurang)</t>
        </is>
      </c>
    </row>
    <row r="99" ht="19" customHeight="1">
      <c r="A99" s="6" t="inlineStr">
        <is>
          <t>Laos</t>
        </is>
      </c>
      <c r="B99" s="7" t="inlineStr">
        <is>
          <t>money_growth</t>
        </is>
      </c>
      <c r="C99" s="6" t="inlineStr">
        <is>
          <t>2018 Q3</t>
        </is>
      </c>
      <c r="D99" s="10" t="n">
        <v>2018</v>
      </c>
      <c r="E99" s="10" t="n">
        <v>3</v>
      </c>
      <c r="F99" s="9" t="inlineStr"/>
      <c r="G99" s="8" t="n">
        <v>39.129</v>
      </c>
      <c r="H99" s="7" t="inlineStr">
        <is>
          <t>Constant Fallback (Historical Mean)</t>
        </is>
      </c>
      <c r="I99" s="7" t="inlineStr">
        <is>
          <t>extended_tail_missing</t>
        </is>
      </c>
      <c r="J99" s="8" t="b">
        <v>1</v>
      </c>
      <c r="K99" s="8" t="b">
        <v>1</v>
      </c>
      <c r="L99" s="7" t="inlineStr">
        <is>
          <t>Hanya tahun 2010 tersedia di sumber untuk Laos</t>
        </is>
      </c>
      <c r="M99" s="7" t="inlineStr">
        <is>
          <t>Money Growth (kurang)</t>
        </is>
      </c>
    </row>
    <row r="100" ht="19" customHeight="1">
      <c r="A100" s="6" t="inlineStr">
        <is>
          <t>Laos</t>
        </is>
      </c>
      <c r="B100" s="7" t="inlineStr">
        <is>
          <t>money_growth</t>
        </is>
      </c>
      <c r="C100" s="6" t="inlineStr">
        <is>
          <t>2018 Q4</t>
        </is>
      </c>
      <c r="D100" s="10" t="n">
        <v>2018</v>
      </c>
      <c r="E100" s="10" t="n">
        <v>4</v>
      </c>
      <c r="F100" s="9" t="inlineStr"/>
      <c r="G100" s="8" t="n">
        <v>39.129</v>
      </c>
      <c r="H100" s="7" t="inlineStr">
        <is>
          <t>Constant Fallback (Historical Mean)</t>
        </is>
      </c>
      <c r="I100" s="7" t="inlineStr">
        <is>
          <t>extended_tail_missing</t>
        </is>
      </c>
      <c r="J100" s="8" t="b">
        <v>1</v>
      </c>
      <c r="K100" s="8" t="b">
        <v>1</v>
      </c>
      <c r="L100" s="7" t="inlineStr">
        <is>
          <t>Hanya tahun 2010 tersedia di sumber untuk Laos</t>
        </is>
      </c>
      <c r="M100" s="7" t="inlineStr">
        <is>
          <t>Money Growth (kurang)</t>
        </is>
      </c>
    </row>
    <row r="101" ht="19" customHeight="1">
      <c r="A101" s="6" t="inlineStr">
        <is>
          <t>Laos</t>
        </is>
      </c>
      <c r="B101" s="7" t="inlineStr">
        <is>
          <t>money_growth</t>
        </is>
      </c>
      <c r="C101" s="6" t="inlineStr">
        <is>
          <t>2019 Q1</t>
        </is>
      </c>
      <c r="D101" s="10" t="n">
        <v>2019</v>
      </c>
      <c r="E101" s="10" t="n">
        <v>1</v>
      </c>
      <c r="F101" s="9" t="inlineStr"/>
      <c r="G101" s="8" t="n">
        <v>39.129</v>
      </c>
      <c r="H101" s="7" t="inlineStr">
        <is>
          <t>Constant Fallback (Historical Mean)</t>
        </is>
      </c>
      <c r="I101" s="7" t="inlineStr">
        <is>
          <t>extended_tail_missing</t>
        </is>
      </c>
      <c r="J101" s="8" t="b">
        <v>1</v>
      </c>
      <c r="K101" s="8" t="b">
        <v>1</v>
      </c>
      <c r="L101" s="7" t="inlineStr">
        <is>
          <t>Hanya tahun 2010 tersedia di sumber untuk Laos</t>
        </is>
      </c>
      <c r="M101" s="7" t="inlineStr">
        <is>
          <t>Money Growth (kurang)</t>
        </is>
      </c>
    </row>
    <row r="102" ht="19" customHeight="1">
      <c r="A102" s="6" t="inlineStr">
        <is>
          <t>Laos</t>
        </is>
      </c>
      <c r="B102" s="7" t="inlineStr">
        <is>
          <t>money_growth</t>
        </is>
      </c>
      <c r="C102" s="6" t="inlineStr">
        <is>
          <t>2019 Q2</t>
        </is>
      </c>
      <c r="D102" s="10" t="n">
        <v>2019</v>
      </c>
      <c r="E102" s="10" t="n">
        <v>2</v>
      </c>
      <c r="F102" s="9" t="inlineStr"/>
      <c r="G102" s="8" t="n">
        <v>39.129</v>
      </c>
      <c r="H102" s="7" t="inlineStr">
        <is>
          <t>Constant Fallback (Historical Mean)</t>
        </is>
      </c>
      <c r="I102" s="7" t="inlineStr">
        <is>
          <t>extended_tail_missing</t>
        </is>
      </c>
      <c r="J102" s="8" t="b">
        <v>1</v>
      </c>
      <c r="K102" s="8" t="b">
        <v>1</v>
      </c>
      <c r="L102" s="7" t="inlineStr">
        <is>
          <t>Hanya tahun 2010 tersedia di sumber untuk Laos</t>
        </is>
      </c>
      <c r="M102" s="7" t="inlineStr">
        <is>
          <t>Money Growth (kurang)</t>
        </is>
      </c>
    </row>
    <row r="103" ht="19" customHeight="1">
      <c r="A103" s="6" t="inlineStr">
        <is>
          <t>Laos</t>
        </is>
      </c>
      <c r="B103" s="7" t="inlineStr">
        <is>
          <t>money_growth</t>
        </is>
      </c>
      <c r="C103" s="6" t="inlineStr">
        <is>
          <t>2019 Q3</t>
        </is>
      </c>
      <c r="D103" s="10" t="n">
        <v>2019</v>
      </c>
      <c r="E103" s="10" t="n">
        <v>3</v>
      </c>
      <c r="F103" s="9" t="inlineStr"/>
      <c r="G103" s="8" t="n">
        <v>39.129</v>
      </c>
      <c r="H103" s="7" t="inlineStr">
        <is>
          <t>Constant Fallback (Historical Mean)</t>
        </is>
      </c>
      <c r="I103" s="7" t="inlineStr">
        <is>
          <t>extended_tail_missing</t>
        </is>
      </c>
      <c r="J103" s="8" t="b">
        <v>1</v>
      </c>
      <c r="K103" s="8" t="b">
        <v>1</v>
      </c>
      <c r="L103" s="7" t="inlineStr">
        <is>
          <t>Hanya tahun 2010 tersedia di sumber untuk Laos</t>
        </is>
      </c>
      <c r="M103" s="7" t="inlineStr">
        <is>
          <t>Money Growth (kurang)</t>
        </is>
      </c>
    </row>
    <row r="104" ht="19" customHeight="1">
      <c r="A104" s="6" t="inlineStr">
        <is>
          <t>Laos</t>
        </is>
      </c>
      <c r="B104" s="7" t="inlineStr">
        <is>
          <t>money_growth</t>
        </is>
      </c>
      <c r="C104" s="6" t="inlineStr">
        <is>
          <t>2019 Q4</t>
        </is>
      </c>
      <c r="D104" s="10" t="n">
        <v>2019</v>
      </c>
      <c r="E104" s="10" t="n">
        <v>4</v>
      </c>
      <c r="F104" s="9" t="inlineStr"/>
      <c r="G104" s="8" t="n">
        <v>39.129</v>
      </c>
      <c r="H104" s="7" t="inlineStr">
        <is>
          <t>Constant Fallback (Historical Mean)</t>
        </is>
      </c>
      <c r="I104" s="7" t="inlineStr">
        <is>
          <t>extended_tail_missing</t>
        </is>
      </c>
      <c r="J104" s="8" t="b">
        <v>1</v>
      </c>
      <c r="K104" s="8" t="b">
        <v>1</v>
      </c>
      <c r="L104" s="7" t="inlineStr">
        <is>
          <t>Hanya tahun 2010 tersedia di sumber untuk Laos</t>
        </is>
      </c>
      <c r="M104" s="7" t="inlineStr">
        <is>
          <t>Money Growth (kurang)</t>
        </is>
      </c>
    </row>
    <row r="105" ht="19" customHeight="1">
      <c r="A105" s="6" t="inlineStr">
        <is>
          <t>Laos</t>
        </is>
      </c>
      <c r="B105" s="7" t="inlineStr">
        <is>
          <t>money_growth</t>
        </is>
      </c>
      <c r="C105" s="6" t="inlineStr">
        <is>
          <t>2020 Q1</t>
        </is>
      </c>
      <c r="D105" s="10" t="n">
        <v>2020</v>
      </c>
      <c r="E105" s="10" t="n">
        <v>1</v>
      </c>
      <c r="F105" s="9" t="inlineStr"/>
      <c r="G105" s="8" t="n">
        <v>39.129</v>
      </c>
      <c r="H105" s="7" t="inlineStr">
        <is>
          <t>Constant Fallback (Historical Mean)</t>
        </is>
      </c>
      <c r="I105" s="7" t="inlineStr">
        <is>
          <t>extended_tail_missing</t>
        </is>
      </c>
      <c r="J105" s="8" t="b">
        <v>1</v>
      </c>
      <c r="K105" s="8" t="b">
        <v>1</v>
      </c>
      <c r="L105" s="7" t="inlineStr">
        <is>
          <t>Hanya tahun 2010 tersedia di sumber untuk Laos</t>
        </is>
      </c>
      <c r="M105" s="7" t="inlineStr">
        <is>
          <t>Money Growth (kurang)</t>
        </is>
      </c>
    </row>
    <row r="106" ht="19" customHeight="1">
      <c r="A106" s="6" t="inlineStr">
        <is>
          <t>Laos</t>
        </is>
      </c>
      <c r="B106" s="7" t="inlineStr">
        <is>
          <t>money_growth</t>
        </is>
      </c>
      <c r="C106" s="6" t="inlineStr">
        <is>
          <t>2020 Q2</t>
        </is>
      </c>
      <c r="D106" s="10" t="n">
        <v>2020</v>
      </c>
      <c r="E106" s="10" t="n">
        <v>2</v>
      </c>
      <c r="F106" s="9" t="inlineStr"/>
      <c r="G106" s="8" t="n">
        <v>39.129</v>
      </c>
      <c r="H106" s="7" t="inlineStr">
        <is>
          <t>Constant Fallback (Historical Mean)</t>
        </is>
      </c>
      <c r="I106" s="7" t="inlineStr">
        <is>
          <t>extended_tail_missing</t>
        </is>
      </c>
      <c r="J106" s="8" t="b">
        <v>1</v>
      </c>
      <c r="K106" s="8" t="b">
        <v>1</v>
      </c>
      <c r="L106" s="7" t="inlineStr">
        <is>
          <t>Hanya tahun 2010 tersedia di sumber untuk Laos</t>
        </is>
      </c>
      <c r="M106" s="7" t="inlineStr">
        <is>
          <t>Money Growth (kurang)</t>
        </is>
      </c>
    </row>
    <row r="107" ht="19" customHeight="1">
      <c r="A107" s="6" t="inlineStr">
        <is>
          <t>Laos</t>
        </is>
      </c>
      <c r="B107" s="7" t="inlineStr">
        <is>
          <t>money_growth</t>
        </is>
      </c>
      <c r="C107" s="6" t="inlineStr">
        <is>
          <t>2020 Q3</t>
        </is>
      </c>
      <c r="D107" s="10" t="n">
        <v>2020</v>
      </c>
      <c r="E107" s="10" t="n">
        <v>3</v>
      </c>
      <c r="F107" s="9" t="inlineStr"/>
      <c r="G107" s="8" t="n">
        <v>39.129</v>
      </c>
      <c r="H107" s="7" t="inlineStr">
        <is>
          <t>Constant Fallback (Historical Mean)</t>
        </is>
      </c>
      <c r="I107" s="7" t="inlineStr">
        <is>
          <t>extended_tail_missing</t>
        </is>
      </c>
      <c r="J107" s="8" t="b">
        <v>1</v>
      </c>
      <c r="K107" s="8" t="b">
        <v>1</v>
      </c>
      <c r="L107" s="7" t="inlineStr">
        <is>
          <t>Hanya tahun 2010 tersedia di sumber untuk Laos</t>
        </is>
      </c>
      <c r="M107" s="7" t="inlineStr">
        <is>
          <t>Money Growth (kurang)</t>
        </is>
      </c>
    </row>
    <row r="108" ht="19" customHeight="1">
      <c r="A108" s="6" t="inlineStr">
        <is>
          <t>Laos</t>
        </is>
      </c>
      <c r="B108" s="7" t="inlineStr">
        <is>
          <t>money_growth</t>
        </is>
      </c>
      <c r="C108" s="6" t="inlineStr">
        <is>
          <t>2020 Q4</t>
        </is>
      </c>
      <c r="D108" s="10" t="n">
        <v>2020</v>
      </c>
      <c r="E108" s="10" t="n">
        <v>4</v>
      </c>
      <c r="F108" s="9" t="inlineStr"/>
      <c r="G108" s="8" t="n">
        <v>39.129</v>
      </c>
      <c r="H108" s="7" t="inlineStr">
        <is>
          <t>Constant Fallback (Historical Mean)</t>
        </is>
      </c>
      <c r="I108" s="7" t="inlineStr">
        <is>
          <t>extended_tail_missing</t>
        </is>
      </c>
      <c r="J108" s="8" t="b">
        <v>1</v>
      </c>
      <c r="K108" s="8" t="b">
        <v>1</v>
      </c>
      <c r="L108" s="7" t="inlineStr">
        <is>
          <t>Hanya tahun 2010 tersedia di sumber untuk Laos</t>
        </is>
      </c>
      <c r="M108" s="7" t="inlineStr">
        <is>
          <t>Money Growth (kurang)</t>
        </is>
      </c>
    </row>
    <row r="109" ht="19" customHeight="1">
      <c r="A109" s="6" t="inlineStr">
        <is>
          <t>Laos</t>
        </is>
      </c>
      <c r="B109" s="7" t="inlineStr">
        <is>
          <t>money_growth</t>
        </is>
      </c>
      <c r="C109" s="6" t="inlineStr">
        <is>
          <t>2021 Q1</t>
        </is>
      </c>
      <c r="D109" s="10" t="n">
        <v>2021</v>
      </c>
      <c r="E109" s="10" t="n">
        <v>1</v>
      </c>
      <c r="F109" s="9" t="inlineStr"/>
      <c r="G109" s="8" t="n">
        <v>39.129</v>
      </c>
      <c r="H109" s="7" t="inlineStr">
        <is>
          <t>Constant Fallback (Historical Mean)</t>
        </is>
      </c>
      <c r="I109" s="7" t="inlineStr">
        <is>
          <t>extended_tail_missing</t>
        </is>
      </c>
      <c r="J109" s="8" t="b">
        <v>1</v>
      </c>
      <c r="K109" s="8" t="b">
        <v>1</v>
      </c>
      <c r="L109" s="7" t="inlineStr">
        <is>
          <t>Hanya tahun 2010 tersedia di sumber untuk Laos</t>
        </is>
      </c>
      <c r="M109" s="7" t="inlineStr">
        <is>
          <t>Money Growth (kurang)</t>
        </is>
      </c>
    </row>
    <row r="110" ht="19" customHeight="1">
      <c r="A110" s="6" t="inlineStr">
        <is>
          <t>Laos</t>
        </is>
      </c>
      <c r="B110" s="7" t="inlineStr">
        <is>
          <t>money_growth</t>
        </is>
      </c>
      <c r="C110" s="6" t="inlineStr">
        <is>
          <t>2021 Q2</t>
        </is>
      </c>
      <c r="D110" s="10" t="n">
        <v>2021</v>
      </c>
      <c r="E110" s="10" t="n">
        <v>2</v>
      </c>
      <c r="F110" s="9" t="inlineStr"/>
      <c r="G110" s="8" t="n">
        <v>39.129</v>
      </c>
      <c r="H110" s="7" t="inlineStr">
        <is>
          <t>Constant Fallback (Historical Mean)</t>
        </is>
      </c>
      <c r="I110" s="7" t="inlineStr">
        <is>
          <t>extended_tail_missing</t>
        </is>
      </c>
      <c r="J110" s="8" t="b">
        <v>1</v>
      </c>
      <c r="K110" s="8" t="b">
        <v>1</v>
      </c>
      <c r="L110" s="7" t="inlineStr">
        <is>
          <t>Hanya tahun 2010 tersedia di sumber untuk Laos</t>
        </is>
      </c>
      <c r="M110" s="7" t="inlineStr">
        <is>
          <t>Money Growth (kurang)</t>
        </is>
      </c>
    </row>
    <row r="111" ht="19" customHeight="1">
      <c r="A111" s="6" t="inlineStr">
        <is>
          <t>Laos</t>
        </is>
      </c>
      <c r="B111" s="7" t="inlineStr">
        <is>
          <t>money_growth</t>
        </is>
      </c>
      <c r="C111" s="6" t="inlineStr">
        <is>
          <t>2021 Q3</t>
        </is>
      </c>
      <c r="D111" s="10" t="n">
        <v>2021</v>
      </c>
      <c r="E111" s="10" t="n">
        <v>3</v>
      </c>
      <c r="F111" s="9" t="inlineStr"/>
      <c r="G111" s="8" t="n">
        <v>39.129</v>
      </c>
      <c r="H111" s="7" t="inlineStr">
        <is>
          <t>Constant Fallback (Historical Mean)</t>
        </is>
      </c>
      <c r="I111" s="7" t="inlineStr">
        <is>
          <t>extended_tail_missing</t>
        </is>
      </c>
      <c r="J111" s="8" t="b">
        <v>1</v>
      </c>
      <c r="K111" s="8" t="b">
        <v>1</v>
      </c>
      <c r="L111" s="7" t="inlineStr">
        <is>
          <t>Hanya tahun 2010 tersedia di sumber untuk Laos</t>
        </is>
      </c>
      <c r="M111" s="7" t="inlineStr">
        <is>
          <t>Money Growth (kurang)</t>
        </is>
      </c>
    </row>
    <row r="112" ht="19" customHeight="1">
      <c r="A112" s="6" t="inlineStr">
        <is>
          <t>Laos</t>
        </is>
      </c>
      <c r="B112" s="7" t="inlineStr">
        <is>
          <t>money_growth</t>
        </is>
      </c>
      <c r="C112" s="6" t="inlineStr">
        <is>
          <t>2021 Q4</t>
        </is>
      </c>
      <c r="D112" s="10" t="n">
        <v>2021</v>
      </c>
      <c r="E112" s="10" t="n">
        <v>4</v>
      </c>
      <c r="F112" s="9" t="inlineStr"/>
      <c r="G112" s="8" t="n">
        <v>39.129</v>
      </c>
      <c r="H112" s="7" t="inlineStr">
        <is>
          <t>Constant Fallback (Historical Mean)</t>
        </is>
      </c>
      <c r="I112" s="7" t="inlineStr">
        <is>
          <t>extended_tail_missing</t>
        </is>
      </c>
      <c r="J112" s="8" t="b">
        <v>1</v>
      </c>
      <c r="K112" s="8" t="b">
        <v>1</v>
      </c>
      <c r="L112" s="7" t="inlineStr">
        <is>
          <t>Hanya tahun 2010 tersedia di sumber untuk Laos</t>
        </is>
      </c>
      <c r="M112" s="7" t="inlineStr">
        <is>
          <t>Money Growth (kurang)</t>
        </is>
      </c>
    </row>
    <row r="113" ht="19" customHeight="1">
      <c r="A113" s="6" t="inlineStr">
        <is>
          <t>Laos</t>
        </is>
      </c>
      <c r="B113" s="7" t="inlineStr">
        <is>
          <t>money_growth</t>
        </is>
      </c>
      <c r="C113" s="6" t="inlineStr">
        <is>
          <t>2022 Q1</t>
        </is>
      </c>
      <c r="D113" s="10" t="n">
        <v>2022</v>
      </c>
      <c r="E113" s="10" t="n">
        <v>1</v>
      </c>
      <c r="F113" s="9" t="inlineStr"/>
      <c r="G113" s="8" t="n">
        <v>39.129</v>
      </c>
      <c r="H113" s="7" t="inlineStr">
        <is>
          <t>Constant Fallback (Historical Mean)</t>
        </is>
      </c>
      <c r="I113" s="7" t="inlineStr">
        <is>
          <t>extended_tail_missing</t>
        </is>
      </c>
      <c r="J113" s="8" t="b">
        <v>1</v>
      </c>
      <c r="K113" s="8" t="b">
        <v>1</v>
      </c>
      <c r="L113" s="7" t="inlineStr">
        <is>
          <t>Hanya tahun 2010 tersedia di sumber untuk Laos</t>
        </is>
      </c>
      <c r="M113" s="7" t="inlineStr">
        <is>
          <t>Money Growth (kurang)</t>
        </is>
      </c>
    </row>
    <row r="114" ht="19" customHeight="1">
      <c r="A114" s="6" t="inlineStr">
        <is>
          <t>Laos</t>
        </is>
      </c>
      <c r="B114" s="7" t="inlineStr">
        <is>
          <t>money_growth</t>
        </is>
      </c>
      <c r="C114" s="6" t="inlineStr">
        <is>
          <t>2022 Q2</t>
        </is>
      </c>
      <c r="D114" s="10" t="n">
        <v>2022</v>
      </c>
      <c r="E114" s="10" t="n">
        <v>2</v>
      </c>
      <c r="F114" s="9" t="inlineStr"/>
      <c r="G114" s="8" t="n">
        <v>39.129</v>
      </c>
      <c r="H114" s="7" t="inlineStr">
        <is>
          <t>Constant Fallback (Historical Mean)</t>
        </is>
      </c>
      <c r="I114" s="7" t="inlineStr">
        <is>
          <t>extended_tail_missing</t>
        </is>
      </c>
      <c r="J114" s="8" t="b">
        <v>1</v>
      </c>
      <c r="K114" s="8" t="b">
        <v>1</v>
      </c>
      <c r="L114" s="7" t="inlineStr">
        <is>
          <t>Hanya tahun 2010 tersedia di sumber untuk Laos</t>
        </is>
      </c>
      <c r="M114" s="7" t="inlineStr">
        <is>
          <t>Money Growth (kurang)</t>
        </is>
      </c>
    </row>
    <row r="115" ht="19" customHeight="1">
      <c r="A115" s="6" t="inlineStr">
        <is>
          <t>Laos</t>
        </is>
      </c>
      <c r="B115" s="7" t="inlineStr">
        <is>
          <t>money_growth</t>
        </is>
      </c>
      <c r="C115" s="6" t="inlineStr">
        <is>
          <t>2022 Q3</t>
        </is>
      </c>
      <c r="D115" s="10" t="n">
        <v>2022</v>
      </c>
      <c r="E115" s="10" t="n">
        <v>3</v>
      </c>
      <c r="F115" s="9" t="inlineStr"/>
      <c r="G115" s="8" t="n">
        <v>39.129</v>
      </c>
      <c r="H115" s="7" t="inlineStr">
        <is>
          <t>Constant Fallback (Historical Mean)</t>
        </is>
      </c>
      <c r="I115" s="7" t="inlineStr">
        <is>
          <t>extended_tail_missing</t>
        </is>
      </c>
      <c r="J115" s="8" t="b">
        <v>1</v>
      </c>
      <c r="K115" s="8" t="b">
        <v>1</v>
      </c>
      <c r="L115" s="7" t="inlineStr">
        <is>
          <t>Hanya tahun 2010 tersedia di sumber untuk Laos</t>
        </is>
      </c>
      <c r="M115" s="7" t="inlineStr">
        <is>
          <t>Money Growth (kurang)</t>
        </is>
      </c>
    </row>
    <row r="116" ht="19" customHeight="1">
      <c r="A116" s="6" t="inlineStr">
        <is>
          <t>Laos</t>
        </is>
      </c>
      <c r="B116" s="7" t="inlineStr">
        <is>
          <t>money_growth</t>
        </is>
      </c>
      <c r="C116" s="6" t="inlineStr">
        <is>
          <t>2022 Q4</t>
        </is>
      </c>
      <c r="D116" s="10" t="n">
        <v>2022</v>
      </c>
      <c r="E116" s="10" t="n">
        <v>4</v>
      </c>
      <c r="F116" s="9" t="inlineStr"/>
      <c r="G116" s="8" t="n">
        <v>39.129</v>
      </c>
      <c r="H116" s="7" t="inlineStr">
        <is>
          <t>Constant Fallback (Historical Mean)</t>
        </is>
      </c>
      <c r="I116" s="7" t="inlineStr">
        <is>
          <t>extended_tail_missing</t>
        </is>
      </c>
      <c r="J116" s="8" t="b">
        <v>1</v>
      </c>
      <c r="K116" s="8" t="b">
        <v>1</v>
      </c>
      <c r="L116" s="7" t="inlineStr">
        <is>
          <t>Hanya tahun 2010 tersedia di sumber untuk Laos</t>
        </is>
      </c>
      <c r="M116" s="7" t="inlineStr">
        <is>
          <t>Money Growth (kurang)</t>
        </is>
      </c>
    </row>
    <row r="117" ht="19" customHeight="1">
      <c r="A117" s="6" t="inlineStr">
        <is>
          <t>Laos</t>
        </is>
      </c>
      <c r="B117" s="7" t="inlineStr">
        <is>
          <t>money_growth</t>
        </is>
      </c>
      <c r="C117" s="6" t="inlineStr">
        <is>
          <t>2023 Q1</t>
        </is>
      </c>
      <c r="D117" s="10" t="n">
        <v>2023</v>
      </c>
      <c r="E117" s="10" t="n">
        <v>1</v>
      </c>
      <c r="F117" s="9" t="inlineStr"/>
      <c r="G117" s="8" t="n">
        <v>39.129</v>
      </c>
      <c r="H117" s="7" t="inlineStr">
        <is>
          <t>Constant Fallback (Historical Mean)</t>
        </is>
      </c>
      <c r="I117" s="7" t="inlineStr">
        <is>
          <t>extended_tail_missing</t>
        </is>
      </c>
      <c r="J117" s="8" t="b">
        <v>1</v>
      </c>
      <c r="K117" s="8" t="b">
        <v>1</v>
      </c>
      <c r="L117" s="7" t="inlineStr">
        <is>
          <t>Hanya tahun 2010 tersedia di sumber untuk Laos</t>
        </is>
      </c>
      <c r="M117" s="7" t="inlineStr">
        <is>
          <t>Money Growth (kurang)</t>
        </is>
      </c>
    </row>
    <row r="118" ht="19" customHeight="1">
      <c r="A118" s="6" t="inlineStr">
        <is>
          <t>Laos</t>
        </is>
      </c>
      <c r="B118" s="7" t="inlineStr">
        <is>
          <t>money_growth</t>
        </is>
      </c>
      <c r="C118" s="6" t="inlineStr">
        <is>
          <t>2023 Q2</t>
        </is>
      </c>
      <c r="D118" s="10" t="n">
        <v>2023</v>
      </c>
      <c r="E118" s="10" t="n">
        <v>2</v>
      </c>
      <c r="F118" s="9" t="inlineStr"/>
      <c r="G118" s="8" t="n">
        <v>39.129</v>
      </c>
      <c r="H118" s="7" t="inlineStr">
        <is>
          <t>Constant Fallback (Historical Mean)</t>
        </is>
      </c>
      <c r="I118" s="7" t="inlineStr">
        <is>
          <t>extended_tail_missing</t>
        </is>
      </c>
      <c r="J118" s="8" t="b">
        <v>1</v>
      </c>
      <c r="K118" s="8" t="b">
        <v>1</v>
      </c>
      <c r="L118" s="7" t="inlineStr">
        <is>
          <t>Hanya tahun 2010 tersedia di sumber untuk Laos</t>
        </is>
      </c>
      <c r="M118" s="7" t="inlineStr">
        <is>
          <t>Money Growth (kurang)</t>
        </is>
      </c>
    </row>
    <row r="119" ht="19" customHeight="1">
      <c r="A119" s="6" t="inlineStr">
        <is>
          <t>Laos</t>
        </is>
      </c>
      <c r="B119" s="7" t="inlineStr">
        <is>
          <t>money_growth</t>
        </is>
      </c>
      <c r="C119" s="6" t="inlineStr">
        <is>
          <t>2023 Q3</t>
        </is>
      </c>
      <c r="D119" s="10" t="n">
        <v>2023</v>
      </c>
      <c r="E119" s="10" t="n">
        <v>3</v>
      </c>
      <c r="F119" s="9" t="inlineStr"/>
      <c r="G119" s="8" t="n">
        <v>39.129</v>
      </c>
      <c r="H119" s="7" t="inlineStr">
        <is>
          <t>Constant Fallback (Historical Mean)</t>
        </is>
      </c>
      <c r="I119" s="7" t="inlineStr">
        <is>
          <t>extended_tail_missing</t>
        </is>
      </c>
      <c r="J119" s="8" t="b">
        <v>1</v>
      </c>
      <c r="K119" s="8" t="b">
        <v>1</v>
      </c>
      <c r="L119" s="7" t="inlineStr">
        <is>
          <t>Hanya tahun 2010 tersedia di sumber untuk Laos</t>
        </is>
      </c>
      <c r="M119" s="7" t="inlineStr">
        <is>
          <t>Money Growth (kurang)</t>
        </is>
      </c>
    </row>
    <row r="120" ht="19" customHeight="1">
      <c r="A120" s="6" t="inlineStr">
        <is>
          <t>Laos</t>
        </is>
      </c>
      <c r="B120" s="7" t="inlineStr">
        <is>
          <t>money_growth</t>
        </is>
      </c>
      <c r="C120" s="6" t="inlineStr">
        <is>
          <t>2023 Q4</t>
        </is>
      </c>
      <c r="D120" s="10" t="n">
        <v>2023</v>
      </c>
      <c r="E120" s="10" t="n">
        <v>4</v>
      </c>
      <c r="F120" s="9" t="inlineStr"/>
      <c r="G120" s="8" t="n">
        <v>39.129</v>
      </c>
      <c r="H120" s="7" t="inlineStr">
        <is>
          <t>Constant Fallback (Historical Mean)</t>
        </is>
      </c>
      <c r="I120" s="7" t="inlineStr">
        <is>
          <t>extended_tail_missing</t>
        </is>
      </c>
      <c r="J120" s="8" t="b">
        <v>1</v>
      </c>
      <c r="K120" s="8" t="b">
        <v>1</v>
      </c>
      <c r="L120" s="7" t="inlineStr">
        <is>
          <t>Hanya tahun 2010 tersedia di sumber untuk Laos</t>
        </is>
      </c>
      <c r="M120" s="7" t="inlineStr">
        <is>
          <t>Money Growth (kurang)</t>
        </is>
      </c>
    </row>
    <row r="121" ht="19" customHeight="1">
      <c r="A121" s="6" t="inlineStr">
        <is>
          <t>Laos</t>
        </is>
      </c>
      <c r="B121" s="7" t="inlineStr">
        <is>
          <t>money_growth</t>
        </is>
      </c>
      <c r="C121" s="6" t="inlineStr">
        <is>
          <t>2024 Q1</t>
        </is>
      </c>
      <c r="D121" s="10" t="n">
        <v>2024</v>
      </c>
      <c r="E121" s="10" t="n">
        <v>1</v>
      </c>
      <c r="F121" s="9" t="inlineStr"/>
      <c r="G121" s="8" t="n">
        <v>39.129</v>
      </c>
      <c r="H121" s="7" t="inlineStr">
        <is>
          <t>Constant Fallback (Historical Mean)</t>
        </is>
      </c>
      <c r="I121" s="7" t="inlineStr">
        <is>
          <t>extended_tail_missing</t>
        </is>
      </c>
      <c r="J121" s="8" t="b">
        <v>1</v>
      </c>
      <c r="K121" s="8" t="b">
        <v>1</v>
      </c>
      <c r="L121" s="7" t="inlineStr">
        <is>
          <t>Hanya tahun 2010 tersedia di sumber untuk Laos</t>
        </is>
      </c>
      <c r="M121" s="7" t="inlineStr">
        <is>
          <t>Money Growth (kurang)</t>
        </is>
      </c>
    </row>
    <row r="122" ht="19" customHeight="1">
      <c r="A122" s="6" t="inlineStr">
        <is>
          <t>Laos</t>
        </is>
      </c>
      <c r="B122" s="7" t="inlineStr">
        <is>
          <t>money_growth</t>
        </is>
      </c>
      <c r="C122" s="6" t="inlineStr">
        <is>
          <t>2024 Q2</t>
        </is>
      </c>
      <c r="D122" s="10" t="n">
        <v>2024</v>
      </c>
      <c r="E122" s="10" t="n">
        <v>2</v>
      </c>
      <c r="F122" s="9" t="inlineStr"/>
      <c r="G122" s="8" t="n">
        <v>39.129</v>
      </c>
      <c r="H122" s="7" t="inlineStr">
        <is>
          <t>Constant Fallback (Historical Mean)</t>
        </is>
      </c>
      <c r="I122" s="7" t="inlineStr">
        <is>
          <t>extended_tail_missing</t>
        </is>
      </c>
      <c r="J122" s="8" t="b">
        <v>1</v>
      </c>
      <c r="K122" s="8" t="b">
        <v>1</v>
      </c>
      <c r="L122" s="7" t="inlineStr">
        <is>
          <t>Hanya tahun 2010 tersedia di sumber untuk Laos</t>
        </is>
      </c>
      <c r="M122" s="7" t="inlineStr">
        <is>
          <t>Money Growth (kurang)</t>
        </is>
      </c>
    </row>
    <row r="123" ht="19" customHeight="1">
      <c r="A123" s="6" t="inlineStr">
        <is>
          <t>Laos</t>
        </is>
      </c>
      <c r="B123" s="7" t="inlineStr">
        <is>
          <t>money_growth</t>
        </is>
      </c>
      <c r="C123" s="6" t="inlineStr">
        <is>
          <t>2024 Q3</t>
        </is>
      </c>
      <c r="D123" s="10" t="n">
        <v>2024</v>
      </c>
      <c r="E123" s="10" t="n">
        <v>3</v>
      </c>
      <c r="F123" s="9" t="inlineStr"/>
      <c r="G123" s="8" t="n">
        <v>39.129</v>
      </c>
      <c r="H123" s="7" t="inlineStr">
        <is>
          <t>Constant Fallback (Historical Mean)</t>
        </is>
      </c>
      <c r="I123" s="7" t="inlineStr">
        <is>
          <t>extended_tail_missing</t>
        </is>
      </c>
      <c r="J123" s="8" t="b">
        <v>1</v>
      </c>
      <c r="K123" s="8" t="b">
        <v>1</v>
      </c>
      <c r="L123" s="7" t="inlineStr">
        <is>
          <t>Hanya tahun 2010 tersedia di sumber untuk Laos</t>
        </is>
      </c>
      <c r="M123" s="7" t="inlineStr">
        <is>
          <t>Money Growth (kurang)</t>
        </is>
      </c>
    </row>
    <row r="124" ht="19" customHeight="1">
      <c r="A124" s="6" t="inlineStr">
        <is>
          <t>Laos</t>
        </is>
      </c>
      <c r="B124" s="7" t="inlineStr">
        <is>
          <t>money_growth</t>
        </is>
      </c>
      <c r="C124" s="6" t="inlineStr">
        <is>
          <t>2024 Q4</t>
        </is>
      </c>
      <c r="D124" s="10" t="n">
        <v>2024</v>
      </c>
      <c r="E124" s="10" t="n">
        <v>4</v>
      </c>
      <c r="F124" s="9" t="inlineStr"/>
      <c r="G124" s="8" t="n">
        <v>39.129</v>
      </c>
      <c r="H124" s="7" t="inlineStr">
        <is>
          <t>Constant Fallback (Historical Mean)</t>
        </is>
      </c>
      <c r="I124" s="7" t="inlineStr">
        <is>
          <t>extended_tail_missing</t>
        </is>
      </c>
      <c r="J124" s="8" t="b">
        <v>1</v>
      </c>
      <c r="K124" s="8" t="b">
        <v>1</v>
      </c>
      <c r="L124" s="7" t="inlineStr">
        <is>
          <t>Hanya tahun 2010 tersedia di sumber untuk Laos</t>
        </is>
      </c>
      <c r="M124" s="7" t="inlineStr">
        <is>
          <t>Money Growth (kurang)</t>
        </is>
      </c>
    </row>
    <row r="125" ht="19" customHeight="1">
      <c r="A125" s="6" t="inlineStr">
        <is>
          <t>Laos</t>
        </is>
      </c>
      <c r="B125" s="7" t="inlineStr">
        <is>
          <t>money_growth</t>
        </is>
      </c>
      <c r="C125" s="6" t="inlineStr">
        <is>
          <t>2025 Q1</t>
        </is>
      </c>
      <c r="D125" s="10" t="n">
        <v>2025</v>
      </c>
      <c r="E125" s="10" t="n">
        <v>1</v>
      </c>
      <c r="F125" s="9" t="inlineStr"/>
      <c r="G125" s="8" t="n">
        <v>39.129</v>
      </c>
      <c r="H125" s="7" t="inlineStr">
        <is>
          <t>Constant Fallback (Historical Mean)</t>
        </is>
      </c>
      <c r="I125" s="7" t="inlineStr">
        <is>
          <t>extended_tail_missing</t>
        </is>
      </c>
      <c r="J125" s="8" t="b">
        <v>1</v>
      </c>
      <c r="K125" s="8" t="b">
        <v>1</v>
      </c>
      <c r="L125" s="7" t="inlineStr">
        <is>
          <t>Hanya tahun 2010 tersedia di sumber untuk Laos</t>
        </is>
      </c>
      <c r="M125" s="7" t="inlineStr">
        <is>
          <t>Money Growth (kurang)</t>
        </is>
      </c>
    </row>
    <row r="126" ht="19" customHeight="1">
      <c r="A126" s="6" t="inlineStr">
        <is>
          <t>Laos</t>
        </is>
      </c>
      <c r="B126" s="7" t="inlineStr">
        <is>
          <t>money_growth</t>
        </is>
      </c>
      <c r="C126" s="6" t="inlineStr">
        <is>
          <t>2025 Q2</t>
        </is>
      </c>
      <c r="D126" s="10" t="n">
        <v>2025</v>
      </c>
      <c r="E126" s="10" t="n">
        <v>2</v>
      </c>
      <c r="F126" s="9" t="inlineStr"/>
      <c r="G126" s="8" t="n">
        <v>39.129</v>
      </c>
      <c r="H126" s="7" t="inlineStr">
        <is>
          <t>Constant Fallback (Historical Mean)</t>
        </is>
      </c>
      <c r="I126" s="7" t="inlineStr">
        <is>
          <t>extended_tail_missing</t>
        </is>
      </c>
      <c r="J126" s="8" t="b">
        <v>1</v>
      </c>
      <c r="K126" s="8" t="b">
        <v>1</v>
      </c>
      <c r="L126" s="7" t="inlineStr">
        <is>
          <t>Hanya tahun 2010 tersedia di sumber untuk Laos</t>
        </is>
      </c>
      <c r="M126" s="7" t="inlineStr">
        <is>
          <t>Money Growth (kurang)</t>
        </is>
      </c>
    </row>
    <row r="127" ht="19" customHeight="1">
      <c r="A127" s="6" t="inlineStr">
        <is>
          <t>Laos</t>
        </is>
      </c>
      <c r="B127" s="7" t="inlineStr">
        <is>
          <t>money_growth</t>
        </is>
      </c>
      <c r="C127" s="6" t="inlineStr">
        <is>
          <t>2025 Q3</t>
        </is>
      </c>
      <c r="D127" s="10" t="n">
        <v>2025</v>
      </c>
      <c r="E127" s="10" t="n">
        <v>3</v>
      </c>
      <c r="F127" s="9" t="inlineStr"/>
      <c r="G127" s="8" t="n">
        <v>39.129</v>
      </c>
      <c r="H127" s="7" t="inlineStr">
        <is>
          <t>Constant Fallback (Historical Mean)</t>
        </is>
      </c>
      <c r="I127" s="7" t="inlineStr">
        <is>
          <t>extended_tail_missing</t>
        </is>
      </c>
      <c r="J127" s="8" t="b">
        <v>1</v>
      </c>
      <c r="K127" s="8" t="b">
        <v>1</v>
      </c>
      <c r="L127" s="7" t="inlineStr">
        <is>
          <t>Hanya tahun 2010 tersedia di sumber untuk Laos</t>
        </is>
      </c>
      <c r="M127" s="7" t="inlineStr">
        <is>
          <t>Money Growth (kurang)</t>
        </is>
      </c>
    </row>
    <row r="128" ht="19" customHeight="1">
      <c r="A128" s="6" t="inlineStr">
        <is>
          <t>Laos</t>
        </is>
      </c>
      <c r="B128" s="7" t="inlineStr">
        <is>
          <t>money_growth</t>
        </is>
      </c>
      <c r="C128" s="6" t="inlineStr">
        <is>
          <t>2025 Q4</t>
        </is>
      </c>
      <c r="D128" s="10" t="n">
        <v>2025</v>
      </c>
      <c r="E128" s="10" t="n">
        <v>4</v>
      </c>
      <c r="F128" s="9" t="inlineStr"/>
      <c r="G128" s="8" t="n">
        <v>39.129</v>
      </c>
      <c r="H128" s="7" t="inlineStr">
        <is>
          <t>Constant Fallback (Historical Mean)</t>
        </is>
      </c>
      <c r="I128" s="7" t="inlineStr">
        <is>
          <t>extended_tail_missing</t>
        </is>
      </c>
      <c r="J128" s="8" t="b">
        <v>1</v>
      </c>
      <c r="K128" s="8" t="b">
        <v>1</v>
      </c>
      <c r="L128" s="7" t="inlineStr">
        <is>
          <t>Hanya tahun 2010 tersedia di sumber untuk Laos</t>
        </is>
      </c>
      <c r="M128" s="7" t="inlineStr">
        <is>
          <t>Money Growth (kurang)</t>
        </is>
      </c>
    </row>
    <row r="129" ht="19" customHeight="1">
      <c r="A129" s="6" t="inlineStr">
        <is>
          <t>Myanmar</t>
        </is>
      </c>
      <c r="B129" s="7" t="inlineStr">
        <is>
          <t>money_growth</t>
        </is>
      </c>
      <c r="C129" s="6" t="inlineStr">
        <is>
          <t>2021 Q1</t>
        </is>
      </c>
      <c r="D129" s="10" t="n">
        <v>2021</v>
      </c>
      <c r="E129" s="10" t="n">
        <v>1</v>
      </c>
      <c r="F129" s="9" t="inlineStr"/>
      <c r="G129" s="8" t="n">
        <v>16.8609</v>
      </c>
      <c r="H129" s="7" t="inlineStr">
        <is>
          <t>Trailing 8-Quarter Moving Average Extrapolation</t>
        </is>
      </c>
      <c r="I129" s="7" t="inlineStr">
        <is>
          <t>tail_missing</t>
        </is>
      </c>
      <c r="J129" s="8" t="b">
        <v>1</v>
      </c>
      <c r="K129" s="8" t="b">
        <v>1</v>
      </c>
      <c r="L129" s="7" t="inlineStr">
        <is>
          <t>Data Money Growth tahun akhir belum tersedia di sumber</t>
        </is>
      </c>
      <c r="M129" s="7" t="inlineStr">
        <is>
          <t>Money Growth (kurang)</t>
        </is>
      </c>
    </row>
    <row r="130" ht="19" customHeight="1">
      <c r="A130" s="6" t="inlineStr">
        <is>
          <t>Myanmar</t>
        </is>
      </c>
      <c r="B130" s="7" t="inlineStr">
        <is>
          <t>money_growth</t>
        </is>
      </c>
      <c r="C130" s="6" t="inlineStr">
        <is>
          <t>2021 Q2</t>
        </is>
      </c>
      <c r="D130" s="10" t="n">
        <v>2021</v>
      </c>
      <c r="E130" s="10" t="n">
        <v>2</v>
      </c>
      <c r="F130" s="9" t="inlineStr"/>
      <c r="G130" s="8" t="n">
        <v>16.8609</v>
      </c>
      <c r="H130" s="7" t="inlineStr">
        <is>
          <t>Trailing 8-Quarter Moving Average Extrapolation</t>
        </is>
      </c>
      <c r="I130" s="7" t="inlineStr">
        <is>
          <t>tail_missing</t>
        </is>
      </c>
      <c r="J130" s="8" t="b">
        <v>1</v>
      </c>
      <c r="K130" s="8" t="b">
        <v>1</v>
      </c>
      <c r="L130" s="7" t="inlineStr">
        <is>
          <t>Data Money Growth tahun akhir belum tersedia di sumber</t>
        </is>
      </c>
      <c r="M130" s="7" t="inlineStr">
        <is>
          <t>Money Growth (kurang)</t>
        </is>
      </c>
    </row>
    <row r="131" ht="19" customHeight="1">
      <c r="A131" s="6" t="inlineStr">
        <is>
          <t>Myanmar</t>
        </is>
      </c>
      <c r="B131" s="7" t="inlineStr">
        <is>
          <t>money_growth</t>
        </is>
      </c>
      <c r="C131" s="6" t="inlineStr">
        <is>
          <t>2021 Q3</t>
        </is>
      </c>
      <c r="D131" s="10" t="n">
        <v>2021</v>
      </c>
      <c r="E131" s="10" t="n">
        <v>3</v>
      </c>
      <c r="F131" s="9" t="inlineStr"/>
      <c r="G131" s="8" t="n">
        <v>16.8609</v>
      </c>
      <c r="H131" s="7" t="inlineStr">
        <is>
          <t>Trailing 8-Quarter Moving Average Extrapolation</t>
        </is>
      </c>
      <c r="I131" s="7" t="inlineStr">
        <is>
          <t>tail_missing</t>
        </is>
      </c>
      <c r="J131" s="8" t="b">
        <v>1</v>
      </c>
      <c r="K131" s="8" t="b">
        <v>1</v>
      </c>
      <c r="L131" s="7" t="inlineStr">
        <is>
          <t>Data Money Growth tahun akhir belum tersedia di sumber</t>
        </is>
      </c>
      <c r="M131" s="7" t="inlineStr">
        <is>
          <t>Money Growth (kurang)</t>
        </is>
      </c>
    </row>
    <row r="132" ht="19" customHeight="1">
      <c r="A132" s="6" t="inlineStr">
        <is>
          <t>Myanmar</t>
        </is>
      </c>
      <c r="B132" s="7" t="inlineStr">
        <is>
          <t>money_growth</t>
        </is>
      </c>
      <c r="C132" s="6" t="inlineStr">
        <is>
          <t>2021 Q4</t>
        </is>
      </c>
      <c r="D132" s="10" t="n">
        <v>2021</v>
      </c>
      <c r="E132" s="10" t="n">
        <v>4</v>
      </c>
      <c r="F132" s="9" t="inlineStr"/>
      <c r="G132" s="8" t="n">
        <v>16.8609</v>
      </c>
      <c r="H132" s="7" t="inlineStr">
        <is>
          <t>Trailing 8-Quarter Moving Average Extrapolation</t>
        </is>
      </c>
      <c r="I132" s="7" t="inlineStr">
        <is>
          <t>tail_missing</t>
        </is>
      </c>
      <c r="J132" s="8" t="b">
        <v>1</v>
      </c>
      <c r="K132" s="8" t="b">
        <v>1</v>
      </c>
      <c r="L132" s="7" t="inlineStr">
        <is>
          <t>Data Money Growth tahun akhir belum tersedia di sumber</t>
        </is>
      </c>
      <c r="M132" s="7" t="inlineStr">
        <is>
          <t>Money Growth (kurang)</t>
        </is>
      </c>
    </row>
    <row r="133" ht="19" customHeight="1">
      <c r="A133" s="6" t="inlineStr">
        <is>
          <t>Myanmar</t>
        </is>
      </c>
      <c r="B133" s="7" t="inlineStr">
        <is>
          <t>money_growth</t>
        </is>
      </c>
      <c r="C133" s="6" t="inlineStr">
        <is>
          <t>2022 Q1</t>
        </is>
      </c>
      <c r="D133" s="10" t="n">
        <v>2022</v>
      </c>
      <c r="E133" s="10" t="n">
        <v>1</v>
      </c>
      <c r="F133" s="9" t="inlineStr"/>
      <c r="G133" s="8" t="n">
        <v>16.8609</v>
      </c>
      <c r="H133" s="7" t="inlineStr">
        <is>
          <t>Trailing 8-Quarter Moving Average Extrapolation</t>
        </is>
      </c>
      <c r="I133" s="7" t="inlineStr">
        <is>
          <t>tail_missing</t>
        </is>
      </c>
      <c r="J133" s="8" t="b">
        <v>1</v>
      </c>
      <c r="K133" s="8" t="b">
        <v>1</v>
      </c>
      <c r="L133" s="7" t="inlineStr">
        <is>
          <t>Data Money Growth tahun akhir belum tersedia di sumber</t>
        </is>
      </c>
      <c r="M133" s="7" t="inlineStr">
        <is>
          <t>Money Growth (kurang)</t>
        </is>
      </c>
    </row>
    <row r="134" ht="19" customHeight="1">
      <c r="A134" s="6" t="inlineStr">
        <is>
          <t>Myanmar</t>
        </is>
      </c>
      <c r="B134" s="7" t="inlineStr">
        <is>
          <t>money_growth</t>
        </is>
      </c>
      <c r="C134" s="6" t="inlineStr">
        <is>
          <t>2022 Q2</t>
        </is>
      </c>
      <c r="D134" s="10" t="n">
        <v>2022</v>
      </c>
      <c r="E134" s="10" t="n">
        <v>2</v>
      </c>
      <c r="F134" s="9" t="inlineStr"/>
      <c r="G134" s="8" t="n">
        <v>16.8609</v>
      </c>
      <c r="H134" s="7" t="inlineStr">
        <is>
          <t>Trailing 8-Quarter Moving Average Extrapolation</t>
        </is>
      </c>
      <c r="I134" s="7" t="inlineStr">
        <is>
          <t>tail_missing</t>
        </is>
      </c>
      <c r="J134" s="8" t="b">
        <v>1</v>
      </c>
      <c r="K134" s="8" t="b">
        <v>1</v>
      </c>
      <c r="L134" s="7" t="inlineStr">
        <is>
          <t>Data Money Growth tahun akhir belum tersedia di sumber</t>
        </is>
      </c>
      <c r="M134" s="7" t="inlineStr">
        <is>
          <t>Money Growth (kurang)</t>
        </is>
      </c>
    </row>
    <row r="135" ht="19" customHeight="1">
      <c r="A135" s="6" t="inlineStr">
        <is>
          <t>Myanmar</t>
        </is>
      </c>
      <c r="B135" s="7" t="inlineStr">
        <is>
          <t>money_growth</t>
        </is>
      </c>
      <c r="C135" s="6" t="inlineStr">
        <is>
          <t>2022 Q3</t>
        </is>
      </c>
      <c r="D135" s="10" t="n">
        <v>2022</v>
      </c>
      <c r="E135" s="10" t="n">
        <v>3</v>
      </c>
      <c r="F135" s="9" t="inlineStr"/>
      <c r="G135" s="8" t="n">
        <v>16.8609</v>
      </c>
      <c r="H135" s="7" t="inlineStr">
        <is>
          <t>Trailing 8-Quarter Moving Average Extrapolation</t>
        </is>
      </c>
      <c r="I135" s="7" t="inlineStr">
        <is>
          <t>tail_missing</t>
        </is>
      </c>
      <c r="J135" s="8" t="b">
        <v>1</v>
      </c>
      <c r="K135" s="8" t="b">
        <v>1</v>
      </c>
      <c r="L135" s="7" t="inlineStr">
        <is>
          <t>Data Money Growth tahun akhir belum tersedia di sumber</t>
        </is>
      </c>
      <c r="M135" s="7" t="inlineStr">
        <is>
          <t>Money Growth (kurang)</t>
        </is>
      </c>
    </row>
    <row r="136" ht="19" customHeight="1">
      <c r="A136" s="6" t="inlineStr">
        <is>
          <t>Myanmar</t>
        </is>
      </c>
      <c r="B136" s="7" t="inlineStr">
        <is>
          <t>money_growth</t>
        </is>
      </c>
      <c r="C136" s="6" t="inlineStr">
        <is>
          <t>2022 Q4</t>
        </is>
      </c>
      <c r="D136" s="10" t="n">
        <v>2022</v>
      </c>
      <c r="E136" s="10" t="n">
        <v>4</v>
      </c>
      <c r="F136" s="9" t="inlineStr"/>
      <c r="G136" s="8" t="n">
        <v>16.8609</v>
      </c>
      <c r="H136" s="7" t="inlineStr">
        <is>
          <t>Trailing 8-Quarter Moving Average Extrapolation</t>
        </is>
      </c>
      <c r="I136" s="7" t="inlineStr">
        <is>
          <t>tail_missing</t>
        </is>
      </c>
      <c r="J136" s="8" t="b">
        <v>1</v>
      </c>
      <c r="K136" s="8" t="b">
        <v>1</v>
      </c>
      <c r="L136" s="7" t="inlineStr">
        <is>
          <t>Data Money Growth tahun akhir belum tersedia di sumber</t>
        </is>
      </c>
      <c r="M136" s="7" t="inlineStr">
        <is>
          <t>Money Growth (kurang)</t>
        </is>
      </c>
    </row>
    <row r="137" ht="19" customHeight="1">
      <c r="A137" s="6" t="inlineStr">
        <is>
          <t>Myanmar</t>
        </is>
      </c>
      <c r="B137" s="7" t="inlineStr">
        <is>
          <t>money_growth</t>
        </is>
      </c>
      <c r="C137" s="6" t="inlineStr">
        <is>
          <t>2023 Q1</t>
        </is>
      </c>
      <c r="D137" s="10" t="n">
        <v>2023</v>
      </c>
      <c r="E137" s="10" t="n">
        <v>1</v>
      </c>
      <c r="F137" s="9" t="inlineStr"/>
      <c r="G137" s="8" t="n">
        <v>16.8609</v>
      </c>
      <c r="H137" s="7" t="inlineStr">
        <is>
          <t>Trailing 8-Quarter Moving Average Extrapolation</t>
        </is>
      </c>
      <c r="I137" s="7" t="inlineStr">
        <is>
          <t>tail_missing</t>
        </is>
      </c>
      <c r="J137" s="8" t="b">
        <v>1</v>
      </c>
      <c r="K137" s="8" t="b">
        <v>1</v>
      </c>
      <c r="L137" s="7" t="inlineStr">
        <is>
          <t>Data Money Growth tahun akhir belum tersedia di sumber</t>
        </is>
      </c>
      <c r="M137" s="7" t="inlineStr">
        <is>
          <t>Money Growth (kurang)</t>
        </is>
      </c>
    </row>
    <row r="138" ht="19" customHeight="1">
      <c r="A138" s="6" t="inlineStr">
        <is>
          <t>Myanmar</t>
        </is>
      </c>
      <c r="B138" s="7" t="inlineStr">
        <is>
          <t>money_growth</t>
        </is>
      </c>
      <c r="C138" s="6" t="inlineStr">
        <is>
          <t>2023 Q2</t>
        </is>
      </c>
      <c r="D138" s="10" t="n">
        <v>2023</v>
      </c>
      <c r="E138" s="10" t="n">
        <v>2</v>
      </c>
      <c r="F138" s="9" t="inlineStr"/>
      <c r="G138" s="8" t="n">
        <v>16.8609</v>
      </c>
      <c r="H138" s="7" t="inlineStr">
        <is>
          <t>Trailing 8-Quarter Moving Average Extrapolation</t>
        </is>
      </c>
      <c r="I138" s="7" t="inlineStr">
        <is>
          <t>tail_missing</t>
        </is>
      </c>
      <c r="J138" s="8" t="b">
        <v>1</v>
      </c>
      <c r="K138" s="8" t="b">
        <v>1</v>
      </c>
      <c r="L138" s="7" t="inlineStr">
        <is>
          <t>Data Money Growth tahun akhir belum tersedia di sumber</t>
        </is>
      </c>
      <c r="M138" s="7" t="inlineStr">
        <is>
          <t>Money Growth (kurang)</t>
        </is>
      </c>
    </row>
    <row r="139" ht="19" customHeight="1">
      <c r="A139" s="6" t="inlineStr">
        <is>
          <t>Myanmar</t>
        </is>
      </c>
      <c r="B139" s="7" t="inlineStr">
        <is>
          <t>money_growth</t>
        </is>
      </c>
      <c r="C139" s="6" t="inlineStr">
        <is>
          <t>2023 Q3</t>
        </is>
      </c>
      <c r="D139" s="10" t="n">
        <v>2023</v>
      </c>
      <c r="E139" s="10" t="n">
        <v>3</v>
      </c>
      <c r="F139" s="9" t="inlineStr"/>
      <c r="G139" s="8" t="n">
        <v>16.8609</v>
      </c>
      <c r="H139" s="7" t="inlineStr">
        <is>
          <t>Trailing 8-Quarter Moving Average Extrapolation</t>
        </is>
      </c>
      <c r="I139" s="7" t="inlineStr">
        <is>
          <t>tail_missing</t>
        </is>
      </c>
      <c r="J139" s="8" t="b">
        <v>1</v>
      </c>
      <c r="K139" s="8" t="b">
        <v>1</v>
      </c>
      <c r="L139" s="7" t="inlineStr">
        <is>
          <t>Data Money Growth tahun akhir belum tersedia di sumber</t>
        </is>
      </c>
      <c r="M139" s="7" t="inlineStr">
        <is>
          <t>Money Growth (kurang)</t>
        </is>
      </c>
    </row>
    <row r="140" ht="19" customHeight="1">
      <c r="A140" s="6" t="inlineStr">
        <is>
          <t>Myanmar</t>
        </is>
      </c>
      <c r="B140" s="7" t="inlineStr">
        <is>
          <t>money_growth</t>
        </is>
      </c>
      <c r="C140" s="6" t="inlineStr">
        <is>
          <t>2023 Q4</t>
        </is>
      </c>
      <c r="D140" s="10" t="n">
        <v>2023</v>
      </c>
      <c r="E140" s="10" t="n">
        <v>4</v>
      </c>
      <c r="F140" s="9" t="inlineStr"/>
      <c r="G140" s="8" t="n">
        <v>16.8609</v>
      </c>
      <c r="H140" s="7" t="inlineStr">
        <is>
          <t>Trailing 8-Quarter Moving Average Extrapolation</t>
        </is>
      </c>
      <c r="I140" s="7" t="inlineStr">
        <is>
          <t>tail_missing</t>
        </is>
      </c>
      <c r="J140" s="8" t="b">
        <v>1</v>
      </c>
      <c r="K140" s="8" t="b">
        <v>1</v>
      </c>
      <c r="L140" s="7" t="inlineStr">
        <is>
          <t>Data Money Growth tahun akhir belum tersedia di sumber</t>
        </is>
      </c>
      <c r="M140" s="7" t="inlineStr">
        <is>
          <t>Money Growth (kurang)</t>
        </is>
      </c>
    </row>
    <row r="141" ht="19" customHeight="1">
      <c r="A141" s="6" t="inlineStr">
        <is>
          <t>Myanmar</t>
        </is>
      </c>
      <c r="B141" s="7" t="inlineStr">
        <is>
          <t>money_growth</t>
        </is>
      </c>
      <c r="C141" s="6" t="inlineStr">
        <is>
          <t>2024 Q1</t>
        </is>
      </c>
      <c r="D141" s="10" t="n">
        <v>2024</v>
      </c>
      <c r="E141" s="10" t="n">
        <v>1</v>
      </c>
      <c r="F141" s="9" t="inlineStr"/>
      <c r="G141" s="8" t="n">
        <v>16.8609</v>
      </c>
      <c r="H141" s="7" t="inlineStr">
        <is>
          <t>Trailing 8-Quarter Moving Average Extrapolation</t>
        </is>
      </c>
      <c r="I141" s="7" t="inlineStr">
        <is>
          <t>tail_missing</t>
        </is>
      </c>
      <c r="J141" s="8" t="b">
        <v>1</v>
      </c>
      <c r="K141" s="8" t="b">
        <v>1</v>
      </c>
      <c r="L141" s="7" t="inlineStr">
        <is>
          <t>Data Money Growth tahun akhir belum tersedia di sumber</t>
        </is>
      </c>
      <c r="M141" s="7" t="inlineStr">
        <is>
          <t>Money Growth (kurang)</t>
        </is>
      </c>
    </row>
    <row r="142" ht="19" customHeight="1">
      <c r="A142" s="6" t="inlineStr">
        <is>
          <t>Myanmar</t>
        </is>
      </c>
      <c r="B142" s="7" t="inlineStr">
        <is>
          <t>money_growth</t>
        </is>
      </c>
      <c r="C142" s="6" t="inlineStr">
        <is>
          <t>2024 Q2</t>
        </is>
      </c>
      <c r="D142" s="10" t="n">
        <v>2024</v>
      </c>
      <c r="E142" s="10" t="n">
        <v>2</v>
      </c>
      <c r="F142" s="9" t="inlineStr"/>
      <c r="G142" s="8" t="n">
        <v>16.8609</v>
      </c>
      <c r="H142" s="7" t="inlineStr">
        <is>
          <t>Trailing 8-Quarter Moving Average Extrapolation</t>
        </is>
      </c>
      <c r="I142" s="7" t="inlineStr">
        <is>
          <t>tail_missing</t>
        </is>
      </c>
      <c r="J142" s="8" t="b">
        <v>1</v>
      </c>
      <c r="K142" s="8" t="b">
        <v>1</v>
      </c>
      <c r="L142" s="7" t="inlineStr">
        <is>
          <t>Data Money Growth tahun akhir belum tersedia di sumber</t>
        </is>
      </c>
      <c r="M142" s="7" t="inlineStr">
        <is>
          <t>Money Growth (kurang)</t>
        </is>
      </c>
    </row>
    <row r="143" ht="19" customHeight="1">
      <c r="A143" s="6" t="inlineStr">
        <is>
          <t>Myanmar</t>
        </is>
      </c>
      <c r="B143" s="7" t="inlineStr">
        <is>
          <t>money_growth</t>
        </is>
      </c>
      <c r="C143" s="6" t="inlineStr">
        <is>
          <t>2024 Q3</t>
        </is>
      </c>
      <c r="D143" s="10" t="n">
        <v>2024</v>
      </c>
      <c r="E143" s="10" t="n">
        <v>3</v>
      </c>
      <c r="F143" s="9" t="inlineStr"/>
      <c r="G143" s="8" t="n">
        <v>16.8609</v>
      </c>
      <c r="H143" s="7" t="inlineStr">
        <is>
          <t>Trailing 8-Quarter Moving Average Extrapolation</t>
        </is>
      </c>
      <c r="I143" s="7" t="inlineStr">
        <is>
          <t>tail_missing</t>
        </is>
      </c>
      <c r="J143" s="8" t="b">
        <v>1</v>
      </c>
      <c r="K143" s="8" t="b">
        <v>1</v>
      </c>
      <c r="L143" s="7" t="inlineStr">
        <is>
          <t>Data Money Growth tahun akhir belum tersedia di sumber</t>
        </is>
      </c>
      <c r="M143" s="7" t="inlineStr">
        <is>
          <t>Money Growth (kurang)</t>
        </is>
      </c>
    </row>
    <row r="144" ht="19" customHeight="1">
      <c r="A144" s="6" t="inlineStr">
        <is>
          <t>Myanmar</t>
        </is>
      </c>
      <c r="B144" s="7" t="inlineStr">
        <is>
          <t>money_growth</t>
        </is>
      </c>
      <c r="C144" s="6" t="inlineStr">
        <is>
          <t>2024 Q4</t>
        </is>
      </c>
      <c r="D144" s="10" t="n">
        <v>2024</v>
      </c>
      <c r="E144" s="10" t="n">
        <v>4</v>
      </c>
      <c r="F144" s="9" t="inlineStr"/>
      <c r="G144" s="8" t="n">
        <v>16.8609</v>
      </c>
      <c r="H144" s="7" t="inlineStr">
        <is>
          <t>Trailing 8-Quarter Moving Average Extrapolation</t>
        </is>
      </c>
      <c r="I144" s="7" t="inlineStr">
        <is>
          <t>tail_missing</t>
        </is>
      </c>
      <c r="J144" s="8" t="b">
        <v>1</v>
      </c>
      <c r="K144" s="8" t="b">
        <v>1</v>
      </c>
      <c r="L144" s="7" t="inlineStr">
        <is>
          <t>Data Money Growth tahun akhir belum tersedia di sumber</t>
        </is>
      </c>
      <c r="M144" s="7" t="inlineStr">
        <is>
          <t>Money Growth (kurang)</t>
        </is>
      </c>
    </row>
    <row r="145" ht="19" customHeight="1">
      <c r="A145" s="6" t="inlineStr">
        <is>
          <t>Myanmar</t>
        </is>
      </c>
      <c r="B145" s="7" t="inlineStr">
        <is>
          <t>money_growth</t>
        </is>
      </c>
      <c r="C145" s="6" t="inlineStr">
        <is>
          <t>2025 Q1</t>
        </is>
      </c>
      <c r="D145" s="10" t="n">
        <v>2025</v>
      </c>
      <c r="E145" s="10" t="n">
        <v>1</v>
      </c>
      <c r="F145" s="9" t="inlineStr"/>
      <c r="G145" s="8" t="n">
        <v>16.8609</v>
      </c>
      <c r="H145" s="7" t="inlineStr">
        <is>
          <t>Trailing 8-Quarter Moving Average Extrapolation</t>
        </is>
      </c>
      <c r="I145" s="7" t="inlineStr">
        <is>
          <t>tail_missing</t>
        </is>
      </c>
      <c r="J145" s="8" t="b">
        <v>1</v>
      </c>
      <c r="K145" s="8" t="b">
        <v>1</v>
      </c>
      <c r="L145" s="7" t="inlineStr">
        <is>
          <t>Data Money Growth tahun akhir belum tersedia di sumber</t>
        </is>
      </c>
      <c r="M145" s="7" t="inlineStr">
        <is>
          <t>Money Growth (kurang)</t>
        </is>
      </c>
    </row>
    <row r="146" ht="19" customHeight="1">
      <c r="A146" s="6" t="inlineStr">
        <is>
          <t>Myanmar</t>
        </is>
      </c>
      <c r="B146" s="7" t="inlineStr">
        <is>
          <t>money_growth</t>
        </is>
      </c>
      <c r="C146" s="6" t="inlineStr">
        <is>
          <t>2025 Q2</t>
        </is>
      </c>
      <c r="D146" s="10" t="n">
        <v>2025</v>
      </c>
      <c r="E146" s="10" t="n">
        <v>2</v>
      </c>
      <c r="F146" s="9" t="inlineStr"/>
      <c r="G146" s="8" t="n">
        <v>16.8609</v>
      </c>
      <c r="H146" s="7" t="inlineStr">
        <is>
          <t>Trailing 8-Quarter Moving Average Extrapolation</t>
        </is>
      </c>
      <c r="I146" s="7" t="inlineStr">
        <is>
          <t>tail_missing</t>
        </is>
      </c>
      <c r="J146" s="8" t="b">
        <v>1</v>
      </c>
      <c r="K146" s="8" t="b">
        <v>1</v>
      </c>
      <c r="L146" s="7" t="inlineStr">
        <is>
          <t>Data Money Growth tahun akhir belum tersedia di sumber</t>
        </is>
      </c>
      <c r="M146" s="7" t="inlineStr">
        <is>
          <t>Money Growth (kurang)</t>
        </is>
      </c>
    </row>
    <row r="147" ht="19" customHeight="1">
      <c r="A147" s="6" t="inlineStr">
        <is>
          <t>Myanmar</t>
        </is>
      </c>
      <c r="B147" s="7" t="inlineStr">
        <is>
          <t>money_growth</t>
        </is>
      </c>
      <c r="C147" s="6" t="inlineStr">
        <is>
          <t>2025 Q3</t>
        </is>
      </c>
      <c r="D147" s="10" t="n">
        <v>2025</v>
      </c>
      <c r="E147" s="10" t="n">
        <v>3</v>
      </c>
      <c r="F147" s="9" t="inlineStr"/>
      <c r="G147" s="8" t="n">
        <v>16.8609</v>
      </c>
      <c r="H147" s="7" t="inlineStr">
        <is>
          <t>Trailing 8-Quarter Moving Average Extrapolation</t>
        </is>
      </c>
      <c r="I147" s="7" t="inlineStr">
        <is>
          <t>tail_missing</t>
        </is>
      </c>
      <c r="J147" s="8" t="b">
        <v>1</v>
      </c>
      <c r="K147" s="8" t="b">
        <v>1</v>
      </c>
      <c r="L147" s="7" t="inlineStr">
        <is>
          <t>Data Money Growth tahun akhir belum tersedia di sumber</t>
        </is>
      </c>
      <c r="M147" s="7" t="inlineStr">
        <is>
          <t>Money Growth (kurang)</t>
        </is>
      </c>
    </row>
    <row r="148" ht="19" customHeight="1">
      <c r="A148" s="6" t="inlineStr">
        <is>
          <t>Myanmar</t>
        </is>
      </c>
      <c r="B148" s="7" t="inlineStr">
        <is>
          <t>money_growth</t>
        </is>
      </c>
      <c r="C148" s="6" t="inlineStr">
        <is>
          <t>2025 Q4</t>
        </is>
      </c>
      <c r="D148" s="10" t="n">
        <v>2025</v>
      </c>
      <c r="E148" s="10" t="n">
        <v>4</v>
      </c>
      <c r="F148" s="9" t="inlineStr"/>
      <c r="G148" s="8" t="n">
        <v>16.8609</v>
      </c>
      <c r="H148" s="7" t="inlineStr">
        <is>
          <t>Trailing 8-Quarter Moving Average Extrapolation</t>
        </is>
      </c>
      <c r="I148" s="7" t="inlineStr">
        <is>
          <t>tail_missing</t>
        </is>
      </c>
      <c r="J148" s="8" t="b">
        <v>1</v>
      </c>
      <c r="K148" s="8" t="b">
        <v>1</v>
      </c>
      <c r="L148" s="7" t="inlineStr">
        <is>
          <t>Data Money Growth tahun akhir belum tersedia di sumber</t>
        </is>
      </c>
      <c r="M148" s="7" t="inlineStr">
        <is>
          <t>Money Growth (kurang)</t>
        </is>
      </c>
    </row>
    <row r="149" ht="19" customHeight="1">
      <c r="A149" s="7" t="inlineStr">
        <is>
          <t>Philippines</t>
        </is>
      </c>
      <c r="B149" s="7" t="inlineStr">
        <is>
          <t>money_growth</t>
        </is>
      </c>
      <c r="C149" s="6" t="inlineStr">
        <is>
          <t>2023 Q1</t>
        </is>
      </c>
      <c r="D149" s="10" t="n">
        <v>2023</v>
      </c>
      <c r="E149" s="10" t="n">
        <v>1</v>
      </c>
      <c r="F149" s="9" t="inlineStr"/>
      <c r="G149" s="8" t="n">
        <v>7.9003</v>
      </c>
      <c r="H149" s="7" t="inlineStr">
        <is>
          <t>Trailing 8-Quarter Moving Average Extrapolation</t>
        </is>
      </c>
      <c r="I149" s="7" t="inlineStr">
        <is>
          <t>tail_missing</t>
        </is>
      </c>
      <c r="J149" s="8" t="b">
        <v>1</v>
      </c>
      <c r="K149" s="8" t="b">
        <v>1</v>
      </c>
      <c r="L149" s="7" t="inlineStr">
        <is>
          <t>Data Money Growth tahun akhir belum tersedia di sumber</t>
        </is>
      </c>
      <c r="M149" s="7" t="inlineStr">
        <is>
          <t>Money Growth (kurang)</t>
        </is>
      </c>
    </row>
    <row r="150" ht="19" customHeight="1">
      <c r="A150" s="7" t="inlineStr">
        <is>
          <t>Philippines</t>
        </is>
      </c>
      <c r="B150" s="7" t="inlineStr">
        <is>
          <t>money_growth</t>
        </is>
      </c>
      <c r="C150" s="6" t="inlineStr">
        <is>
          <t>2023 Q2</t>
        </is>
      </c>
      <c r="D150" s="10" t="n">
        <v>2023</v>
      </c>
      <c r="E150" s="10" t="n">
        <v>2</v>
      </c>
      <c r="F150" s="9" t="inlineStr"/>
      <c r="G150" s="8" t="n">
        <v>7.9003</v>
      </c>
      <c r="H150" s="7" t="inlineStr">
        <is>
          <t>Trailing 8-Quarter Moving Average Extrapolation</t>
        </is>
      </c>
      <c r="I150" s="7" t="inlineStr">
        <is>
          <t>tail_missing</t>
        </is>
      </c>
      <c r="J150" s="8" t="b">
        <v>1</v>
      </c>
      <c r="K150" s="8" t="b">
        <v>1</v>
      </c>
      <c r="L150" s="7" t="inlineStr">
        <is>
          <t>Data Money Growth tahun akhir belum tersedia di sumber</t>
        </is>
      </c>
      <c r="M150" s="7" t="inlineStr">
        <is>
          <t>Money Growth (kurang)</t>
        </is>
      </c>
    </row>
    <row r="151" ht="19" customHeight="1">
      <c r="A151" s="7" t="inlineStr">
        <is>
          <t>Philippines</t>
        </is>
      </c>
      <c r="B151" s="7" t="inlineStr">
        <is>
          <t>money_growth</t>
        </is>
      </c>
      <c r="C151" s="6" t="inlineStr">
        <is>
          <t>2023 Q3</t>
        </is>
      </c>
      <c r="D151" s="10" t="n">
        <v>2023</v>
      </c>
      <c r="E151" s="10" t="n">
        <v>3</v>
      </c>
      <c r="F151" s="9" t="inlineStr"/>
      <c r="G151" s="8" t="n">
        <v>7.9003</v>
      </c>
      <c r="H151" s="7" t="inlineStr">
        <is>
          <t>Trailing 8-Quarter Moving Average Extrapolation</t>
        </is>
      </c>
      <c r="I151" s="7" t="inlineStr">
        <is>
          <t>tail_missing</t>
        </is>
      </c>
      <c r="J151" s="8" t="b">
        <v>1</v>
      </c>
      <c r="K151" s="8" t="b">
        <v>1</v>
      </c>
      <c r="L151" s="7" t="inlineStr">
        <is>
          <t>Data Money Growth tahun akhir belum tersedia di sumber</t>
        </is>
      </c>
      <c r="M151" s="7" t="inlineStr">
        <is>
          <t>Money Growth (kurang)</t>
        </is>
      </c>
    </row>
    <row r="152" ht="19" customHeight="1">
      <c r="A152" s="7" t="inlineStr">
        <is>
          <t>Philippines</t>
        </is>
      </c>
      <c r="B152" s="7" t="inlineStr">
        <is>
          <t>money_growth</t>
        </is>
      </c>
      <c r="C152" s="6" t="inlineStr">
        <is>
          <t>2023 Q4</t>
        </is>
      </c>
      <c r="D152" s="10" t="n">
        <v>2023</v>
      </c>
      <c r="E152" s="10" t="n">
        <v>4</v>
      </c>
      <c r="F152" s="9" t="inlineStr"/>
      <c r="G152" s="8" t="n">
        <v>7.9003</v>
      </c>
      <c r="H152" s="7" t="inlineStr">
        <is>
          <t>Trailing 8-Quarter Moving Average Extrapolation</t>
        </is>
      </c>
      <c r="I152" s="7" t="inlineStr">
        <is>
          <t>tail_missing</t>
        </is>
      </c>
      <c r="J152" s="8" t="b">
        <v>1</v>
      </c>
      <c r="K152" s="8" t="b">
        <v>1</v>
      </c>
      <c r="L152" s="7" t="inlineStr">
        <is>
          <t>Data Money Growth tahun akhir belum tersedia di sumber</t>
        </is>
      </c>
      <c r="M152" s="7" t="inlineStr">
        <is>
          <t>Money Growth (kurang)</t>
        </is>
      </c>
    </row>
    <row r="153" ht="19" customHeight="1">
      <c r="A153" s="7" t="inlineStr">
        <is>
          <t>Philippines</t>
        </is>
      </c>
      <c r="B153" s="7" t="inlineStr">
        <is>
          <t>money_growth</t>
        </is>
      </c>
      <c r="C153" s="6" t="inlineStr">
        <is>
          <t>2024 Q1</t>
        </is>
      </c>
      <c r="D153" s="10" t="n">
        <v>2024</v>
      </c>
      <c r="E153" s="10" t="n">
        <v>1</v>
      </c>
      <c r="F153" s="9" t="inlineStr"/>
      <c r="G153" s="8" t="n">
        <v>7.9003</v>
      </c>
      <c r="H153" s="7" t="inlineStr">
        <is>
          <t>Trailing 8-Quarter Moving Average Extrapolation</t>
        </is>
      </c>
      <c r="I153" s="7" t="inlineStr">
        <is>
          <t>tail_missing</t>
        </is>
      </c>
      <c r="J153" s="8" t="b">
        <v>1</v>
      </c>
      <c r="K153" s="8" t="b">
        <v>1</v>
      </c>
      <c r="L153" s="7" t="inlineStr">
        <is>
          <t>Data Money Growth tahun akhir belum tersedia di sumber</t>
        </is>
      </c>
      <c r="M153" s="7" t="inlineStr">
        <is>
          <t>Money Growth (kurang)</t>
        </is>
      </c>
    </row>
    <row r="154" ht="19" customHeight="1">
      <c r="A154" s="7" t="inlineStr">
        <is>
          <t>Philippines</t>
        </is>
      </c>
      <c r="B154" s="7" t="inlineStr">
        <is>
          <t>money_growth</t>
        </is>
      </c>
      <c r="C154" s="6" t="inlineStr">
        <is>
          <t>2024 Q2</t>
        </is>
      </c>
      <c r="D154" s="10" t="n">
        <v>2024</v>
      </c>
      <c r="E154" s="10" t="n">
        <v>2</v>
      </c>
      <c r="F154" s="9" t="inlineStr"/>
      <c r="G154" s="8" t="n">
        <v>7.9003</v>
      </c>
      <c r="H154" s="7" t="inlineStr">
        <is>
          <t>Trailing 8-Quarter Moving Average Extrapolation</t>
        </is>
      </c>
      <c r="I154" s="7" t="inlineStr">
        <is>
          <t>tail_missing</t>
        </is>
      </c>
      <c r="J154" s="8" t="b">
        <v>1</v>
      </c>
      <c r="K154" s="8" t="b">
        <v>1</v>
      </c>
      <c r="L154" s="7" t="inlineStr">
        <is>
          <t>Data Money Growth tahun akhir belum tersedia di sumber</t>
        </is>
      </c>
      <c r="M154" s="7" t="inlineStr">
        <is>
          <t>Money Growth (kurang)</t>
        </is>
      </c>
    </row>
    <row r="155" ht="19" customHeight="1">
      <c r="A155" s="7" t="inlineStr">
        <is>
          <t>Philippines</t>
        </is>
      </c>
      <c r="B155" s="7" t="inlineStr">
        <is>
          <t>money_growth</t>
        </is>
      </c>
      <c r="C155" s="6" t="inlineStr">
        <is>
          <t>2024 Q3</t>
        </is>
      </c>
      <c r="D155" s="10" t="n">
        <v>2024</v>
      </c>
      <c r="E155" s="10" t="n">
        <v>3</v>
      </c>
      <c r="F155" s="9" t="inlineStr"/>
      <c r="G155" s="8" t="n">
        <v>7.9003</v>
      </c>
      <c r="H155" s="7" t="inlineStr">
        <is>
          <t>Trailing 8-Quarter Moving Average Extrapolation</t>
        </is>
      </c>
      <c r="I155" s="7" t="inlineStr">
        <is>
          <t>tail_missing</t>
        </is>
      </c>
      <c r="J155" s="8" t="b">
        <v>1</v>
      </c>
      <c r="K155" s="8" t="b">
        <v>1</v>
      </c>
      <c r="L155" s="7" t="inlineStr">
        <is>
          <t>Data Money Growth tahun akhir belum tersedia di sumber</t>
        </is>
      </c>
      <c r="M155" s="7" t="inlineStr">
        <is>
          <t>Money Growth (kurang)</t>
        </is>
      </c>
    </row>
    <row r="156" ht="19" customHeight="1">
      <c r="A156" s="7" t="inlineStr">
        <is>
          <t>Philippines</t>
        </is>
      </c>
      <c r="B156" s="7" t="inlineStr">
        <is>
          <t>money_growth</t>
        </is>
      </c>
      <c r="C156" s="6" t="inlineStr">
        <is>
          <t>2024 Q4</t>
        </is>
      </c>
      <c r="D156" s="10" t="n">
        <v>2024</v>
      </c>
      <c r="E156" s="10" t="n">
        <v>4</v>
      </c>
      <c r="F156" s="9" t="inlineStr"/>
      <c r="G156" s="8" t="n">
        <v>7.9003</v>
      </c>
      <c r="H156" s="7" t="inlineStr">
        <is>
          <t>Trailing 8-Quarter Moving Average Extrapolation</t>
        </is>
      </c>
      <c r="I156" s="7" t="inlineStr">
        <is>
          <t>tail_missing</t>
        </is>
      </c>
      <c r="J156" s="8" t="b">
        <v>1</v>
      </c>
      <c r="K156" s="8" t="b">
        <v>1</v>
      </c>
      <c r="L156" s="7" t="inlineStr">
        <is>
          <t>Data Money Growth tahun akhir belum tersedia di sumber</t>
        </is>
      </c>
      <c r="M156" s="7" t="inlineStr">
        <is>
          <t>Money Growth (kurang)</t>
        </is>
      </c>
    </row>
    <row r="157" ht="19" customHeight="1">
      <c r="A157" s="7" t="inlineStr">
        <is>
          <t>Philippines</t>
        </is>
      </c>
      <c r="B157" s="7" t="inlineStr">
        <is>
          <t>money_growth</t>
        </is>
      </c>
      <c r="C157" s="6" t="inlineStr">
        <is>
          <t>2025 Q1</t>
        </is>
      </c>
      <c r="D157" s="10" t="n">
        <v>2025</v>
      </c>
      <c r="E157" s="10" t="n">
        <v>1</v>
      </c>
      <c r="F157" s="9" t="inlineStr"/>
      <c r="G157" s="8" t="n">
        <v>7.9003</v>
      </c>
      <c r="H157" s="7" t="inlineStr">
        <is>
          <t>Trailing 8-Quarter Moving Average Extrapolation</t>
        </is>
      </c>
      <c r="I157" s="7" t="inlineStr">
        <is>
          <t>tail_missing</t>
        </is>
      </c>
      <c r="J157" s="8" t="b">
        <v>1</v>
      </c>
      <c r="K157" s="8" t="b">
        <v>1</v>
      </c>
      <c r="L157" s="7" t="inlineStr">
        <is>
          <t>Data Money Growth tahun akhir belum tersedia di sumber</t>
        </is>
      </c>
      <c r="M157" s="7" t="inlineStr">
        <is>
          <t>Money Growth (kurang)</t>
        </is>
      </c>
    </row>
    <row r="158" ht="19" customHeight="1">
      <c r="A158" s="7" t="inlineStr">
        <is>
          <t>Philippines</t>
        </is>
      </c>
      <c r="B158" s="7" t="inlineStr">
        <is>
          <t>money_growth</t>
        </is>
      </c>
      <c r="C158" s="6" t="inlineStr">
        <is>
          <t>2025 Q2</t>
        </is>
      </c>
      <c r="D158" s="10" t="n">
        <v>2025</v>
      </c>
      <c r="E158" s="10" t="n">
        <v>2</v>
      </c>
      <c r="F158" s="9" t="inlineStr"/>
      <c r="G158" s="8" t="n">
        <v>7.9003</v>
      </c>
      <c r="H158" s="7" t="inlineStr">
        <is>
          <t>Trailing 8-Quarter Moving Average Extrapolation</t>
        </is>
      </c>
      <c r="I158" s="7" t="inlineStr">
        <is>
          <t>tail_missing</t>
        </is>
      </c>
      <c r="J158" s="8" t="b">
        <v>1</v>
      </c>
      <c r="K158" s="8" t="b">
        <v>1</v>
      </c>
      <c r="L158" s="7" t="inlineStr">
        <is>
          <t>Data Money Growth tahun akhir belum tersedia di sumber</t>
        </is>
      </c>
      <c r="M158" s="7" t="inlineStr">
        <is>
          <t>Money Growth (kurang)</t>
        </is>
      </c>
    </row>
    <row r="159" ht="19" customHeight="1">
      <c r="A159" s="7" t="inlineStr">
        <is>
          <t>Philippines</t>
        </is>
      </c>
      <c r="B159" s="7" t="inlineStr">
        <is>
          <t>money_growth</t>
        </is>
      </c>
      <c r="C159" s="6" t="inlineStr">
        <is>
          <t>2025 Q3</t>
        </is>
      </c>
      <c r="D159" s="10" t="n">
        <v>2025</v>
      </c>
      <c r="E159" s="10" t="n">
        <v>3</v>
      </c>
      <c r="F159" s="9" t="inlineStr"/>
      <c r="G159" s="8" t="n">
        <v>7.9003</v>
      </c>
      <c r="H159" s="7" t="inlineStr">
        <is>
          <t>Trailing 8-Quarter Moving Average Extrapolation</t>
        </is>
      </c>
      <c r="I159" s="7" t="inlineStr">
        <is>
          <t>tail_missing</t>
        </is>
      </c>
      <c r="J159" s="8" t="b">
        <v>1</v>
      </c>
      <c r="K159" s="8" t="b">
        <v>1</v>
      </c>
      <c r="L159" s="7" t="inlineStr">
        <is>
          <t>Data Money Growth tahun akhir belum tersedia di sumber</t>
        </is>
      </c>
      <c r="M159" s="7" t="inlineStr">
        <is>
          <t>Money Growth (kurang)</t>
        </is>
      </c>
    </row>
    <row r="160" ht="19" customHeight="1">
      <c r="A160" s="7" t="inlineStr">
        <is>
          <t>Philippines</t>
        </is>
      </c>
      <c r="B160" s="7" t="inlineStr">
        <is>
          <t>money_growth</t>
        </is>
      </c>
      <c r="C160" s="6" t="inlineStr">
        <is>
          <t>2025 Q4</t>
        </is>
      </c>
      <c r="D160" s="10" t="n">
        <v>2025</v>
      </c>
      <c r="E160" s="10" t="n">
        <v>4</v>
      </c>
      <c r="F160" s="9" t="inlineStr"/>
      <c r="G160" s="8" t="n">
        <v>7.9003</v>
      </c>
      <c r="H160" s="7" t="inlineStr">
        <is>
          <t>Trailing 8-Quarter Moving Average Extrapolation</t>
        </is>
      </c>
      <c r="I160" s="7" t="inlineStr">
        <is>
          <t>tail_missing</t>
        </is>
      </c>
      <c r="J160" s="8" t="b">
        <v>1</v>
      </c>
      <c r="K160" s="8" t="b">
        <v>1</v>
      </c>
      <c r="L160" s="7" t="inlineStr">
        <is>
          <t>Data Money Growth tahun akhir belum tersedia di sumber</t>
        </is>
      </c>
      <c r="M160" s="7" t="inlineStr">
        <is>
          <t>Money Growth (kurang)</t>
        </is>
      </c>
    </row>
    <row r="161" ht="19" customHeight="1">
      <c r="A161" s="6" t="inlineStr">
        <is>
          <t>Singapore</t>
        </is>
      </c>
      <c r="B161" s="7" t="inlineStr">
        <is>
          <t>money_growth</t>
        </is>
      </c>
      <c r="C161" s="6" t="inlineStr">
        <is>
          <t>2021 Q1</t>
        </is>
      </c>
      <c r="D161" s="10" t="n">
        <v>2021</v>
      </c>
      <c r="E161" s="10" t="n">
        <v>1</v>
      </c>
      <c r="F161" s="9" t="inlineStr"/>
      <c r="G161" s="8" t="n">
        <v>9.071199999999999</v>
      </c>
      <c r="H161" s="7" t="inlineStr">
        <is>
          <t>Trailing 8-Quarter Moving Average Extrapolation</t>
        </is>
      </c>
      <c r="I161" s="7" t="inlineStr">
        <is>
          <t>tail_missing</t>
        </is>
      </c>
      <c r="J161" s="8" t="b">
        <v>1</v>
      </c>
      <c r="K161" s="8" t="b">
        <v>1</v>
      </c>
      <c r="L161" s="7" t="inlineStr">
        <is>
          <t>Data Money Growth tahun akhir belum tersedia di sumber</t>
        </is>
      </c>
      <c r="M161" s="7" t="inlineStr">
        <is>
          <t>Money Growth (kurang)</t>
        </is>
      </c>
    </row>
    <row r="162" ht="19" customHeight="1">
      <c r="A162" s="6" t="inlineStr">
        <is>
          <t>Singapore</t>
        </is>
      </c>
      <c r="B162" s="7" t="inlineStr">
        <is>
          <t>money_growth</t>
        </is>
      </c>
      <c r="C162" s="6" t="inlineStr">
        <is>
          <t>2021 Q2</t>
        </is>
      </c>
      <c r="D162" s="10" t="n">
        <v>2021</v>
      </c>
      <c r="E162" s="10" t="n">
        <v>2</v>
      </c>
      <c r="F162" s="9" t="inlineStr"/>
      <c r="G162" s="8" t="n">
        <v>9.071199999999999</v>
      </c>
      <c r="H162" s="7" t="inlineStr">
        <is>
          <t>Trailing 8-Quarter Moving Average Extrapolation</t>
        </is>
      </c>
      <c r="I162" s="7" t="inlineStr">
        <is>
          <t>tail_missing</t>
        </is>
      </c>
      <c r="J162" s="8" t="b">
        <v>1</v>
      </c>
      <c r="K162" s="8" t="b">
        <v>1</v>
      </c>
      <c r="L162" s="7" t="inlineStr">
        <is>
          <t>Data Money Growth tahun akhir belum tersedia di sumber</t>
        </is>
      </c>
      <c r="M162" s="7" t="inlineStr">
        <is>
          <t>Money Growth (kurang)</t>
        </is>
      </c>
    </row>
    <row r="163" ht="19" customHeight="1">
      <c r="A163" s="6" t="inlineStr">
        <is>
          <t>Singapore</t>
        </is>
      </c>
      <c r="B163" s="7" t="inlineStr">
        <is>
          <t>money_growth</t>
        </is>
      </c>
      <c r="C163" s="6" t="inlineStr">
        <is>
          <t>2021 Q3</t>
        </is>
      </c>
      <c r="D163" s="10" t="n">
        <v>2021</v>
      </c>
      <c r="E163" s="10" t="n">
        <v>3</v>
      </c>
      <c r="F163" s="9" t="inlineStr"/>
      <c r="G163" s="8" t="n">
        <v>9.071199999999999</v>
      </c>
      <c r="H163" s="7" t="inlineStr">
        <is>
          <t>Trailing 8-Quarter Moving Average Extrapolation</t>
        </is>
      </c>
      <c r="I163" s="7" t="inlineStr">
        <is>
          <t>tail_missing</t>
        </is>
      </c>
      <c r="J163" s="8" t="b">
        <v>1</v>
      </c>
      <c r="K163" s="8" t="b">
        <v>1</v>
      </c>
      <c r="L163" s="7" t="inlineStr">
        <is>
          <t>Data Money Growth tahun akhir belum tersedia di sumber</t>
        </is>
      </c>
      <c r="M163" s="7" t="inlineStr">
        <is>
          <t>Money Growth (kurang)</t>
        </is>
      </c>
    </row>
    <row r="164" ht="19" customHeight="1">
      <c r="A164" s="6" t="inlineStr">
        <is>
          <t>Singapore</t>
        </is>
      </c>
      <c r="B164" s="7" t="inlineStr">
        <is>
          <t>money_growth</t>
        </is>
      </c>
      <c r="C164" s="6" t="inlineStr">
        <is>
          <t>2021 Q4</t>
        </is>
      </c>
      <c r="D164" s="10" t="n">
        <v>2021</v>
      </c>
      <c r="E164" s="10" t="n">
        <v>4</v>
      </c>
      <c r="F164" s="9" t="inlineStr"/>
      <c r="G164" s="8" t="n">
        <v>9.071199999999999</v>
      </c>
      <c r="H164" s="7" t="inlineStr">
        <is>
          <t>Trailing 8-Quarter Moving Average Extrapolation</t>
        </is>
      </c>
      <c r="I164" s="7" t="inlineStr">
        <is>
          <t>tail_missing</t>
        </is>
      </c>
      <c r="J164" s="8" t="b">
        <v>1</v>
      </c>
      <c r="K164" s="8" t="b">
        <v>1</v>
      </c>
      <c r="L164" s="7" t="inlineStr">
        <is>
          <t>Data Money Growth tahun akhir belum tersedia di sumber</t>
        </is>
      </c>
      <c r="M164" s="7" t="inlineStr">
        <is>
          <t>Money Growth (kurang)</t>
        </is>
      </c>
    </row>
    <row r="165" ht="19" customHeight="1">
      <c r="A165" s="6" t="inlineStr">
        <is>
          <t>Singapore</t>
        </is>
      </c>
      <c r="B165" s="7" t="inlineStr">
        <is>
          <t>money_growth</t>
        </is>
      </c>
      <c r="C165" s="6" t="inlineStr">
        <is>
          <t>2022 Q1</t>
        </is>
      </c>
      <c r="D165" s="10" t="n">
        <v>2022</v>
      </c>
      <c r="E165" s="10" t="n">
        <v>1</v>
      </c>
      <c r="F165" s="9" t="inlineStr"/>
      <c r="G165" s="8" t="n">
        <v>9.071199999999999</v>
      </c>
      <c r="H165" s="7" t="inlineStr">
        <is>
          <t>Trailing 8-Quarter Moving Average Extrapolation</t>
        </is>
      </c>
      <c r="I165" s="7" t="inlineStr">
        <is>
          <t>tail_missing</t>
        </is>
      </c>
      <c r="J165" s="8" t="b">
        <v>1</v>
      </c>
      <c r="K165" s="8" t="b">
        <v>1</v>
      </c>
      <c r="L165" s="7" t="inlineStr">
        <is>
          <t>Data Money Growth tahun akhir belum tersedia di sumber</t>
        </is>
      </c>
      <c r="M165" s="7" t="inlineStr">
        <is>
          <t>Money Growth (kurang)</t>
        </is>
      </c>
    </row>
    <row r="166" ht="19" customHeight="1">
      <c r="A166" s="6" t="inlineStr">
        <is>
          <t>Singapore</t>
        </is>
      </c>
      <c r="B166" s="7" t="inlineStr">
        <is>
          <t>money_growth</t>
        </is>
      </c>
      <c r="C166" s="6" t="inlineStr">
        <is>
          <t>2022 Q2</t>
        </is>
      </c>
      <c r="D166" s="10" t="n">
        <v>2022</v>
      </c>
      <c r="E166" s="10" t="n">
        <v>2</v>
      </c>
      <c r="F166" s="9" t="inlineStr"/>
      <c r="G166" s="8" t="n">
        <v>9.071199999999999</v>
      </c>
      <c r="H166" s="7" t="inlineStr">
        <is>
          <t>Trailing 8-Quarter Moving Average Extrapolation</t>
        </is>
      </c>
      <c r="I166" s="7" t="inlineStr">
        <is>
          <t>tail_missing</t>
        </is>
      </c>
      <c r="J166" s="8" t="b">
        <v>1</v>
      </c>
      <c r="K166" s="8" t="b">
        <v>1</v>
      </c>
      <c r="L166" s="7" t="inlineStr">
        <is>
          <t>Data Money Growth tahun akhir belum tersedia di sumber</t>
        </is>
      </c>
      <c r="M166" s="7" t="inlineStr">
        <is>
          <t>Money Growth (kurang)</t>
        </is>
      </c>
    </row>
    <row r="167" ht="19" customHeight="1">
      <c r="A167" s="6" t="inlineStr">
        <is>
          <t>Singapore</t>
        </is>
      </c>
      <c r="B167" s="7" t="inlineStr">
        <is>
          <t>money_growth</t>
        </is>
      </c>
      <c r="C167" s="6" t="inlineStr">
        <is>
          <t>2022 Q3</t>
        </is>
      </c>
      <c r="D167" s="10" t="n">
        <v>2022</v>
      </c>
      <c r="E167" s="10" t="n">
        <v>3</v>
      </c>
      <c r="F167" s="9" t="inlineStr"/>
      <c r="G167" s="8" t="n">
        <v>9.071199999999999</v>
      </c>
      <c r="H167" s="7" t="inlineStr">
        <is>
          <t>Trailing 8-Quarter Moving Average Extrapolation</t>
        </is>
      </c>
      <c r="I167" s="7" t="inlineStr">
        <is>
          <t>tail_missing</t>
        </is>
      </c>
      <c r="J167" s="8" t="b">
        <v>1</v>
      </c>
      <c r="K167" s="8" t="b">
        <v>1</v>
      </c>
      <c r="L167" s="7" t="inlineStr">
        <is>
          <t>Data Money Growth tahun akhir belum tersedia di sumber</t>
        </is>
      </c>
      <c r="M167" s="7" t="inlineStr">
        <is>
          <t>Money Growth (kurang)</t>
        </is>
      </c>
    </row>
    <row r="168" ht="19" customHeight="1">
      <c r="A168" s="6" t="inlineStr">
        <is>
          <t>Singapore</t>
        </is>
      </c>
      <c r="B168" s="7" t="inlineStr">
        <is>
          <t>money_growth</t>
        </is>
      </c>
      <c r="C168" s="6" t="inlineStr">
        <is>
          <t>2022 Q4</t>
        </is>
      </c>
      <c r="D168" s="10" t="n">
        <v>2022</v>
      </c>
      <c r="E168" s="10" t="n">
        <v>4</v>
      </c>
      <c r="F168" s="9" t="inlineStr"/>
      <c r="G168" s="8" t="n">
        <v>9.071199999999999</v>
      </c>
      <c r="H168" s="7" t="inlineStr">
        <is>
          <t>Trailing 8-Quarter Moving Average Extrapolation</t>
        </is>
      </c>
      <c r="I168" s="7" t="inlineStr">
        <is>
          <t>tail_missing</t>
        </is>
      </c>
      <c r="J168" s="8" t="b">
        <v>1</v>
      </c>
      <c r="K168" s="8" t="b">
        <v>1</v>
      </c>
      <c r="L168" s="7" t="inlineStr">
        <is>
          <t>Data Money Growth tahun akhir belum tersedia di sumber</t>
        </is>
      </c>
      <c r="M168" s="7" t="inlineStr">
        <is>
          <t>Money Growth (kurang)</t>
        </is>
      </c>
    </row>
    <row r="169" ht="19" customHeight="1">
      <c r="A169" s="6" t="inlineStr">
        <is>
          <t>Singapore</t>
        </is>
      </c>
      <c r="B169" s="7" t="inlineStr">
        <is>
          <t>money_growth</t>
        </is>
      </c>
      <c r="C169" s="6" t="inlineStr">
        <is>
          <t>2023 Q1</t>
        </is>
      </c>
      <c r="D169" s="10" t="n">
        <v>2023</v>
      </c>
      <c r="E169" s="10" t="n">
        <v>1</v>
      </c>
      <c r="F169" s="9" t="inlineStr"/>
      <c r="G169" s="8" t="n">
        <v>9.071199999999999</v>
      </c>
      <c r="H169" s="7" t="inlineStr">
        <is>
          <t>Trailing 8-Quarter Moving Average Extrapolation</t>
        </is>
      </c>
      <c r="I169" s="7" t="inlineStr">
        <is>
          <t>tail_missing</t>
        </is>
      </c>
      <c r="J169" s="8" t="b">
        <v>1</v>
      </c>
      <c r="K169" s="8" t="b">
        <v>1</v>
      </c>
      <c r="L169" s="7" t="inlineStr">
        <is>
          <t>Data Money Growth tahun akhir belum tersedia di sumber</t>
        </is>
      </c>
      <c r="M169" s="7" t="inlineStr">
        <is>
          <t>Money Growth (kurang)</t>
        </is>
      </c>
    </row>
    <row r="170" ht="19" customHeight="1">
      <c r="A170" s="6" t="inlineStr">
        <is>
          <t>Singapore</t>
        </is>
      </c>
      <c r="B170" s="7" t="inlineStr">
        <is>
          <t>money_growth</t>
        </is>
      </c>
      <c r="C170" s="6" t="inlineStr">
        <is>
          <t>2023 Q2</t>
        </is>
      </c>
      <c r="D170" s="10" t="n">
        <v>2023</v>
      </c>
      <c r="E170" s="10" t="n">
        <v>2</v>
      </c>
      <c r="F170" s="9" t="inlineStr"/>
      <c r="G170" s="8" t="n">
        <v>9.071199999999999</v>
      </c>
      <c r="H170" s="7" t="inlineStr">
        <is>
          <t>Trailing 8-Quarter Moving Average Extrapolation</t>
        </is>
      </c>
      <c r="I170" s="7" t="inlineStr">
        <is>
          <t>tail_missing</t>
        </is>
      </c>
      <c r="J170" s="8" t="b">
        <v>1</v>
      </c>
      <c r="K170" s="8" t="b">
        <v>1</v>
      </c>
      <c r="L170" s="7" t="inlineStr">
        <is>
          <t>Data Money Growth tahun akhir belum tersedia di sumber</t>
        </is>
      </c>
      <c r="M170" s="7" t="inlineStr">
        <is>
          <t>Money Growth (kurang)</t>
        </is>
      </c>
    </row>
    <row r="171" ht="19" customHeight="1">
      <c r="A171" s="6" t="inlineStr">
        <is>
          <t>Singapore</t>
        </is>
      </c>
      <c r="B171" s="7" t="inlineStr">
        <is>
          <t>money_growth</t>
        </is>
      </c>
      <c r="C171" s="6" t="inlineStr">
        <is>
          <t>2023 Q3</t>
        </is>
      </c>
      <c r="D171" s="10" t="n">
        <v>2023</v>
      </c>
      <c r="E171" s="10" t="n">
        <v>3</v>
      </c>
      <c r="F171" s="9" t="inlineStr"/>
      <c r="G171" s="8" t="n">
        <v>9.071199999999999</v>
      </c>
      <c r="H171" s="7" t="inlineStr">
        <is>
          <t>Trailing 8-Quarter Moving Average Extrapolation</t>
        </is>
      </c>
      <c r="I171" s="7" t="inlineStr">
        <is>
          <t>tail_missing</t>
        </is>
      </c>
      <c r="J171" s="8" t="b">
        <v>1</v>
      </c>
      <c r="K171" s="8" t="b">
        <v>1</v>
      </c>
      <c r="L171" s="7" t="inlineStr">
        <is>
          <t>Data Money Growth tahun akhir belum tersedia di sumber</t>
        </is>
      </c>
      <c r="M171" s="7" t="inlineStr">
        <is>
          <t>Money Growth (kurang)</t>
        </is>
      </c>
    </row>
    <row r="172" ht="19" customHeight="1">
      <c r="A172" s="6" t="inlineStr">
        <is>
          <t>Singapore</t>
        </is>
      </c>
      <c r="B172" s="7" t="inlineStr">
        <is>
          <t>money_growth</t>
        </is>
      </c>
      <c r="C172" s="6" t="inlineStr">
        <is>
          <t>2023 Q4</t>
        </is>
      </c>
      <c r="D172" s="10" t="n">
        <v>2023</v>
      </c>
      <c r="E172" s="10" t="n">
        <v>4</v>
      </c>
      <c r="F172" s="9" t="inlineStr"/>
      <c r="G172" s="8" t="n">
        <v>9.071199999999999</v>
      </c>
      <c r="H172" s="7" t="inlineStr">
        <is>
          <t>Trailing 8-Quarter Moving Average Extrapolation</t>
        </is>
      </c>
      <c r="I172" s="7" t="inlineStr">
        <is>
          <t>tail_missing</t>
        </is>
      </c>
      <c r="J172" s="8" t="b">
        <v>1</v>
      </c>
      <c r="K172" s="8" t="b">
        <v>1</v>
      </c>
      <c r="L172" s="7" t="inlineStr">
        <is>
          <t>Data Money Growth tahun akhir belum tersedia di sumber</t>
        </is>
      </c>
      <c r="M172" s="7" t="inlineStr">
        <is>
          <t>Money Growth (kurang)</t>
        </is>
      </c>
    </row>
    <row r="173" ht="19" customHeight="1">
      <c r="A173" s="6" t="inlineStr">
        <is>
          <t>Singapore</t>
        </is>
      </c>
      <c r="B173" s="7" t="inlineStr">
        <is>
          <t>money_growth</t>
        </is>
      </c>
      <c r="C173" s="6" t="inlineStr">
        <is>
          <t>2024 Q1</t>
        </is>
      </c>
      <c r="D173" s="10" t="n">
        <v>2024</v>
      </c>
      <c r="E173" s="10" t="n">
        <v>1</v>
      </c>
      <c r="F173" s="9" t="inlineStr"/>
      <c r="G173" s="8" t="n">
        <v>9.071199999999999</v>
      </c>
      <c r="H173" s="7" t="inlineStr">
        <is>
          <t>Trailing 8-Quarter Moving Average Extrapolation</t>
        </is>
      </c>
      <c r="I173" s="7" t="inlineStr">
        <is>
          <t>tail_missing</t>
        </is>
      </c>
      <c r="J173" s="8" t="b">
        <v>1</v>
      </c>
      <c r="K173" s="8" t="b">
        <v>1</v>
      </c>
      <c r="L173" s="7" t="inlineStr">
        <is>
          <t>Data Money Growth tahun akhir belum tersedia di sumber</t>
        </is>
      </c>
      <c r="M173" s="7" t="inlineStr">
        <is>
          <t>Money Growth (kurang)</t>
        </is>
      </c>
    </row>
    <row r="174" ht="19" customHeight="1">
      <c r="A174" s="6" t="inlineStr">
        <is>
          <t>Singapore</t>
        </is>
      </c>
      <c r="B174" s="7" t="inlineStr">
        <is>
          <t>money_growth</t>
        </is>
      </c>
      <c r="C174" s="6" t="inlineStr">
        <is>
          <t>2024 Q2</t>
        </is>
      </c>
      <c r="D174" s="10" t="n">
        <v>2024</v>
      </c>
      <c r="E174" s="10" t="n">
        <v>2</v>
      </c>
      <c r="F174" s="9" t="inlineStr"/>
      <c r="G174" s="8" t="n">
        <v>9.071199999999999</v>
      </c>
      <c r="H174" s="7" t="inlineStr">
        <is>
          <t>Trailing 8-Quarter Moving Average Extrapolation</t>
        </is>
      </c>
      <c r="I174" s="7" t="inlineStr">
        <is>
          <t>tail_missing</t>
        </is>
      </c>
      <c r="J174" s="8" t="b">
        <v>1</v>
      </c>
      <c r="K174" s="8" t="b">
        <v>1</v>
      </c>
      <c r="L174" s="7" t="inlineStr">
        <is>
          <t>Data Money Growth tahun akhir belum tersedia di sumber</t>
        </is>
      </c>
      <c r="M174" s="7" t="inlineStr">
        <is>
          <t>Money Growth (kurang)</t>
        </is>
      </c>
    </row>
    <row r="175" ht="19" customHeight="1">
      <c r="A175" s="6" t="inlineStr">
        <is>
          <t>Singapore</t>
        </is>
      </c>
      <c r="B175" s="7" t="inlineStr">
        <is>
          <t>money_growth</t>
        </is>
      </c>
      <c r="C175" s="6" t="inlineStr">
        <is>
          <t>2024 Q3</t>
        </is>
      </c>
      <c r="D175" s="10" t="n">
        <v>2024</v>
      </c>
      <c r="E175" s="10" t="n">
        <v>3</v>
      </c>
      <c r="F175" s="9" t="inlineStr"/>
      <c r="G175" s="8" t="n">
        <v>9.071199999999999</v>
      </c>
      <c r="H175" s="7" t="inlineStr">
        <is>
          <t>Trailing 8-Quarter Moving Average Extrapolation</t>
        </is>
      </c>
      <c r="I175" s="7" t="inlineStr">
        <is>
          <t>tail_missing</t>
        </is>
      </c>
      <c r="J175" s="8" t="b">
        <v>1</v>
      </c>
      <c r="K175" s="8" t="b">
        <v>1</v>
      </c>
      <c r="L175" s="7" t="inlineStr">
        <is>
          <t>Data Money Growth tahun akhir belum tersedia di sumber</t>
        </is>
      </c>
      <c r="M175" s="7" t="inlineStr">
        <is>
          <t>Money Growth (kurang)</t>
        </is>
      </c>
    </row>
    <row r="176" ht="19" customHeight="1">
      <c r="A176" s="6" t="inlineStr">
        <is>
          <t>Singapore</t>
        </is>
      </c>
      <c r="B176" s="7" t="inlineStr">
        <is>
          <t>money_growth</t>
        </is>
      </c>
      <c r="C176" s="6" t="inlineStr">
        <is>
          <t>2024 Q4</t>
        </is>
      </c>
      <c r="D176" s="10" t="n">
        <v>2024</v>
      </c>
      <c r="E176" s="10" t="n">
        <v>4</v>
      </c>
      <c r="F176" s="9" t="inlineStr"/>
      <c r="G176" s="8" t="n">
        <v>9.071199999999999</v>
      </c>
      <c r="H176" s="7" t="inlineStr">
        <is>
          <t>Trailing 8-Quarter Moving Average Extrapolation</t>
        </is>
      </c>
      <c r="I176" s="7" t="inlineStr">
        <is>
          <t>tail_missing</t>
        </is>
      </c>
      <c r="J176" s="8" t="b">
        <v>1</v>
      </c>
      <c r="K176" s="8" t="b">
        <v>1</v>
      </c>
      <c r="L176" s="7" t="inlineStr">
        <is>
          <t>Data Money Growth tahun akhir belum tersedia di sumber</t>
        </is>
      </c>
      <c r="M176" s="7" t="inlineStr">
        <is>
          <t>Money Growth (kurang)</t>
        </is>
      </c>
    </row>
    <row r="177" ht="19" customHeight="1">
      <c r="A177" s="6" t="inlineStr">
        <is>
          <t>Singapore</t>
        </is>
      </c>
      <c r="B177" s="7" t="inlineStr">
        <is>
          <t>money_growth</t>
        </is>
      </c>
      <c r="C177" s="6" t="inlineStr">
        <is>
          <t>2025 Q1</t>
        </is>
      </c>
      <c r="D177" s="10" t="n">
        <v>2025</v>
      </c>
      <c r="E177" s="10" t="n">
        <v>1</v>
      </c>
      <c r="F177" s="9" t="inlineStr"/>
      <c r="G177" s="8" t="n">
        <v>9.071199999999999</v>
      </c>
      <c r="H177" s="7" t="inlineStr">
        <is>
          <t>Trailing 8-Quarter Moving Average Extrapolation</t>
        </is>
      </c>
      <c r="I177" s="7" t="inlineStr">
        <is>
          <t>tail_missing</t>
        </is>
      </c>
      <c r="J177" s="8" t="b">
        <v>1</v>
      </c>
      <c r="K177" s="8" t="b">
        <v>1</v>
      </c>
      <c r="L177" s="7" t="inlineStr">
        <is>
          <t>Data Money Growth tahun akhir belum tersedia di sumber</t>
        </is>
      </c>
      <c r="M177" s="7" t="inlineStr">
        <is>
          <t>Money Growth (kurang)</t>
        </is>
      </c>
    </row>
    <row r="178" ht="19" customHeight="1">
      <c r="A178" s="6" t="inlineStr">
        <is>
          <t>Singapore</t>
        </is>
      </c>
      <c r="B178" s="7" t="inlineStr">
        <is>
          <t>money_growth</t>
        </is>
      </c>
      <c r="C178" s="6" t="inlineStr">
        <is>
          <t>2025 Q2</t>
        </is>
      </c>
      <c r="D178" s="10" t="n">
        <v>2025</v>
      </c>
      <c r="E178" s="10" t="n">
        <v>2</v>
      </c>
      <c r="F178" s="9" t="inlineStr"/>
      <c r="G178" s="8" t="n">
        <v>9.071199999999999</v>
      </c>
      <c r="H178" s="7" t="inlineStr">
        <is>
          <t>Trailing 8-Quarter Moving Average Extrapolation</t>
        </is>
      </c>
      <c r="I178" s="7" t="inlineStr">
        <is>
          <t>tail_missing</t>
        </is>
      </c>
      <c r="J178" s="8" t="b">
        <v>1</v>
      </c>
      <c r="K178" s="8" t="b">
        <v>1</v>
      </c>
      <c r="L178" s="7" t="inlineStr">
        <is>
          <t>Data Money Growth tahun akhir belum tersedia di sumber</t>
        </is>
      </c>
      <c r="M178" s="7" t="inlineStr">
        <is>
          <t>Money Growth (kurang)</t>
        </is>
      </c>
    </row>
    <row r="179" ht="19" customHeight="1">
      <c r="A179" s="6" t="inlineStr">
        <is>
          <t>Singapore</t>
        </is>
      </c>
      <c r="B179" s="7" t="inlineStr">
        <is>
          <t>money_growth</t>
        </is>
      </c>
      <c r="C179" s="6" t="inlineStr">
        <is>
          <t>2025 Q3</t>
        </is>
      </c>
      <c r="D179" s="10" t="n">
        <v>2025</v>
      </c>
      <c r="E179" s="10" t="n">
        <v>3</v>
      </c>
      <c r="F179" s="9" t="inlineStr"/>
      <c r="G179" s="8" t="n">
        <v>9.071199999999999</v>
      </c>
      <c r="H179" s="7" t="inlineStr">
        <is>
          <t>Trailing 8-Quarter Moving Average Extrapolation</t>
        </is>
      </c>
      <c r="I179" s="7" t="inlineStr">
        <is>
          <t>tail_missing</t>
        </is>
      </c>
      <c r="J179" s="8" t="b">
        <v>1</v>
      </c>
      <c r="K179" s="8" t="b">
        <v>1</v>
      </c>
      <c r="L179" s="7" t="inlineStr">
        <is>
          <t>Data Money Growth tahun akhir belum tersedia di sumber</t>
        </is>
      </c>
      <c r="M179" s="7" t="inlineStr">
        <is>
          <t>Money Growth (kurang)</t>
        </is>
      </c>
    </row>
    <row r="180" ht="19" customHeight="1">
      <c r="A180" s="6" t="inlineStr">
        <is>
          <t>Singapore</t>
        </is>
      </c>
      <c r="B180" s="7" t="inlineStr">
        <is>
          <t>money_growth</t>
        </is>
      </c>
      <c r="C180" s="6" t="inlineStr">
        <is>
          <t>2025 Q4</t>
        </is>
      </c>
      <c r="D180" s="10" t="n">
        <v>2025</v>
      </c>
      <c r="E180" s="10" t="n">
        <v>4</v>
      </c>
      <c r="F180" s="9" t="inlineStr"/>
      <c r="G180" s="8" t="n">
        <v>9.071199999999999</v>
      </c>
      <c r="H180" s="7" t="inlineStr">
        <is>
          <t>Trailing 8-Quarter Moving Average Extrapolation</t>
        </is>
      </c>
      <c r="I180" s="7" t="inlineStr">
        <is>
          <t>tail_missing</t>
        </is>
      </c>
      <c r="J180" s="8" t="b">
        <v>1</v>
      </c>
      <c r="K180" s="8" t="b">
        <v>1</v>
      </c>
      <c r="L180" s="7" t="inlineStr">
        <is>
          <t>Data Money Growth tahun akhir belum tersedia di sumber</t>
        </is>
      </c>
      <c r="M180" s="7" t="inlineStr">
        <is>
          <t>Money Growth (kurang)</t>
        </is>
      </c>
    </row>
    <row r="181" ht="19" customHeight="1">
      <c r="A181" s="6" t="inlineStr">
        <is>
          <t>Vietnam</t>
        </is>
      </c>
      <c r="B181" s="7" t="inlineStr">
        <is>
          <t>money_growth</t>
        </is>
      </c>
      <c r="C181" s="6" t="inlineStr">
        <is>
          <t>2023 Q1</t>
        </is>
      </c>
      <c r="D181" s="10" t="n">
        <v>2023</v>
      </c>
      <c r="E181" s="10" t="n">
        <v>1</v>
      </c>
      <c r="F181" s="9" t="inlineStr"/>
      <c r="G181" s="8" t="n">
        <v>7.6777</v>
      </c>
      <c r="H181" s="7" t="inlineStr">
        <is>
          <t>Trailing 8-Quarter Moving Average Extrapolation</t>
        </is>
      </c>
      <c r="I181" s="7" t="inlineStr">
        <is>
          <t>tail_missing</t>
        </is>
      </c>
      <c r="J181" s="8" t="b">
        <v>1</v>
      </c>
      <c r="K181" s="8" t="b">
        <v>1</v>
      </c>
      <c r="L181" s="7" t="inlineStr">
        <is>
          <t>Data Money Growth tahun akhir belum tersedia di sumber</t>
        </is>
      </c>
      <c r="M181" s="7" t="inlineStr">
        <is>
          <t>Money Growth (kurang)</t>
        </is>
      </c>
    </row>
    <row r="182" ht="19" customHeight="1">
      <c r="A182" s="6" t="inlineStr">
        <is>
          <t>Vietnam</t>
        </is>
      </c>
      <c r="B182" s="7" t="inlineStr">
        <is>
          <t>money_growth</t>
        </is>
      </c>
      <c r="C182" s="6" t="inlineStr">
        <is>
          <t>2023 Q2</t>
        </is>
      </c>
      <c r="D182" s="10" t="n">
        <v>2023</v>
      </c>
      <c r="E182" s="10" t="n">
        <v>2</v>
      </c>
      <c r="F182" s="9" t="inlineStr"/>
      <c r="G182" s="8" t="n">
        <v>7.6777</v>
      </c>
      <c r="H182" s="7" t="inlineStr">
        <is>
          <t>Trailing 8-Quarter Moving Average Extrapolation</t>
        </is>
      </c>
      <c r="I182" s="7" t="inlineStr">
        <is>
          <t>tail_missing</t>
        </is>
      </c>
      <c r="J182" s="8" t="b">
        <v>1</v>
      </c>
      <c r="K182" s="8" t="b">
        <v>1</v>
      </c>
      <c r="L182" s="7" t="inlineStr">
        <is>
          <t>Data Money Growth tahun akhir belum tersedia di sumber</t>
        </is>
      </c>
      <c r="M182" s="7" t="inlineStr">
        <is>
          <t>Money Growth (kurang)</t>
        </is>
      </c>
    </row>
    <row r="183" ht="19" customHeight="1">
      <c r="A183" s="6" t="inlineStr">
        <is>
          <t>Vietnam</t>
        </is>
      </c>
      <c r="B183" s="7" t="inlineStr">
        <is>
          <t>money_growth</t>
        </is>
      </c>
      <c r="C183" s="6" t="inlineStr">
        <is>
          <t>2023 Q3</t>
        </is>
      </c>
      <c r="D183" s="10" t="n">
        <v>2023</v>
      </c>
      <c r="E183" s="10" t="n">
        <v>3</v>
      </c>
      <c r="F183" s="9" t="inlineStr"/>
      <c r="G183" s="8" t="n">
        <v>7.6777</v>
      </c>
      <c r="H183" s="7" t="inlineStr">
        <is>
          <t>Trailing 8-Quarter Moving Average Extrapolation</t>
        </is>
      </c>
      <c r="I183" s="7" t="inlineStr">
        <is>
          <t>tail_missing</t>
        </is>
      </c>
      <c r="J183" s="8" t="b">
        <v>1</v>
      </c>
      <c r="K183" s="8" t="b">
        <v>1</v>
      </c>
      <c r="L183" s="7" t="inlineStr">
        <is>
          <t>Data Money Growth tahun akhir belum tersedia di sumber</t>
        </is>
      </c>
      <c r="M183" s="7" t="inlineStr">
        <is>
          <t>Money Growth (kurang)</t>
        </is>
      </c>
    </row>
    <row r="184" ht="19" customHeight="1">
      <c r="A184" s="6" t="inlineStr">
        <is>
          <t>Vietnam</t>
        </is>
      </c>
      <c r="B184" s="7" t="inlineStr">
        <is>
          <t>money_growth</t>
        </is>
      </c>
      <c r="C184" s="6" t="inlineStr">
        <is>
          <t>2023 Q4</t>
        </is>
      </c>
      <c r="D184" s="10" t="n">
        <v>2023</v>
      </c>
      <c r="E184" s="10" t="n">
        <v>4</v>
      </c>
      <c r="F184" s="9" t="inlineStr"/>
      <c r="G184" s="8" t="n">
        <v>7.6777</v>
      </c>
      <c r="H184" s="7" t="inlineStr">
        <is>
          <t>Trailing 8-Quarter Moving Average Extrapolation</t>
        </is>
      </c>
      <c r="I184" s="7" t="inlineStr">
        <is>
          <t>tail_missing</t>
        </is>
      </c>
      <c r="J184" s="8" t="b">
        <v>1</v>
      </c>
      <c r="K184" s="8" t="b">
        <v>1</v>
      </c>
      <c r="L184" s="7" t="inlineStr">
        <is>
          <t>Data Money Growth tahun akhir belum tersedia di sumber</t>
        </is>
      </c>
      <c r="M184" s="7" t="inlineStr">
        <is>
          <t>Money Growth (kurang)</t>
        </is>
      </c>
    </row>
    <row r="185" ht="19" customHeight="1">
      <c r="A185" s="6" t="inlineStr">
        <is>
          <t>Vietnam</t>
        </is>
      </c>
      <c r="B185" s="7" t="inlineStr">
        <is>
          <t>money_growth</t>
        </is>
      </c>
      <c r="C185" s="6" t="inlineStr">
        <is>
          <t>2024 Q1</t>
        </is>
      </c>
      <c r="D185" s="10" t="n">
        <v>2024</v>
      </c>
      <c r="E185" s="10" t="n">
        <v>1</v>
      </c>
      <c r="F185" s="9" t="inlineStr"/>
      <c r="G185" s="8" t="n">
        <v>7.6777</v>
      </c>
      <c r="H185" s="7" t="inlineStr">
        <is>
          <t>Trailing 8-Quarter Moving Average Extrapolation</t>
        </is>
      </c>
      <c r="I185" s="7" t="inlineStr">
        <is>
          <t>tail_missing</t>
        </is>
      </c>
      <c r="J185" s="8" t="b">
        <v>1</v>
      </c>
      <c r="K185" s="8" t="b">
        <v>1</v>
      </c>
      <c r="L185" s="7" t="inlineStr">
        <is>
          <t>Data Money Growth tahun akhir belum tersedia di sumber</t>
        </is>
      </c>
      <c r="M185" s="7" t="inlineStr">
        <is>
          <t>Money Growth (kurang)</t>
        </is>
      </c>
    </row>
    <row r="186" ht="19" customHeight="1">
      <c r="A186" s="6" t="inlineStr">
        <is>
          <t>Vietnam</t>
        </is>
      </c>
      <c r="B186" s="7" t="inlineStr">
        <is>
          <t>money_growth</t>
        </is>
      </c>
      <c r="C186" s="6" t="inlineStr">
        <is>
          <t>2024 Q2</t>
        </is>
      </c>
      <c r="D186" s="10" t="n">
        <v>2024</v>
      </c>
      <c r="E186" s="10" t="n">
        <v>2</v>
      </c>
      <c r="F186" s="9" t="inlineStr"/>
      <c r="G186" s="8" t="n">
        <v>7.6777</v>
      </c>
      <c r="H186" s="7" t="inlineStr">
        <is>
          <t>Trailing 8-Quarter Moving Average Extrapolation</t>
        </is>
      </c>
      <c r="I186" s="7" t="inlineStr">
        <is>
          <t>tail_missing</t>
        </is>
      </c>
      <c r="J186" s="8" t="b">
        <v>1</v>
      </c>
      <c r="K186" s="8" t="b">
        <v>1</v>
      </c>
      <c r="L186" s="7" t="inlineStr">
        <is>
          <t>Data Money Growth tahun akhir belum tersedia di sumber</t>
        </is>
      </c>
      <c r="M186" s="7" t="inlineStr">
        <is>
          <t>Money Growth (kurang)</t>
        </is>
      </c>
    </row>
    <row r="187" ht="19" customHeight="1">
      <c r="A187" s="6" t="inlineStr">
        <is>
          <t>Vietnam</t>
        </is>
      </c>
      <c r="B187" s="7" t="inlineStr">
        <is>
          <t>money_growth</t>
        </is>
      </c>
      <c r="C187" s="6" t="inlineStr">
        <is>
          <t>2024 Q3</t>
        </is>
      </c>
      <c r="D187" s="10" t="n">
        <v>2024</v>
      </c>
      <c r="E187" s="10" t="n">
        <v>3</v>
      </c>
      <c r="F187" s="9" t="inlineStr"/>
      <c r="G187" s="8" t="n">
        <v>7.6777</v>
      </c>
      <c r="H187" s="7" t="inlineStr">
        <is>
          <t>Trailing 8-Quarter Moving Average Extrapolation</t>
        </is>
      </c>
      <c r="I187" s="7" t="inlineStr">
        <is>
          <t>tail_missing</t>
        </is>
      </c>
      <c r="J187" s="8" t="b">
        <v>1</v>
      </c>
      <c r="K187" s="8" t="b">
        <v>1</v>
      </c>
      <c r="L187" s="7" t="inlineStr">
        <is>
          <t>Data Money Growth tahun akhir belum tersedia di sumber</t>
        </is>
      </c>
      <c r="M187" s="7" t="inlineStr">
        <is>
          <t>Money Growth (kurang)</t>
        </is>
      </c>
    </row>
    <row r="188" ht="19" customHeight="1">
      <c r="A188" s="6" t="inlineStr">
        <is>
          <t>Vietnam</t>
        </is>
      </c>
      <c r="B188" s="7" t="inlineStr">
        <is>
          <t>money_growth</t>
        </is>
      </c>
      <c r="C188" s="6" t="inlineStr">
        <is>
          <t>2024 Q4</t>
        </is>
      </c>
      <c r="D188" s="10" t="n">
        <v>2024</v>
      </c>
      <c r="E188" s="10" t="n">
        <v>4</v>
      </c>
      <c r="F188" s="9" t="inlineStr"/>
      <c r="G188" s="8" t="n">
        <v>7.6777</v>
      </c>
      <c r="H188" s="7" t="inlineStr">
        <is>
          <t>Trailing 8-Quarter Moving Average Extrapolation</t>
        </is>
      </c>
      <c r="I188" s="7" t="inlineStr">
        <is>
          <t>tail_missing</t>
        </is>
      </c>
      <c r="J188" s="8" t="b">
        <v>1</v>
      </c>
      <c r="K188" s="8" t="b">
        <v>1</v>
      </c>
      <c r="L188" s="7" t="inlineStr">
        <is>
          <t>Data Money Growth tahun akhir belum tersedia di sumber</t>
        </is>
      </c>
      <c r="M188" s="7" t="inlineStr">
        <is>
          <t>Money Growth (kurang)</t>
        </is>
      </c>
    </row>
    <row r="189" ht="19" customHeight="1">
      <c r="A189" s="6" t="inlineStr">
        <is>
          <t>Vietnam</t>
        </is>
      </c>
      <c r="B189" s="7" t="inlineStr">
        <is>
          <t>money_growth</t>
        </is>
      </c>
      <c r="C189" s="6" t="inlineStr">
        <is>
          <t>2025 Q1</t>
        </is>
      </c>
      <c r="D189" s="10" t="n">
        <v>2025</v>
      </c>
      <c r="E189" s="10" t="n">
        <v>1</v>
      </c>
      <c r="F189" s="9" t="inlineStr"/>
      <c r="G189" s="8" t="n">
        <v>7.6777</v>
      </c>
      <c r="H189" s="7" t="inlineStr">
        <is>
          <t>Trailing 8-Quarter Moving Average Extrapolation</t>
        </is>
      </c>
      <c r="I189" s="7" t="inlineStr">
        <is>
          <t>tail_missing</t>
        </is>
      </c>
      <c r="J189" s="8" t="b">
        <v>1</v>
      </c>
      <c r="K189" s="8" t="b">
        <v>1</v>
      </c>
      <c r="L189" s="7" t="inlineStr">
        <is>
          <t>Data Money Growth tahun akhir belum tersedia di sumber</t>
        </is>
      </c>
      <c r="M189" s="7" t="inlineStr">
        <is>
          <t>Money Growth (kurang)</t>
        </is>
      </c>
    </row>
    <row r="190" ht="19" customHeight="1">
      <c r="A190" s="6" t="inlineStr">
        <is>
          <t>Vietnam</t>
        </is>
      </c>
      <c r="B190" s="7" t="inlineStr">
        <is>
          <t>money_growth</t>
        </is>
      </c>
      <c r="C190" s="6" t="inlineStr">
        <is>
          <t>2025 Q2</t>
        </is>
      </c>
      <c r="D190" s="10" t="n">
        <v>2025</v>
      </c>
      <c r="E190" s="10" t="n">
        <v>2</v>
      </c>
      <c r="F190" s="9" t="inlineStr"/>
      <c r="G190" s="8" t="n">
        <v>7.6777</v>
      </c>
      <c r="H190" s="7" t="inlineStr">
        <is>
          <t>Trailing 8-Quarter Moving Average Extrapolation</t>
        </is>
      </c>
      <c r="I190" s="7" t="inlineStr">
        <is>
          <t>tail_missing</t>
        </is>
      </c>
      <c r="J190" s="8" t="b">
        <v>1</v>
      </c>
      <c r="K190" s="8" t="b">
        <v>1</v>
      </c>
      <c r="L190" s="7" t="inlineStr">
        <is>
          <t>Data Money Growth tahun akhir belum tersedia di sumber</t>
        </is>
      </c>
      <c r="M190" s="7" t="inlineStr">
        <is>
          <t>Money Growth (kurang)</t>
        </is>
      </c>
    </row>
    <row r="191" ht="19" customHeight="1">
      <c r="A191" s="6" t="inlineStr">
        <is>
          <t>Vietnam</t>
        </is>
      </c>
      <c r="B191" s="7" t="inlineStr">
        <is>
          <t>money_growth</t>
        </is>
      </c>
      <c r="C191" s="6" t="inlineStr">
        <is>
          <t>2025 Q3</t>
        </is>
      </c>
      <c r="D191" s="10" t="n">
        <v>2025</v>
      </c>
      <c r="E191" s="10" t="n">
        <v>3</v>
      </c>
      <c r="F191" s="9" t="inlineStr"/>
      <c r="G191" s="8" t="n">
        <v>7.6777</v>
      </c>
      <c r="H191" s="7" t="inlineStr">
        <is>
          <t>Trailing 8-Quarter Moving Average Extrapolation</t>
        </is>
      </c>
      <c r="I191" s="7" t="inlineStr">
        <is>
          <t>tail_missing</t>
        </is>
      </c>
      <c r="J191" s="8" t="b">
        <v>1</v>
      </c>
      <c r="K191" s="8" t="b">
        <v>1</v>
      </c>
      <c r="L191" s="7" t="inlineStr">
        <is>
          <t>Data Money Growth tahun akhir belum tersedia di sumber</t>
        </is>
      </c>
      <c r="M191" s="7" t="inlineStr">
        <is>
          <t>Money Growth (kurang)</t>
        </is>
      </c>
    </row>
    <row r="192" ht="19" customHeight="1">
      <c r="A192" s="6" t="inlineStr">
        <is>
          <t>Vietnam</t>
        </is>
      </c>
      <c r="B192" s="7" t="inlineStr">
        <is>
          <t>money_growth</t>
        </is>
      </c>
      <c r="C192" s="6" t="inlineStr">
        <is>
          <t>2025 Q4</t>
        </is>
      </c>
      <c r="D192" s="10" t="n">
        <v>2025</v>
      </c>
      <c r="E192" s="10" t="n">
        <v>4</v>
      </c>
      <c r="F192" s="9" t="inlineStr"/>
      <c r="G192" s="8" t="n">
        <v>7.6777</v>
      </c>
      <c r="H192" s="7" t="inlineStr">
        <is>
          <t>Trailing 8-Quarter Moving Average Extrapolation</t>
        </is>
      </c>
      <c r="I192" s="7" t="inlineStr">
        <is>
          <t>tail_missing</t>
        </is>
      </c>
      <c r="J192" s="8" t="b">
        <v>1</v>
      </c>
      <c r="K192" s="8" t="b">
        <v>1</v>
      </c>
      <c r="L192" s="7" t="inlineStr">
        <is>
          <t>Data Money Growth tahun akhir belum tersedia di sumber</t>
        </is>
      </c>
      <c r="M192" s="7" t="inlineStr">
        <is>
          <t>Money Growth (kurang)</t>
        </is>
      </c>
    </row>
  </sheetData>
  <autoFilter ref="A1:M19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8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6" customWidth="1" min="10" max="10"/>
    <col width="38" customWidth="1" min="11" max="11"/>
    <col width="32" customWidth="1" min="12" max="12"/>
  </cols>
  <sheetData>
    <row r="1" ht="26" customHeight="1">
      <c r="A1" s="5" t="inlineStr">
        <is>
          <t>country</t>
        </is>
      </c>
      <c r="B1" s="5" t="inlineStr">
        <is>
          <t>variable</t>
        </is>
      </c>
      <c r="C1" s="5" t="inlineStr">
        <is>
          <t>year</t>
        </is>
      </c>
      <c r="D1" s="5" t="inlineStr">
        <is>
          <t>annual_benchmark</t>
        </is>
      </c>
      <c r="E1" s="5" t="inlineStr">
        <is>
          <t>q1</t>
        </is>
      </c>
      <c r="F1" s="5" t="inlineStr">
        <is>
          <t>q2</t>
        </is>
      </c>
      <c r="G1" s="5" t="inlineStr">
        <is>
          <t>q3</t>
        </is>
      </c>
      <c r="H1" s="5" t="inlineStr">
        <is>
          <t>q4</t>
        </is>
      </c>
      <c r="I1" s="5" t="inlineStr">
        <is>
          <t>quarterly_mean</t>
        </is>
      </c>
      <c r="J1" s="5" t="inlineStr">
        <is>
          <t>discrepancy</t>
        </is>
      </c>
      <c r="K1" s="5" t="inlineStr">
        <is>
          <t>method</t>
        </is>
      </c>
      <c r="L1" s="5" t="inlineStr">
        <is>
          <t>temporal_constraint</t>
        </is>
      </c>
    </row>
    <row r="2" ht="19" customHeight="1">
      <c r="A2" s="6" t="inlineStr">
        <is>
          <t>Brunei</t>
        </is>
      </c>
      <c r="B2" s="6" t="inlineStr">
        <is>
          <t>GDP_Growth</t>
        </is>
      </c>
      <c r="C2" s="10" t="n">
        <v>2010</v>
      </c>
      <c r="D2" s="8" t="n">
        <v>2.74136439456163</v>
      </c>
      <c r="E2" s="8" t="n">
        <v>2.37521603660103</v>
      </c>
      <c r="F2" s="8" t="n">
        <v>2.52167529189561</v>
      </c>
      <c r="G2" s="8" t="n">
        <v>2.81459394896587</v>
      </c>
      <c r="H2" s="8" t="n">
        <v>3.25397230075231</v>
      </c>
      <c r="I2" s="10" t="n">
        <v>2.74136439455371</v>
      </c>
      <c r="J2" s="8" t="n">
        <v>-7.92121923609557e-12</v>
      </c>
      <c r="K2" s="7" t="inlineStr">
        <is>
          <t>Denton-Cholette First-Difference Minimization</t>
        </is>
      </c>
      <c r="L2" s="7" t="inlineStr">
        <is>
          <t>mean(Q1..Q4) == Annual_Growth</t>
        </is>
      </c>
    </row>
    <row r="3" ht="19" customHeight="1">
      <c r="A3" s="6" t="inlineStr">
        <is>
          <t>Brunei</t>
        </is>
      </c>
      <c r="B3" s="6" t="inlineStr">
        <is>
          <t>GDP_Growth</t>
        </is>
      </c>
      <c r="C3" s="10" t="n">
        <v>2011</v>
      </c>
      <c r="D3" s="8" t="n">
        <v>3.74440625524871</v>
      </c>
      <c r="E3" s="8" t="n">
        <v>3.83981078657831</v>
      </c>
      <c r="F3" s="8" t="n">
        <v>4.03598430924564</v>
      </c>
      <c r="G3" s="8" t="n">
        <v>3.84249306497655</v>
      </c>
      <c r="H3" s="8" t="n">
        <v>3.25933686020544</v>
      </c>
      <c r="I3" s="10" t="n">
        <v>3.74440625525149</v>
      </c>
      <c r="J3" s="8" t="n">
        <v>2.78133072129094e-12</v>
      </c>
      <c r="K3" s="7" t="inlineStr">
        <is>
          <t>Denton-Cholette First-Difference Minimization</t>
        </is>
      </c>
      <c r="L3" s="7" t="inlineStr">
        <is>
          <t>mean(Q1..Q4) == Annual_Growth</t>
        </is>
      </c>
    </row>
    <row r="4" ht="19" customHeight="1">
      <c r="A4" s="6" t="inlineStr">
        <is>
          <t>Brunei</t>
        </is>
      </c>
      <c r="B4" s="6" t="inlineStr">
        <is>
          <t>GDP_Growth</t>
        </is>
      </c>
      <c r="C4" s="10" t="n">
        <v>2012</v>
      </c>
      <c r="D4" s="8" t="n">
        <v>0.913135189664487</v>
      </c>
      <c r="E4" s="8" t="n">
        <v>2.28651511181898</v>
      </c>
      <c r="F4" s="8" t="n">
        <v>1.3480349094265</v>
      </c>
      <c r="G4" s="8" t="n">
        <v>0.443895314487284</v>
      </c>
      <c r="H4" s="8" t="n">
        <v>-0.425904577061583</v>
      </c>
      <c r="I4" s="10" t="n">
        <v>0.9131351896677939</v>
      </c>
      <c r="J4" s="8" t="n">
        <v>3.30713234575342e-12</v>
      </c>
      <c r="K4" s="7" t="inlineStr">
        <is>
          <t>Denton-Cholette First-Difference Minimization</t>
        </is>
      </c>
      <c r="L4" s="7" t="inlineStr">
        <is>
          <t>mean(Q1..Q4) == Annual_Growth</t>
        </is>
      </c>
    </row>
    <row r="5" ht="19" customHeight="1">
      <c r="A5" s="6" t="inlineStr">
        <is>
          <t>Brunei</t>
        </is>
      </c>
      <c r="B5" s="6" t="inlineStr">
        <is>
          <t>GDP_Growth</t>
        </is>
      </c>
      <c r="C5" s="10" t="n">
        <v>2013</v>
      </c>
      <c r="D5" s="8" t="n">
        <v>-2.12478292664558</v>
      </c>
      <c r="E5" s="8" t="n">
        <v>-1.261365635079</v>
      </c>
      <c r="F5" s="8" t="n">
        <v>-1.94091665070825</v>
      </c>
      <c r="G5" s="8" t="n">
        <v>-2.46455830357063</v>
      </c>
      <c r="H5" s="8" t="n">
        <v>-2.83229111726115</v>
      </c>
      <c r="I5" s="10" t="n">
        <v>-2.12478292665476</v>
      </c>
      <c r="J5" s="8" t="n">
        <v>-9.177547610761389e-12</v>
      </c>
      <c r="K5" s="7" t="inlineStr">
        <is>
          <t>Denton-Cholette First-Difference Minimization</t>
        </is>
      </c>
      <c r="L5" s="7" t="inlineStr">
        <is>
          <t>mean(Q1..Q4) == Annual_Growth</t>
        </is>
      </c>
    </row>
    <row r="6" ht="19" customHeight="1">
      <c r="A6" s="6" t="inlineStr">
        <is>
          <t>Brunei</t>
        </is>
      </c>
      <c r="B6" s="6" t="inlineStr">
        <is>
          <t>GDP_Growth</t>
        </is>
      </c>
      <c r="C6" s="10" t="n">
        <v>2014</v>
      </c>
      <c r="D6" s="8" t="n">
        <v>-2.50788727590711</v>
      </c>
      <c r="E6" s="8" t="n">
        <v>-3.04411545950135</v>
      </c>
      <c r="F6" s="8" t="n">
        <v>-2.91435402200432</v>
      </c>
      <c r="G6" s="8" t="n">
        <v>-2.44300667498765</v>
      </c>
      <c r="H6" s="8" t="n">
        <v>-1.63007294707288</v>
      </c>
      <c r="I6" s="10" t="n">
        <v>-2.50788727589155</v>
      </c>
      <c r="J6" s="8" t="n">
        <v>1.55595536455166e-11</v>
      </c>
      <c r="K6" s="7" t="inlineStr">
        <is>
          <t>Denton-Cholette First-Difference Minimization</t>
        </is>
      </c>
      <c r="L6" s="7" t="inlineStr">
        <is>
          <t>mean(Q1..Q4) == Annual_Growth</t>
        </is>
      </c>
    </row>
    <row r="7" ht="19" customHeight="1">
      <c r="A7" s="6" t="inlineStr">
        <is>
          <t>Brunei</t>
        </is>
      </c>
      <c r="B7" s="6" t="inlineStr">
        <is>
          <t>GDP_Growth</t>
        </is>
      </c>
      <c r="C7" s="10" t="n">
        <v>2015</v>
      </c>
      <c r="D7" s="8" t="n">
        <v>-0.392383749502031</v>
      </c>
      <c r="E7" s="8" t="n">
        <v>-0.475552025372131</v>
      </c>
      <c r="F7" s="8" t="n">
        <v>0.0195234720613583</v>
      </c>
      <c r="G7" s="8" t="n">
        <v>-0.14484595969254</v>
      </c>
      <c r="H7" s="8" t="n">
        <v>-0.968660484969706</v>
      </c>
      <c r="I7" s="10" t="n">
        <v>-0.392383749493255</v>
      </c>
      <c r="J7" s="8" t="n">
        <v>8.77625749851063e-12</v>
      </c>
      <c r="K7" s="7" t="inlineStr">
        <is>
          <t>Denton-Cholette First-Difference Minimization</t>
        </is>
      </c>
      <c r="L7" s="7" t="inlineStr">
        <is>
          <t>mean(Q1..Q4) == Annual_Growth</t>
        </is>
      </c>
    </row>
    <row r="8" ht="19" customHeight="1">
      <c r="A8" s="6" t="inlineStr">
        <is>
          <t>Brunei</t>
        </is>
      </c>
      <c r="B8" s="6" t="inlineStr">
        <is>
          <t>GDP_Growth</t>
        </is>
      </c>
      <c r="C8" s="10" t="n">
        <v>2016</v>
      </c>
      <c r="D8" s="8" t="n">
        <v>-2.47791771833224</v>
      </c>
      <c r="E8" s="8" t="n">
        <v>-2.45192092762</v>
      </c>
      <c r="F8" s="8" t="n">
        <v>-3.05562360707687</v>
      </c>
      <c r="G8" s="8" t="n">
        <v>-2.77976912700927</v>
      </c>
      <c r="H8" s="8" t="n">
        <v>-1.62435721157891</v>
      </c>
      <c r="I8" s="10" t="n">
        <v>-2.47791771832126</v>
      </c>
      <c r="J8" s="8" t="n">
        <v>1.09730002861852e-11</v>
      </c>
      <c r="K8" s="7" t="inlineStr">
        <is>
          <t>Denton-Cholette First-Difference Minimization</t>
        </is>
      </c>
      <c r="L8" s="7" t="inlineStr">
        <is>
          <t>mean(Q1..Q4) == Annual_Growth</t>
        </is>
      </c>
    </row>
    <row r="9" ht="19" customHeight="1">
      <c r="A9" s="6" t="inlineStr">
        <is>
          <t>Brunei</t>
        </is>
      </c>
      <c r="B9" s="6" t="inlineStr">
        <is>
          <t>GDP_Growth</t>
        </is>
      </c>
      <c r="C9" s="10" t="n">
        <v>2017</v>
      </c>
      <c r="D9" s="8" t="n">
        <v>1.32872661057823</v>
      </c>
      <c r="E9" s="8" t="n">
        <v>0.410613294640954</v>
      </c>
      <c r="F9" s="8" t="n">
        <v>1.59184631825447</v>
      </c>
      <c r="G9" s="8" t="n">
        <v>1.91934304050647</v>
      </c>
      <c r="H9" s="8" t="n">
        <v>1.39310378891523</v>
      </c>
      <c r="I9" s="10" t="n">
        <v>1.32872661057928</v>
      </c>
      <c r="J9" s="8" t="n">
        <v>1.05093711511017e-12</v>
      </c>
      <c r="K9" s="7" t="inlineStr">
        <is>
          <t>Denton-Cholette First-Difference Minimization</t>
        </is>
      </c>
      <c r="L9" s="7" t="inlineStr">
        <is>
          <t>mean(Q1..Q4) == Annual_Growth</t>
        </is>
      </c>
    </row>
    <row r="10" ht="19" customHeight="1">
      <c r="A10" s="6" t="inlineStr">
        <is>
          <t>Brunei</t>
        </is>
      </c>
      <c r="B10" s="6" t="inlineStr">
        <is>
          <t>GDP_Growth</t>
        </is>
      </c>
      <c r="C10" s="10" t="n">
        <v>2018</v>
      </c>
      <c r="D10" s="8" t="n">
        <v>0.0523710418528935</v>
      </c>
      <c r="E10" s="8" t="n">
        <v>0.013128037243991</v>
      </c>
      <c r="F10" s="8" t="n">
        <v>-0.523164877838268</v>
      </c>
      <c r="G10" s="8" t="n">
        <v>-0.215775492526004</v>
      </c>
      <c r="H10" s="8" t="n">
        <v>0.935296500539584</v>
      </c>
      <c r="I10" s="10" t="n">
        <v>0.0523710418548258</v>
      </c>
      <c r="J10" s="8" t="n">
        <v>1.93223215205762e-12</v>
      </c>
      <c r="K10" s="7" t="inlineStr">
        <is>
          <t>Denton-Cholette First-Difference Minimization</t>
        </is>
      </c>
      <c r="L10" s="7" t="inlineStr">
        <is>
          <t>mean(Q1..Q4) == Annual_Growth</t>
        </is>
      </c>
    </row>
    <row r="11" ht="19" customHeight="1">
      <c r="A11" s="6" t="inlineStr">
        <is>
          <t>Brunei</t>
        </is>
      </c>
      <c r="B11" s="6" t="inlineStr">
        <is>
          <t>GDP_Growth</t>
        </is>
      </c>
      <c r="C11" s="10" t="n">
        <v>2019</v>
      </c>
      <c r="D11" s="8" t="n">
        <v>3.86884436177075</v>
      </c>
      <c r="E11" s="8" t="n">
        <v>2.93005225240879</v>
      </c>
      <c r="F11" s="8" t="n">
        <v>4.10347089233443</v>
      </c>
      <c r="G11" s="8" t="n">
        <v>4.4555535937287</v>
      </c>
      <c r="H11" s="8" t="n">
        <v>3.98630070867696</v>
      </c>
      <c r="I11" s="10" t="n">
        <v>3.86884436178722</v>
      </c>
      <c r="J11" s="8" t="n">
        <v>1.64659397228206e-11</v>
      </c>
      <c r="K11" s="7" t="inlineStr">
        <is>
          <t>Denton-Cholette First-Difference Minimization</t>
        </is>
      </c>
      <c r="L11" s="7" t="inlineStr">
        <is>
          <t>mean(Q1..Q4) == Annual_Growth</t>
        </is>
      </c>
    </row>
    <row r="12" ht="19" customHeight="1">
      <c r="A12" s="6" t="inlineStr">
        <is>
          <t>Brunei</t>
        </is>
      </c>
      <c r="B12" s="6" t="inlineStr">
        <is>
          <t>GDP_Growth</t>
        </is>
      </c>
      <c r="C12" s="10" t="n">
        <v>2020</v>
      </c>
      <c r="D12" s="8" t="n">
        <v>1.1335733495246</v>
      </c>
      <c r="E12" s="8" t="n">
        <v>2.69571176792317</v>
      </c>
      <c r="F12" s="8" t="n">
        <v>1.55462137985357</v>
      </c>
      <c r="G12" s="8" t="n">
        <v>0.563028403417696</v>
      </c>
      <c r="H12" s="8" t="n">
        <v>-0.279068153039204</v>
      </c>
      <c r="I12" s="10" t="n">
        <v>1.13357334953881</v>
      </c>
      <c r="J12" s="8" t="n">
        <v>1.42124090274365e-11</v>
      </c>
      <c r="K12" s="7" t="inlineStr">
        <is>
          <t>Denton-Cholette First-Difference Minimization</t>
        </is>
      </c>
      <c r="L12" s="7" t="inlineStr">
        <is>
          <t>mean(Q1..Q4) == Annual_Growth</t>
        </is>
      </c>
    </row>
    <row r="13" ht="19" customHeight="1">
      <c r="A13" s="6" t="inlineStr">
        <is>
          <t>Brunei</t>
        </is>
      </c>
      <c r="B13" s="6" t="inlineStr">
        <is>
          <t>GDP_Growth</t>
        </is>
      </c>
      <c r="C13" s="10" t="n">
        <v>2021</v>
      </c>
      <c r="D13" s="8" t="n">
        <v>-1.59076260099606</v>
      </c>
      <c r="E13" s="8" t="n">
        <v>-0.971669131583917</v>
      </c>
      <c r="F13" s="8" t="n">
        <v>-1.49634666522222</v>
      </c>
      <c r="G13" s="8" t="n">
        <v>-1.85310127864643</v>
      </c>
      <c r="H13" s="8" t="n">
        <v>-2.04193332855551</v>
      </c>
      <c r="I13" s="10" t="n">
        <v>-1.59076260100202</v>
      </c>
      <c r="J13" s="8" t="n">
        <v>-5.96189764223709e-12</v>
      </c>
      <c r="K13" s="7" t="inlineStr">
        <is>
          <t>Denton-Cholette First-Difference Minimization</t>
        </is>
      </c>
      <c r="L13" s="7" t="inlineStr">
        <is>
          <t>mean(Q1..Q4) == Annual_Growth</t>
        </is>
      </c>
    </row>
    <row r="14" ht="19" customHeight="1">
      <c r="A14" s="6" t="inlineStr">
        <is>
          <t>Brunei</t>
        </is>
      </c>
      <c r="B14" s="6" t="inlineStr">
        <is>
          <t>GDP_Growth</t>
        </is>
      </c>
      <c r="C14" s="10" t="n">
        <v>2022</v>
      </c>
      <c r="D14" s="8" t="n">
        <v>-1.62833154515108</v>
      </c>
      <c r="E14" s="8" t="n">
        <v>-2.06284300383898</v>
      </c>
      <c r="F14" s="8" t="n">
        <v>-1.89740239183775</v>
      </c>
      <c r="G14" s="8" t="n">
        <v>-1.54561132710216</v>
      </c>
      <c r="H14" s="8" t="n">
        <v>-1.00746945783499</v>
      </c>
      <c r="I14" s="10" t="n">
        <v>-1.62833154515347</v>
      </c>
      <c r="J14" s="8" t="n">
        <v>-2.38786768136379e-12</v>
      </c>
      <c r="K14" s="7" t="inlineStr">
        <is>
          <t>Denton-Cholette First-Difference Minimization</t>
        </is>
      </c>
      <c r="L14" s="7" t="inlineStr">
        <is>
          <t>mean(Q1..Q4) == Annual_Growth</t>
        </is>
      </c>
    </row>
    <row r="15" ht="19" customHeight="1">
      <c r="A15" s="6" t="inlineStr">
        <is>
          <t>Brunei</t>
        </is>
      </c>
      <c r="B15" s="6" t="inlineStr">
        <is>
          <t>GDP_Growth</t>
        </is>
      </c>
      <c r="C15" s="10" t="n">
        <v>2023</v>
      </c>
      <c r="D15" s="8" t="n">
        <v>1.12764418162719</v>
      </c>
      <c r="E15" s="8" t="n">
        <v>-0.282976245910328</v>
      </c>
      <c r="F15" s="8" t="n">
        <v>0.57106876988098</v>
      </c>
      <c r="G15" s="8" t="n">
        <v>1.55466644363133</v>
      </c>
      <c r="H15" s="8" t="n">
        <v>2.66781775890197</v>
      </c>
      <c r="I15" s="10" t="n">
        <v>1.12764418162599</v>
      </c>
      <c r="J15" s="8" t="n">
        <v>-1.20303766948382e-12</v>
      </c>
      <c r="K15" s="7" t="inlineStr">
        <is>
          <t>Denton-Cholette First-Difference Minimization</t>
        </is>
      </c>
      <c r="L15" s="7" t="inlineStr">
        <is>
          <t>mean(Q1..Q4) == Annual_Growth</t>
        </is>
      </c>
    </row>
    <row r="16" ht="19" customHeight="1">
      <c r="A16" s="6" t="inlineStr">
        <is>
          <t>Brunei</t>
        </is>
      </c>
      <c r="B16" s="6" t="inlineStr">
        <is>
          <t>GDP_Growth</t>
        </is>
      </c>
      <c r="C16" s="10" t="n">
        <v>2024</v>
      </c>
      <c r="D16" s="8" t="n">
        <v>4.05251709306727</v>
      </c>
      <c r="E16" s="8" t="n">
        <v>3.91052382885477</v>
      </c>
      <c r="F16" s="8" t="n">
        <v>4.46440335446315</v>
      </c>
      <c r="G16" s="8" t="n">
        <v>4.32945688960497</v>
      </c>
      <c r="H16" s="8" t="n">
        <v>3.50568429934815</v>
      </c>
      <c r="I16" s="10" t="n">
        <v>4.05251709306776</v>
      </c>
      <c r="J16" s="8" t="n">
        <v>4.9471537977297e-13</v>
      </c>
      <c r="K16" s="7" t="inlineStr">
        <is>
          <t>Denton-Cholette First-Difference Minimization</t>
        </is>
      </c>
      <c r="L16" s="7" t="inlineStr">
        <is>
          <t>mean(Q1..Q4) == Annual_Growth</t>
        </is>
      </c>
    </row>
    <row r="17" ht="19" customHeight="1">
      <c r="A17" s="6" t="inlineStr">
        <is>
          <t>Brunei</t>
        </is>
      </c>
      <c r="B17" s="6" t="inlineStr">
        <is>
          <t>GDP_Growth</t>
        </is>
      </c>
      <c r="C17" s="10" t="n">
        <v>2025</v>
      </c>
      <c r="D17" s="8" t="n">
        <v>0.66956214816436</v>
      </c>
      <c r="E17" s="8" t="n">
        <v>1.9930847598996</v>
      </c>
      <c r="F17" s="8" t="n">
        <v>0.858636428823053</v>
      </c>
      <c r="G17" s="8" t="n">
        <v>0.102338171739644</v>
      </c>
      <c r="H17" s="8" t="n">
        <v>-0.275810767766379</v>
      </c>
      <c r="I17" s="10" t="n">
        <v>0.66956214817398</v>
      </c>
      <c r="J17" s="8" t="n">
        <v>9.61986046377206e-12</v>
      </c>
      <c r="K17" s="7" t="inlineStr">
        <is>
          <t>Denton-Cholette First-Difference Minimization</t>
        </is>
      </c>
      <c r="L17" s="7" t="inlineStr">
        <is>
          <t>mean(Q1..Q4) == Annual_Growth</t>
        </is>
      </c>
    </row>
    <row r="18" ht="19" customHeight="1">
      <c r="A18" s="6" t="inlineStr">
        <is>
          <t>Cambodia</t>
        </is>
      </c>
      <c r="B18" s="6" t="inlineStr">
        <is>
          <t>GDP_Growth</t>
        </is>
      </c>
      <c r="C18" s="10" t="n">
        <v>2010</v>
      </c>
      <c r="D18" s="8" t="n">
        <v>5.07691843229247</v>
      </c>
      <c r="E18" s="8" t="n">
        <v>4.56505722006641</v>
      </c>
      <c r="F18" s="8" t="n">
        <v>4.76980158211207</v>
      </c>
      <c r="G18" s="8" t="n">
        <v>5.17929051093504</v>
      </c>
      <c r="H18" s="8" t="n">
        <v>5.79352441605486</v>
      </c>
      <c r="I18" s="10" t="n">
        <v>5.07691843229209</v>
      </c>
      <c r="J18" s="8" t="n">
        <v>-3.78364006792253e-13</v>
      </c>
      <c r="K18" s="7" t="inlineStr">
        <is>
          <t>Denton-Cholette First-Difference Minimization</t>
        </is>
      </c>
      <c r="L18" s="7" t="inlineStr">
        <is>
          <t>mean(Q1..Q4) == Annual_Growth</t>
        </is>
      </c>
    </row>
    <row r="19" ht="19" customHeight="1">
      <c r="A19" s="6" t="inlineStr">
        <is>
          <t>Cambodia</t>
        </is>
      </c>
      <c r="B19" s="6" t="inlineStr">
        <is>
          <t>GDP_Growth</t>
        </is>
      </c>
      <c r="C19" s="10" t="n">
        <v>2011</v>
      </c>
      <c r="D19" s="8" t="n">
        <v>7.28665813879552</v>
      </c>
      <c r="E19" s="8" t="n">
        <v>6.61250391170546</v>
      </c>
      <c r="F19" s="8" t="n">
        <v>7.20975712432023</v>
      </c>
      <c r="G19" s="8" t="n">
        <v>7.5852846512051</v>
      </c>
      <c r="H19" s="8" t="n">
        <v>7.73908686785505</v>
      </c>
      <c r="I19" s="10" t="n">
        <v>7.28665813877146</v>
      </c>
      <c r="J19" s="8" t="n">
        <v>-2.40545361407385e-11</v>
      </c>
      <c r="K19" s="7" t="inlineStr">
        <is>
          <t>Denton-Cholette First-Difference Minimization</t>
        </is>
      </c>
      <c r="L19" s="7" t="inlineStr">
        <is>
          <t>mean(Q1..Q4) == Annual_Growth</t>
        </is>
      </c>
    </row>
    <row r="20" ht="19" customHeight="1">
      <c r="A20" s="6" t="inlineStr">
        <is>
          <t>Cambodia</t>
        </is>
      </c>
      <c r="B20" s="6" t="inlineStr">
        <is>
          <t>GDP_Growth</t>
        </is>
      </c>
      <c r="C20" s="10" t="n">
        <v>2012</v>
      </c>
      <c r="D20" s="8" t="n">
        <v>7.65025657870362</v>
      </c>
      <c r="E20" s="8" t="n">
        <v>7.67116392810322</v>
      </c>
      <c r="F20" s="8" t="n">
        <v>7.6356318269808</v>
      </c>
      <c r="G20" s="8" t="n">
        <v>7.63249052893732</v>
      </c>
      <c r="H20" s="8" t="n">
        <v>7.66174003083444</v>
      </c>
      <c r="I20" s="10" t="n">
        <v>7.65025657871395</v>
      </c>
      <c r="J20" s="8" t="n">
        <v>1.03268504858534e-11</v>
      </c>
      <c r="K20" s="7" t="inlineStr">
        <is>
          <t>Denton-Cholette First-Difference Minimization</t>
        </is>
      </c>
      <c r="L20" s="7" t="inlineStr">
        <is>
          <t>mean(Q1..Q4) == Annual_Growth</t>
        </is>
      </c>
    </row>
    <row r="21" ht="19" customHeight="1">
      <c r="A21" s="6" t="inlineStr">
        <is>
          <t>Cambodia</t>
        </is>
      </c>
      <c r="B21" s="6" t="inlineStr">
        <is>
          <t>GDP_Growth</t>
        </is>
      </c>
      <c r="C21" s="10" t="n">
        <v>2013</v>
      </c>
      <c r="D21" s="8" t="n">
        <v>7.8574997554252</v>
      </c>
      <c r="E21" s="8" t="n">
        <v>7.7233803619739</v>
      </c>
      <c r="F21" s="8" t="n">
        <v>7.80168421098127</v>
      </c>
      <c r="G21" s="8" t="n">
        <v>7.89665165618352</v>
      </c>
      <c r="H21" s="8" t="n">
        <v>8.008282792548229</v>
      </c>
      <c r="I21" s="10" t="n">
        <v>7.85749975542173</v>
      </c>
      <c r="J21" s="8" t="n">
        <v>-3.46478401525019e-12</v>
      </c>
      <c r="K21" s="7" t="inlineStr">
        <is>
          <t>Denton-Cholette First-Difference Minimization</t>
        </is>
      </c>
      <c r="L21" s="7" t="inlineStr">
        <is>
          <t>mean(Q1..Q4) == Annual_Growth</t>
        </is>
      </c>
    </row>
    <row r="22" ht="19" customHeight="1">
      <c r="A22" s="6" t="inlineStr">
        <is>
          <t>Cambodia</t>
        </is>
      </c>
      <c r="B22" s="6" t="inlineStr">
        <is>
          <t>GDP_Growth</t>
        </is>
      </c>
      <c r="C22" s="10" t="n">
        <v>2014</v>
      </c>
      <c r="D22" s="8" t="n">
        <v>8.000320746185659</v>
      </c>
      <c r="E22" s="8" t="n">
        <v>8.13657773174722</v>
      </c>
      <c r="F22" s="8" t="n">
        <v>8.133392927918131</v>
      </c>
      <c r="G22" s="8" t="n">
        <v>7.99872837794973</v>
      </c>
      <c r="H22" s="8" t="n">
        <v>7.73258394713543</v>
      </c>
      <c r="I22" s="10" t="n">
        <v>8.000320746187629</v>
      </c>
      <c r="J22" s="8" t="n">
        <v>1.96465066437668e-12</v>
      </c>
      <c r="K22" s="7" t="inlineStr">
        <is>
          <t>Denton-Cholette First-Difference Minimization</t>
        </is>
      </c>
      <c r="L22" s="7" t="inlineStr">
        <is>
          <t>mean(Q1..Q4) == Annual_Growth</t>
        </is>
      </c>
    </row>
    <row r="23" ht="19" customHeight="1">
      <c r="A23" s="6" t="inlineStr">
        <is>
          <t>Cambodia</t>
        </is>
      </c>
      <c r="B23" s="6" t="inlineStr">
        <is>
          <t>GDP_Growth</t>
        </is>
      </c>
      <c r="C23" s="10" t="n">
        <v>2015</v>
      </c>
      <c r="D23" s="8" t="n">
        <v>7.20703472529512</v>
      </c>
      <c r="E23" s="8" t="n">
        <v>7.33495936936396</v>
      </c>
      <c r="F23" s="8" t="n">
        <v>7.12473976698462</v>
      </c>
      <c r="G23" s="8" t="n">
        <v>7.10192492983313</v>
      </c>
      <c r="H23" s="8" t="n">
        <v>7.26651483504436</v>
      </c>
      <c r="I23" s="10" t="n">
        <v>7.20703472530652</v>
      </c>
      <c r="J23" s="8" t="n">
        <v>1.14024345521102e-11</v>
      </c>
      <c r="K23" s="7" t="inlineStr">
        <is>
          <t>Denton-Cholette First-Difference Minimization</t>
        </is>
      </c>
      <c r="L23" s="7" t="inlineStr">
        <is>
          <t>mean(Q1..Q4) == Annual_Growth</t>
        </is>
      </c>
    </row>
    <row r="24" ht="19" customHeight="1">
      <c r="A24" s="6" t="inlineStr">
        <is>
          <t>Cambodia</t>
        </is>
      </c>
      <c r="B24" s="6" t="inlineStr">
        <is>
          <t>GDP_Growth</t>
        </is>
      </c>
      <c r="C24" s="10" t="n">
        <v>2016</v>
      </c>
      <c r="D24" s="8" t="n">
        <v>7.90550116130704</v>
      </c>
      <c r="E24" s="8" t="n">
        <v>7.61850964724234</v>
      </c>
      <c r="F24" s="8" t="n">
        <v>7.87410405958197</v>
      </c>
      <c r="G24" s="8" t="n">
        <v>8.033298327693579</v>
      </c>
      <c r="H24" s="8" t="n">
        <v>8.096092610692059</v>
      </c>
      <c r="I24" s="10" t="n">
        <v>7.90550116130249</v>
      </c>
      <c r="J24" s="8" t="n">
        <v>-4.55457893622224e-12</v>
      </c>
      <c r="K24" s="7" t="inlineStr">
        <is>
          <t>Denton-Cholette First-Difference Minimization</t>
        </is>
      </c>
      <c r="L24" s="7" t="inlineStr">
        <is>
          <t>mean(Q1..Q4) == Annual_Growth</t>
        </is>
      </c>
    </row>
    <row r="25" ht="19" customHeight="1">
      <c r="A25" s="6" t="inlineStr">
        <is>
          <t>Cambodia</t>
        </is>
      </c>
      <c r="B25" s="6" t="inlineStr">
        <is>
          <t>GDP_Growth</t>
        </is>
      </c>
      <c r="C25" s="10" t="n">
        <v>2017</v>
      </c>
      <c r="D25" s="8" t="n">
        <v>8.075039155359789</v>
      </c>
      <c r="E25" s="8" t="n">
        <v>8.06248697144378</v>
      </c>
      <c r="F25" s="8" t="n">
        <v>8.054065590977119</v>
      </c>
      <c r="G25" s="8" t="n">
        <v>8.07082846093401</v>
      </c>
      <c r="H25" s="8" t="n">
        <v>8.11277559801005</v>
      </c>
      <c r="I25" s="10" t="n">
        <v>8.075039155341241</v>
      </c>
      <c r="J25" s="8" t="n">
        <v>-1.85504944738568e-11</v>
      </c>
      <c r="K25" s="7" t="inlineStr">
        <is>
          <t>Denton-Cholette First-Difference Minimization</t>
        </is>
      </c>
      <c r="L25" s="7" t="inlineStr">
        <is>
          <t>mean(Q1..Q4) == Annual_Growth</t>
        </is>
      </c>
    </row>
    <row r="26" ht="19" customHeight="1">
      <c r="A26" s="6" t="inlineStr">
        <is>
          <t>Cambodia</t>
        </is>
      </c>
      <c r="B26" s="6" t="inlineStr">
        <is>
          <t>GDP_Growth</t>
        </is>
      </c>
      <c r="C26" s="10" t="n">
        <v>2018</v>
      </c>
      <c r="D26" s="8" t="n">
        <v>8.77622376224463</v>
      </c>
      <c r="E26" s="8" t="n">
        <v>8.179907044183469</v>
      </c>
      <c r="F26" s="8" t="n">
        <v>8.445286157362</v>
      </c>
      <c r="G26" s="8" t="n">
        <v>8.9089132029191</v>
      </c>
      <c r="H26" s="8" t="n">
        <v>9.570788644491509</v>
      </c>
      <c r="I26" s="10" t="n">
        <v>8.77622376223902</v>
      </c>
      <c r="J26" s="8" t="n">
        <v>-5.60618218514719e-12</v>
      </c>
      <c r="K26" s="7" t="inlineStr">
        <is>
          <t>Denton-Cholette First-Difference Minimization</t>
        </is>
      </c>
      <c r="L26" s="7" t="inlineStr">
        <is>
          <t>mean(Q1..Q4) == Annual_Growth</t>
        </is>
      </c>
    </row>
    <row r="27" ht="19" customHeight="1">
      <c r="A27" s="6" t="inlineStr">
        <is>
          <t>Cambodia</t>
        </is>
      </c>
      <c r="B27" s="6" t="inlineStr">
        <is>
          <t>GDP_Growth</t>
        </is>
      </c>
      <c r="C27" s="10" t="n">
        <v>2019</v>
      </c>
      <c r="D27" s="8" t="n">
        <v>7.93695013588524</v>
      </c>
      <c r="E27" s="8" t="n">
        <v>10.4309131439837</v>
      </c>
      <c r="F27" s="8" t="n">
        <v>9.77737821866851</v>
      </c>
      <c r="G27" s="8" t="n">
        <v>7.6101832150155</v>
      </c>
      <c r="H27" s="8" t="n">
        <v>3.92932596585326</v>
      </c>
      <c r="I27" s="10" t="n">
        <v>7.93695013588025</v>
      </c>
      <c r="J27" s="8" t="n">
        <v>-4.9897863618753e-12</v>
      </c>
      <c r="K27" s="7" t="inlineStr">
        <is>
          <t>Denton-Cholette First-Difference Minimization</t>
        </is>
      </c>
      <c r="L27" s="7" t="inlineStr">
        <is>
          <t>mean(Q1..Q4) == Annual_Growth</t>
        </is>
      </c>
    </row>
    <row r="28" ht="19" customHeight="1">
      <c r="A28" s="6" t="inlineStr">
        <is>
          <t>Cambodia</t>
        </is>
      </c>
      <c r="B28" s="6" t="inlineStr">
        <is>
          <t>GDP_Growth</t>
        </is>
      </c>
      <c r="C28" s="10" t="n">
        <v>2020</v>
      </c>
      <c r="D28" s="8" t="n">
        <v>-3.55572193406549</v>
      </c>
      <c r="E28" s="8" t="n">
        <v>-1.26519720967895</v>
      </c>
      <c r="F28" s="8" t="n">
        <v>-4.25921509271637</v>
      </c>
      <c r="G28" s="8" t="n">
        <v>-5.05273067719132</v>
      </c>
      <c r="H28" s="8" t="n">
        <v>-3.64574475669767</v>
      </c>
      <c r="I28" s="10" t="n">
        <v>-3.55572193407108</v>
      </c>
      <c r="J28" s="8" t="n">
        <v>-5.59108315201229e-12</v>
      </c>
      <c r="K28" s="7" t="inlineStr">
        <is>
          <t>Denton-Cholette First-Difference Minimization</t>
        </is>
      </c>
      <c r="L28" s="7" t="inlineStr">
        <is>
          <t>mean(Q1..Q4) == Annual_Growth</t>
        </is>
      </c>
    </row>
    <row r="29" ht="19" customHeight="1">
      <c r="A29" s="6" t="inlineStr">
        <is>
          <t>Cambodia</t>
        </is>
      </c>
      <c r="B29" s="6" t="inlineStr">
        <is>
          <t>GDP_Growth</t>
        </is>
      </c>
      <c r="C29" s="10" t="n">
        <v>2021</v>
      </c>
      <c r="D29" s="8" t="n">
        <v>3.08984284148661</v>
      </c>
      <c r="E29" s="8" t="n">
        <v>-0.0382559242251562</v>
      </c>
      <c r="F29" s="8" t="n">
        <v>2.65597785926894</v>
      </c>
      <c r="G29" s="8" t="n">
        <v>4.43695928795548</v>
      </c>
      <c r="H29" s="8" t="n">
        <v>5.30469014289643</v>
      </c>
      <c r="I29" s="10" t="n">
        <v>3.08984284147393</v>
      </c>
      <c r="J29" s="8" t="n">
        <v>-1.26889609930458e-11</v>
      </c>
      <c r="K29" s="7" t="inlineStr">
        <is>
          <t>Denton-Cholette First-Difference Minimization</t>
        </is>
      </c>
      <c r="L29" s="7" t="inlineStr">
        <is>
          <t>mean(Q1..Q4) == Annual_Growth</t>
        </is>
      </c>
    </row>
    <row r="30" ht="19" customHeight="1">
      <c r="A30" s="6" t="inlineStr">
        <is>
          <t>Cambodia</t>
        </is>
      </c>
      <c r="B30" s="6" t="inlineStr">
        <is>
          <t>GDP_Growth</t>
        </is>
      </c>
      <c r="C30" s="10" t="n">
        <v>2022</v>
      </c>
      <c r="D30" s="8" t="n">
        <v>5.12990110773977</v>
      </c>
      <c r="E30" s="8" t="n">
        <v>5.25917129176651</v>
      </c>
      <c r="F30" s="8" t="n">
        <v>5.18925571509453</v>
      </c>
      <c r="G30" s="8" t="n">
        <v>5.09494334297854</v>
      </c>
      <c r="H30" s="8" t="n">
        <v>4.97623408108031</v>
      </c>
      <c r="I30" s="10" t="n">
        <v>5.12990110772997</v>
      </c>
      <c r="J30" s="8" t="n">
        <v>-9.794831612452979e-12</v>
      </c>
      <c r="K30" s="7" t="inlineStr">
        <is>
          <t>Denton-Cholette First-Difference Minimization</t>
        </is>
      </c>
      <c r="L30" s="7" t="inlineStr">
        <is>
          <t>mean(Q1..Q4) == Annual_Growth</t>
        </is>
      </c>
    </row>
    <row r="31" ht="19" customHeight="1">
      <c r="A31" s="6" t="inlineStr">
        <is>
          <t>Cambodia</t>
        </is>
      </c>
      <c r="B31" s="6" t="inlineStr">
        <is>
          <t>GDP_Growth</t>
        </is>
      </c>
      <c r="C31" s="10" t="n">
        <v>2023</v>
      </c>
      <c r="D31" s="8" t="n">
        <v>5.00733043811898</v>
      </c>
      <c r="E31" s="8" t="n">
        <v>4.83312781064198</v>
      </c>
      <c r="F31" s="8" t="n">
        <v>4.84556633171374</v>
      </c>
      <c r="G31" s="8" t="n">
        <v>5.01354965665344</v>
      </c>
      <c r="H31" s="8" t="n">
        <v>5.33707795345247</v>
      </c>
      <c r="I31" s="10" t="n">
        <v>5.00733043811541</v>
      </c>
      <c r="J31" s="8" t="n">
        <v>-3.5775826745521e-12</v>
      </c>
      <c r="K31" s="7" t="inlineStr">
        <is>
          <t>Denton-Cholette First-Difference Minimization</t>
        </is>
      </c>
      <c r="L31" s="7" t="inlineStr">
        <is>
          <t>mean(Q1..Q4) == Annual_Growth</t>
        </is>
      </c>
    </row>
    <row r="32" ht="19" customHeight="1">
      <c r="A32" s="6" t="inlineStr">
        <is>
          <t>Cambodia</t>
        </is>
      </c>
      <c r="B32" s="6" t="inlineStr">
        <is>
          <t>GDP_Growth</t>
        </is>
      </c>
      <c r="C32" s="10" t="n">
        <v>2024</v>
      </c>
      <c r="D32" s="8" t="n">
        <v>6.0158145735202</v>
      </c>
      <c r="E32" s="8" t="n">
        <v>5.81615154566076</v>
      </c>
      <c r="F32" s="8" t="n">
        <v>6.08764607870113</v>
      </c>
      <c r="G32" s="8" t="n">
        <v>6.15156182407168</v>
      </c>
      <c r="H32" s="8" t="n">
        <v>6.0078988456622</v>
      </c>
      <c r="I32" s="10" t="n">
        <v>6.01581457352394</v>
      </c>
      <c r="J32" s="8" t="n">
        <v>3.73745479009813e-12</v>
      </c>
      <c r="K32" s="7" t="inlineStr">
        <is>
          <t>Denton-Cholette First-Difference Minimization</t>
        </is>
      </c>
      <c r="L32" s="7" t="inlineStr">
        <is>
          <t>mean(Q1..Q4) == Annual_Growth</t>
        </is>
      </c>
    </row>
    <row r="33" ht="19" customHeight="1">
      <c r="A33" s="6" t="inlineStr">
        <is>
          <t>Cambodia</t>
        </is>
      </c>
      <c r="B33" s="6" t="inlineStr">
        <is>
          <t>GDP_Growth</t>
        </is>
      </c>
      <c r="C33" s="10" t="n">
        <v>2025</v>
      </c>
      <c r="D33" s="8" t="n">
        <v>5.34932084572877</v>
      </c>
      <c r="E33" s="8" t="n">
        <v>5.6566569998336</v>
      </c>
      <c r="F33" s="8" t="n">
        <v>5.39322592277029</v>
      </c>
      <c r="G33" s="8" t="n">
        <v>5.2176053511081</v>
      </c>
      <c r="H33" s="8" t="n">
        <v>5.1297951091909</v>
      </c>
      <c r="I33" s="10" t="n">
        <v>5.34932084572572</v>
      </c>
      <c r="J33" s="8" t="n">
        <v>-3.04822833641083e-12</v>
      </c>
      <c r="K33" s="7" t="inlineStr">
        <is>
          <t>Denton-Cholette First-Difference Minimization</t>
        </is>
      </c>
      <c r="L33" s="7" t="inlineStr">
        <is>
          <t>mean(Q1..Q4) == Annual_Growth</t>
        </is>
      </c>
    </row>
    <row r="34" ht="19" customHeight="1">
      <c r="A34" s="6" t="inlineStr">
        <is>
          <t>Indonesia</t>
        </is>
      </c>
      <c r="B34" s="6" t="inlineStr">
        <is>
          <t>GDP_Growth</t>
        </is>
      </c>
      <c r="C34" s="10" t="n">
        <v>2010</v>
      </c>
      <c r="D34" s="8" t="n">
        <v>6.22385418062366</v>
      </c>
      <c r="E34" s="8" t="n">
        <v>6.2336364041181</v>
      </c>
      <c r="F34" s="8" t="n">
        <v>6.22972351706911</v>
      </c>
      <c r="G34" s="8" t="n">
        <v>6.22189773905167</v>
      </c>
      <c r="H34" s="8" t="n">
        <v>6.21015906226769</v>
      </c>
      <c r="I34" s="10" t="n">
        <v>6.22385418062664</v>
      </c>
      <c r="J34" s="8" t="n">
        <v>2.97983859809392e-12</v>
      </c>
      <c r="K34" s="7" t="inlineStr">
        <is>
          <t>Denton-Cholette First-Difference Minimization</t>
        </is>
      </c>
      <c r="L34" s="7" t="inlineStr">
        <is>
          <t>mean(Q1..Q4) == Annual_Growth</t>
        </is>
      </c>
    </row>
    <row r="35" ht="19" customHeight="1">
      <c r="A35" s="6" t="inlineStr">
        <is>
          <t>Indonesia</t>
        </is>
      </c>
      <c r="B35" s="6" t="inlineStr">
        <is>
          <t>GDP_Growth</t>
        </is>
      </c>
      <c r="C35" s="10" t="n">
        <v>2011</v>
      </c>
      <c r="D35" s="8" t="n">
        <v>6.16978420771008</v>
      </c>
      <c r="E35" s="8" t="n">
        <v>6.19450747497381</v>
      </c>
      <c r="F35" s="8" t="n">
        <v>6.1783575412591</v>
      </c>
      <c r="G35" s="8" t="n">
        <v>6.16170924500583</v>
      </c>
      <c r="H35" s="8" t="n">
        <v>6.1445625695586</v>
      </c>
      <c r="I35" s="10" t="n">
        <v>6.16978420769934</v>
      </c>
      <c r="J35" s="8" t="n">
        <v>-1.07442943431124e-11</v>
      </c>
      <c r="K35" s="7" t="inlineStr">
        <is>
          <t>Denton-Cholette First-Difference Minimization</t>
        </is>
      </c>
      <c r="L35" s="7" t="inlineStr">
        <is>
          <t>mean(Q1..Q4) == Annual_Growth</t>
        </is>
      </c>
    </row>
    <row r="36" ht="19" customHeight="1">
      <c r="A36" s="6" t="inlineStr">
        <is>
          <t>Indonesia</t>
        </is>
      </c>
      <c r="B36" s="6" t="inlineStr">
        <is>
          <t>GDP_Growth</t>
        </is>
      </c>
      <c r="C36" s="10" t="n">
        <v>2012</v>
      </c>
      <c r="D36" s="8" t="n">
        <v>6.03005065305615</v>
      </c>
      <c r="E36" s="8" t="n">
        <v>6.12691749776514</v>
      </c>
      <c r="F36" s="8" t="n">
        <v>6.0811127568915</v>
      </c>
      <c r="G36" s="8" t="n">
        <v>6.0071483011013</v>
      </c>
      <c r="H36" s="8" t="n">
        <v>5.90502405647116</v>
      </c>
      <c r="I36" s="10" t="n">
        <v>6.03005065305727</v>
      </c>
      <c r="J36" s="8" t="n">
        <v>1.12354570092066e-12</v>
      </c>
      <c r="K36" s="7" t="inlineStr">
        <is>
          <t>Denton-Cholette First-Difference Minimization</t>
        </is>
      </c>
      <c r="L36" s="7" t="inlineStr">
        <is>
          <t>mean(Q1..Q4) == Annual_Growth</t>
        </is>
      </c>
    </row>
    <row r="37" ht="19" customHeight="1">
      <c r="A37" s="6" t="inlineStr">
        <is>
          <t>Indonesia</t>
        </is>
      </c>
      <c r="B37" s="6" t="inlineStr">
        <is>
          <t>GDP_Growth</t>
        </is>
      </c>
      <c r="C37" s="10" t="n">
        <v>2013</v>
      </c>
      <c r="D37" s="8" t="n">
        <v>5.5572636889101</v>
      </c>
      <c r="E37" s="8" t="n">
        <v>5.77473992085144</v>
      </c>
      <c r="F37" s="8" t="n">
        <v>5.63563584425985</v>
      </c>
      <c r="G37" s="8" t="n">
        <v>5.48771168759057</v>
      </c>
      <c r="H37" s="8" t="n">
        <v>5.33096730293127</v>
      </c>
      <c r="I37" s="10" t="n">
        <v>5.55726368890828</v>
      </c>
      <c r="J37" s="8" t="n">
        <v>-1.81454851144736e-12</v>
      </c>
      <c r="K37" s="7" t="inlineStr">
        <is>
          <t>Denton-Cholette First-Difference Minimization</t>
        </is>
      </c>
      <c r="L37" s="7" t="inlineStr">
        <is>
          <t>mean(Q1..Q4) == Annual_Growth</t>
        </is>
      </c>
    </row>
    <row r="38" ht="19" customHeight="1">
      <c r="A38" s="6" t="inlineStr">
        <is>
          <t>Indonesia</t>
        </is>
      </c>
      <c r="B38" s="6" t="inlineStr">
        <is>
          <t>GDP_Growth</t>
        </is>
      </c>
      <c r="C38" s="10" t="n">
        <v>2014</v>
      </c>
      <c r="D38" s="8" t="n">
        <v>5.006668425755</v>
      </c>
      <c r="E38" s="8" t="n">
        <v>5.16540253355557</v>
      </c>
      <c r="F38" s="8" t="n">
        <v>5.03568304394546</v>
      </c>
      <c r="G38" s="8" t="n">
        <v>4.94180870443662</v>
      </c>
      <c r="H38" s="8" t="n">
        <v>4.88377942109485</v>
      </c>
      <c r="I38" s="10" t="n">
        <v>5.00666842575812</v>
      </c>
      <c r="J38" s="8" t="n">
        <v>3.12816439418384e-12</v>
      </c>
      <c r="K38" s="7" t="inlineStr">
        <is>
          <t>Denton-Cholette First-Difference Minimization</t>
        </is>
      </c>
      <c r="L38" s="7" t="inlineStr">
        <is>
          <t>mean(Q1..Q4) == Annual_Growth</t>
        </is>
      </c>
    </row>
    <row r="39" ht="19" customHeight="1">
      <c r="A39" s="6" t="inlineStr">
        <is>
          <t>Indonesia</t>
        </is>
      </c>
      <c r="B39" s="6" t="inlineStr">
        <is>
          <t>GDP_Growth</t>
        </is>
      </c>
      <c r="C39" s="10" t="n">
        <v>2015</v>
      </c>
      <c r="D39" s="8" t="n">
        <v>4.87632230022123</v>
      </c>
      <c r="E39" s="8" t="n">
        <v>4.86159513594811</v>
      </c>
      <c r="F39" s="8" t="n">
        <v>4.85861228715996</v>
      </c>
      <c r="G39" s="8" t="n">
        <v>4.87483087178886</v>
      </c>
      <c r="H39" s="8" t="n">
        <v>4.91025090602472</v>
      </c>
      <c r="I39" s="10" t="n">
        <v>4.87632230023041</v>
      </c>
      <c r="J39" s="8" t="n">
        <v>9.18110032444019e-12</v>
      </c>
      <c r="K39" s="7" t="inlineStr">
        <is>
          <t>Denton-Cholette First-Difference Minimization</t>
        </is>
      </c>
      <c r="L39" s="7" t="inlineStr">
        <is>
          <t>mean(Q1..Q4) == Annual_Growth</t>
        </is>
      </c>
    </row>
    <row r="40" ht="19" customHeight="1">
      <c r="A40" s="6" t="inlineStr">
        <is>
          <t>Indonesia</t>
        </is>
      </c>
      <c r="B40" s="6" t="inlineStr">
        <is>
          <t>GDP_Growth</t>
        </is>
      </c>
      <c r="C40" s="10" t="n">
        <v>2016</v>
      </c>
      <c r="D40" s="8" t="n">
        <v>5.03306918280177</v>
      </c>
      <c r="E40" s="8" t="n">
        <v>4.96487242530073</v>
      </c>
      <c r="F40" s="8" t="n">
        <v>5.01399971199979</v>
      </c>
      <c r="G40" s="8" t="n">
        <v>5.05763281525122</v>
      </c>
      <c r="H40" s="8" t="n">
        <v>5.0957717786572</v>
      </c>
      <c r="I40" s="10" t="n">
        <v>5.03306918280223</v>
      </c>
      <c r="J40" s="8" t="n">
        <v>4.662936703425659e-13</v>
      </c>
      <c r="K40" s="7" t="inlineStr">
        <is>
          <t>Denton-Cholette First-Difference Minimization</t>
        </is>
      </c>
      <c r="L40" s="7" t="inlineStr">
        <is>
          <t>mean(Q1..Q4) == Annual_Growth</t>
        </is>
      </c>
    </row>
    <row r="41" ht="19" customHeight="1">
      <c r="A41" s="6" t="inlineStr">
        <is>
          <t>Indonesia</t>
        </is>
      </c>
      <c r="B41" s="6" t="inlineStr">
        <is>
          <t>GDP_Growth</t>
        </is>
      </c>
      <c r="C41" s="10" t="n">
        <v>2017</v>
      </c>
      <c r="D41" s="8" t="n">
        <v>5.06978590134916</v>
      </c>
      <c r="E41" s="8" t="n">
        <v>5.12841664039779</v>
      </c>
      <c r="F41" s="8" t="n">
        <v>5.11802229896247</v>
      </c>
      <c r="G41" s="8" t="n">
        <v>5.06458874398906</v>
      </c>
      <c r="H41" s="8" t="n">
        <v>4.96811592200967</v>
      </c>
      <c r="I41" s="10" t="n">
        <v>5.06978590133975</v>
      </c>
      <c r="J41" s="8" t="n">
        <v>-9.414691248821329e-12</v>
      </c>
      <c r="K41" s="7" t="inlineStr">
        <is>
          <t>Denton-Cholette First-Difference Minimization</t>
        </is>
      </c>
      <c r="L41" s="7" t="inlineStr">
        <is>
          <t>mean(Q1..Q4) == Annual_Growth</t>
        </is>
      </c>
    </row>
    <row r="42" ht="19" customHeight="1">
      <c r="A42" s="6" t="inlineStr">
        <is>
          <t>Indonesia</t>
        </is>
      </c>
      <c r="B42" s="6" t="inlineStr">
        <is>
          <t>GDP_Growth</t>
        </is>
      </c>
      <c r="C42" s="10" t="n">
        <v>2018</v>
      </c>
      <c r="D42" s="8" t="n">
        <v>5.17429153955024</v>
      </c>
      <c r="E42" s="8" t="n">
        <v>4.82860373656148</v>
      </c>
      <c r="F42" s="8" t="n">
        <v>4.91107392013289</v>
      </c>
      <c r="G42" s="8" t="n">
        <v>5.21552655522892</v>
      </c>
      <c r="H42" s="8" t="n">
        <v>5.7419619462532</v>
      </c>
      <c r="I42" s="10" t="n">
        <v>5.17429153954412</v>
      </c>
      <c r="J42" s="8" t="n">
        <v>-6.11688477647476e-12</v>
      </c>
      <c r="K42" s="7" t="inlineStr">
        <is>
          <t>Denton-Cholette First-Difference Minimization</t>
        </is>
      </c>
      <c r="L42" s="7" t="inlineStr">
        <is>
          <t>mean(Q1..Q4) == Annual_Growth</t>
        </is>
      </c>
    </row>
    <row r="43" ht="19" customHeight="1">
      <c r="A43" s="6" t="inlineStr">
        <is>
          <t>Indonesia</t>
        </is>
      </c>
      <c r="B43" s="6" t="inlineStr">
        <is>
          <t>GDP_Growth</t>
        </is>
      </c>
      <c r="C43" s="10" t="n">
        <v>2019</v>
      </c>
      <c r="D43" s="8" t="n">
        <v>5.01928768046282</v>
      </c>
      <c r="E43" s="8" t="n">
        <v>6.49038061970444</v>
      </c>
      <c r="F43" s="8" t="n">
        <v>6.20131116166554</v>
      </c>
      <c r="G43" s="8" t="n">
        <v>4.87475328307813</v>
      </c>
      <c r="H43" s="8" t="n">
        <v>2.51070565739451</v>
      </c>
      <c r="I43" s="10" t="n">
        <v>5.01928768046065</v>
      </c>
      <c r="J43" s="8" t="n">
        <v>-2.17070805774711e-12</v>
      </c>
      <c r="K43" s="7" t="inlineStr">
        <is>
          <t>Denton-Cholette First-Difference Minimization</t>
        </is>
      </c>
      <c r="L43" s="7" t="inlineStr">
        <is>
          <t>mean(Q1..Q4) == Annual_Growth</t>
        </is>
      </c>
    </row>
    <row r="44" ht="19" customHeight="1">
      <c r="A44" s="6" t="inlineStr">
        <is>
          <t>Indonesia</t>
        </is>
      </c>
      <c r="B44" s="6" t="inlineStr">
        <is>
          <t>GDP_Growth</t>
        </is>
      </c>
      <c r="C44" s="10" t="n">
        <v>2020</v>
      </c>
      <c r="D44" s="8" t="n">
        <v>-2.06551182934165</v>
      </c>
      <c r="E44" s="8" t="n">
        <v>-0.890834079423425</v>
      </c>
      <c r="F44" s="8" t="n">
        <v>-2.72132031601471</v>
      </c>
      <c r="G44" s="8" t="n">
        <v>-2.98075488276129</v>
      </c>
      <c r="H44" s="8" t="n">
        <v>-1.66913803918228</v>
      </c>
      <c r="I44" s="10" t="n">
        <v>-2.06551182934542</v>
      </c>
      <c r="J44" s="8" t="n">
        <v>-3.77919917582403e-12</v>
      </c>
      <c r="K44" s="7" t="inlineStr">
        <is>
          <t>Denton-Cholette First-Difference Minimization</t>
        </is>
      </c>
      <c r="L44" s="7" t="inlineStr">
        <is>
          <t>mean(Q1..Q4) == Annual_Growth</t>
        </is>
      </c>
    </row>
    <row r="45" ht="19" customHeight="1">
      <c r="A45" s="6" t="inlineStr">
        <is>
          <t>Indonesia</t>
        </is>
      </c>
      <c r="B45" s="6" t="inlineStr">
        <is>
          <t>GDP_Growth</t>
        </is>
      </c>
      <c r="C45" s="10" t="n">
        <v>2021</v>
      </c>
      <c r="D45" s="8" t="n">
        <v>3.70288562827751</v>
      </c>
      <c r="E45" s="8" t="n">
        <v>1.21353152635758</v>
      </c>
      <c r="F45" s="8" t="n">
        <v>3.36233999233002</v>
      </c>
      <c r="G45" s="8" t="n">
        <v>4.77728950751502</v>
      </c>
      <c r="H45" s="8" t="n">
        <v>5.45838148688498</v>
      </c>
      <c r="I45" s="10" t="n">
        <v>3.7028856282719</v>
      </c>
      <c r="J45" s="8" t="n">
        <v>-5.61328761250479e-12</v>
      </c>
      <c r="K45" s="7" t="inlineStr">
        <is>
          <t>Denton-Cholette First-Difference Minimization</t>
        </is>
      </c>
      <c r="L45" s="7" t="inlineStr">
        <is>
          <t>mean(Q1..Q4) == Annual_Growth</t>
        </is>
      </c>
    </row>
    <row r="46" ht="19" customHeight="1">
      <c r="A46" s="6" t="inlineStr">
        <is>
          <t>Indonesia</t>
        </is>
      </c>
      <c r="B46" s="6" t="inlineStr">
        <is>
          <t>GDP_Growth</t>
        </is>
      </c>
      <c r="C46" s="10" t="n">
        <v>2022</v>
      </c>
      <c r="D46" s="8" t="n">
        <v>5.30719722664799</v>
      </c>
      <c r="E46" s="8" t="n">
        <v>5.40561661151345</v>
      </c>
      <c r="F46" s="8" t="n">
        <v>5.34514293842495</v>
      </c>
      <c r="G46" s="8" t="n">
        <v>5.27696040714458</v>
      </c>
      <c r="H46" s="8" t="n">
        <v>5.20106894948094</v>
      </c>
      <c r="I46" s="10" t="n">
        <v>5.30719722664098</v>
      </c>
      <c r="J46" s="8" t="n">
        <v>-7.00772773143399e-12</v>
      </c>
      <c r="K46" s="7" t="inlineStr">
        <is>
          <t>Denton-Cholette First-Difference Minimization</t>
        </is>
      </c>
      <c r="L46" s="7" t="inlineStr">
        <is>
          <t>mean(Q1..Q4) == Annual_Growth</t>
        </is>
      </c>
    </row>
    <row r="47" ht="19" customHeight="1">
      <c r="A47" s="6" t="inlineStr">
        <is>
          <t>Indonesia</t>
        </is>
      </c>
      <c r="B47" s="6" t="inlineStr">
        <is>
          <t>GDP_Growth</t>
        </is>
      </c>
      <c r="C47" s="10" t="n">
        <v>2023</v>
      </c>
      <c r="D47" s="8" t="n">
        <v>5.04883117855516</v>
      </c>
      <c r="E47" s="8" t="n">
        <v>5.11746848950299</v>
      </c>
      <c r="F47" s="8" t="n">
        <v>5.05657340933068</v>
      </c>
      <c r="G47" s="8" t="n">
        <v>5.01838364801216</v>
      </c>
      <c r="H47" s="8" t="n">
        <v>5.0028991673625</v>
      </c>
      <c r="I47" s="10" t="n">
        <v>5.04883117855208</v>
      </c>
      <c r="J47" s="8" t="n">
        <v>-3.08109093793973e-12</v>
      </c>
      <c r="K47" s="7" t="inlineStr">
        <is>
          <t>Denton-Cholette First-Difference Minimization</t>
        </is>
      </c>
      <c r="L47" s="7" t="inlineStr">
        <is>
          <t>mean(Q1..Q4) == Annual_Growth</t>
        </is>
      </c>
    </row>
    <row r="48" ht="19" customHeight="1">
      <c r="A48" s="6" t="inlineStr">
        <is>
          <t>Indonesia</t>
        </is>
      </c>
      <c r="B48" s="6" t="inlineStr">
        <is>
          <t>GDP_Growth</t>
        </is>
      </c>
      <c r="C48" s="10" t="n">
        <v>2024</v>
      </c>
      <c r="D48" s="8" t="n">
        <v>5.03257477088519</v>
      </c>
      <c r="E48" s="8" t="n">
        <v>5.01011995191923</v>
      </c>
      <c r="F48" s="8" t="n">
        <v>5.02199018693656</v>
      </c>
      <c r="G48" s="8" t="n">
        <v>5.03850988426174</v>
      </c>
      <c r="H48" s="8" t="n">
        <v>5.0596790604339</v>
      </c>
      <c r="I48" s="10" t="n">
        <v>5.03257477088786</v>
      </c>
      <c r="J48" s="8" t="n">
        <v>2.66897615119888e-12</v>
      </c>
      <c r="K48" s="7" t="inlineStr">
        <is>
          <t>Denton-Cholette First-Difference Minimization</t>
        </is>
      </c>
      <c r="L48" s="7" t="inlineStr">
        <is>
          <t>mean(Q1..Q4) == Annual_Growth</t>
        </is>
      </c>
    </row>
    <row r="49" ht="19" customHeight="1">
      <c r="A49" s="6" t="inlineStr">
        <is>
          <t>Indonesia</t>
        </is>
      </c>
      <c r="B49" s="6" t="inlineStr">
        <is>
          <t>GDP_Growth</t>
        </is>
      </c>
      <c r="C49" s="10" t="n">
        <v>2025</v>
      </c>
      <c r="D49" s="8" t="n">
        <v>5.10808904438025</v>
      </c>
      <c r="E49" s="8" t="n">
        <v>5.08549773660975</v>
      </c>
      <c r="F49" s="8" t="n">
        <v>5.10486172114751</v>
      </c>
      <c r="G49" s="8" t="n">
        <v>5.11777103342577</v>
      </c>
      <c r="H49" s="8" t="n">
        <v>5.1242256863369</v>
      </c>
      <c r="I49" s="10" t="n">
        <v>5.10808904437998</v>
      </c>
      <c r="J49" s="8" t="n">
        <v>-2.68229882749438e-13</v>
      </c>
      <c r="K49" s="7" t="inlineStr">
        <is>
          <t>Denton-Cholette First-Difference Minimization</t>
        </is>
      </c>
      <c r="L49" s="7" t="inlineStr">
        <is>
          <t>mean(Q1..Q4) == Annual_Growth</t>
        </is>
      </c>
    </row>
    <row r="50" ht="19" customHeight="1">
      <c r="A50" s="6" t="inlineStr">
        <is>
          <t>Laos</t>
        </is>
      </c>
      <c r="B50" s="6" t="inlineStr">
        <is>
          <t>GDP_Growth</t>
        </is>
      </c>
      <c r="C50" s="10" t="n">
        <v>2010</v>
      </c>
      <c r="D50" s="8" t="n">
        <v>8.52690551739717</v>
      </c>
      <c r="E50" s="8" t="n">
        <v>8.64239724791101</v>
      </c>
      <c r="F50" s="8" t="n">
        <v>8.5962005834275</v>
      </c>
      <c r="G50" s="8" t="n">
        <v>8.50380720825804</v>
      </c>
      <c r="H50" s="8" t="n">
        <v>8.36521703001441</v>
      </c>
      <c r="I50" s="10" t="n">
        <v>8.52690551740274</v>
      </c>
      <c r="J50" s="8" t="n">
        <v>5.57243140519859e-12</v>
      </c>
      <c r="K50" s="7" t="inlineStr">
        <is>
          <t>Denton-Cholette First-Difference Minimization</t>
        </is>
      </c>
      <c r="L50" s="7" t="inlineStr">
        <is>
          <t>mean(Q1..Q4) == Annual_Growth</t>
        </is>
      </c>
    </row>
    <row r="51" ht="19" customHeight="1">
      <c r="A51" s="6" t="inlineStr">
        <is>
          <t>Laos</t>
        </is>
      </c>
      <c r="B51" s="6" t="inlineStr">
        <is>
          <t>GDP_Growth</t>
        </is>
      </c>
      <c r="C51" s="10" t="n">
        <v>2011</v>
      </c>
      <c r="D51" s="8" t="n">
        <v>8.03865268023725</v>
      </c>
      <c r="E51" s="8" t="n">
        <v>8.180429910105479</v>
      </c>
      <c r="F51" s="8" t="n">
        <v>8.04980423008875</v>
      </c>
      <c r="G51" s="8" t="n">
        <v>7.97333985933397</v>
      </c>
      <c r="H51" s="8" t="n">
        <v>7.95103672139202</v>
      </c>
      <c r="I51" s="10" t="n">
        <v>8.038652680230051</v>
      </c>
      <c r="J51" s="8" t="n">
        <v>-7.19424519957101e-12</v>
      </c>
      <c r="K51" s="7" t="inlineStr">
        <is>
          <t>Denton-Cholette First-Difference Minimization</t>
        </is>
      </c>
      <c r="L51" s="7" t="inlineStr">
        <is>
          <t>mean(Q1..Q4) == Annual_Growth</t>
        </is>
      </c>
    </row>
    <row r="52" ht="19" customHeight="1">
      <c r="A52" s="6" t="inlineStr">
        <is>
          <t>Laos</t>
        </is>
      </c>
      <c r="B52" s="6" t="inlineStr">
        <is>
          <t>GDP_Growth</t>
        </is>
      </c>
      <c r="C52" s="10" t="n">
        <v>2012</v>
      </c>
      <c r="D52" s="8" t="n">
        <v>8.02609843461283</v>
      </c>
      <c r="E52" s="8" t="n">
        <v>7.98289479395035</v>
      </c>
      <c r="F52" s="8" t="n">
        <v>8.012919464409411</v>
      </c>
      <c r="G52" s="8" t="n">
        <v>8.041110762797221</v>
      </c>
      <c r="H52" s="8" t="n">
        <v>8.067468717308801</v>
      </c>
      <c r="I52" s="10" t="n">
        <v>8.02609843461644</v>
      </c>
      <c r="J52" s="8" t="n">
        <v>3.60955709766131e-12</v>
      </c>
      <c r="K52" s="7" t="inlineStr">
        <is>
          <t>Denton-Cholette First-Difference Minimization</t>
        </is>
      </c>
      <c r="L52" s="7" t="inlineStr">
        <is>
          <t>mean(Q1..Q4) == Annual_Growth</t>
        </is>
      </c>
    </row>
    <row r="53" ht="19" customHeight="1">
      <c r="A53" s="6" t="inlineStr">
        <is>
          <t>Laos</t>
        </is>
      </c>
      <c r="B53" s="6" t="inlineStr">
        <is>
          <t>GDP_Growth</t>
        </is>
      </c>
      <c r="C53" s="10" t="n">
        <v>2013</v>
      </c>
      <c r="D53" s="8" t="n">
        <v>8.02630022699017</v>
      </c>
      <c r="E53" s="8" t="n">
        <v>8.09199335430087</v>
      </c>
      <c r="F53" s="8" t="n">
        <v>8.07552597050443</v>
      </c>
      <c r="G53" s="8" t="n">
        <v>8.018066549457521</v>
      </c>
      <c r="H53" s="8" t="n">
        <v>7.91961503370144</v>
      </c>
      <c r="I53" s="10" t="n">
        <v>8.02630022699107</v>
      </c>
      <c r="J53" s="8" t="n">
        <v>8.91731133378926e-13</v>
      </c>
      <c r="K53" s="7" t="inlineStr">
        <is>
          <t>Denton-Cholette First-Difference Minimization</t>
        </is>
      </c>
      <c r="L53" s="7" t="inlineStr">
        <is>
          <t>mean(Q1..Q4) == Annual_Growth</t>
        </is>
      </c>
    </row>
    <row r="54" ht="19" customHeight="1">
      <c r="A54" s="6" t="inlineStr">
        <is>
          <t>Laos</t>
        </is>
      </c>
      <c r="B54" s="6" t="inlineStr">
        <is>
          <t>GDP_Growth</t>
        </is>
      </c>
      <c r="C54" s="10" t="n">
        <v>2014</v>
      </c>
      <c r="D54" s="8" t="n">
        <v>7.61196343979319</v>
      </c>
      <c r="E54" s="8" t="n">
        <v>7.78017132479342</v>
      </c>
      <c r="F54" s="8" t="n">
        <v>7.65711074711729</v>
      </c>
      <c r="G54" s="8" t="n">
        <v>7.55043317763597</v>
      </c>
      <c r="H54" s="8" t="n">
        <v>7.46013850964773</v>
      </c>
      <c r="I54" s="10" t="n">
        <v>7.6119634397986</v>
      </c>
      <c r="J54" s="8" t="n">
        <v>5.41788836017076e-12</v>
      </c>
      <c r="K54" s="7" t="inlineStr">
        <is>
          <t>Denton-Cholette First-Difference Minimization</t>
        </is>
      </c>
      <c r="L54" s="7" t="inlineStr">
        <is>
          <t>mean(Q1..Q4) == Annual_Growth</t>
        </is>
      </c>
    </row>
    <row r="55" ht="19" customHeight="1">
      <c r="A55" s="6" t="inlineStr">
        <is>
          <t>Laos</t>
        </is>
      </c>
      <c r="B55" s="6" t="inlineStr">
        <is>
          <t>GDP_Growth</t>
        </is>
      </c>
      <c r="C55" s="10" t="n">
        <v>2015</v>
      </c>
      <c r="D55" s="8" t="n">
        <v>7.27006584373785</v>
      </c>
      <c r="E55" s="8" t="n">
        <v>7.38622665287953</v>
      </c>
      <c r="F55" s="8" t="n">
        <v>7.31019762473993</v>
      </c>
      <c r="G55" s="8" t="n">
        <v>7.23205134922082</v>
      </c>
      <c r="H55" s="8" t="n">
        <v>7.15178774815868</v>
      </c>
      <c r="I55" s="10" t="n">
        <v>7.27006584374974</v>
      </c>
      <c r="J55" s="8" t="n">
        <v>1.18856036124271e-11</v>
      </c>
      <c r="K55" s="7" t="inlineStr">
        <is>
          <t>Denton-Cholette First-Difference Minimization</t>
        </is>
      </c>
      <c r="L55" s="7" t="inlineStr">
        <is>
          <t>mean(Q1..Q4) == Annual_Growth</t>
        </is>
      </c>
    </row>
    <row r="56" ht="19" customHeight="1">
      <c r="A56" s="6" t="inlineStr">
        <is>
          <t>Laos</t>
        </is>
      </c>
      <c r="B56" s="6" t="inlineStr">
        <is>
          <t>GDP_Growth</t>
        </is>
      </c>
      <c r="C56" s="10" t="n">
        <v>2016</v>
      </c>
      <c r="D56" s="8" t="n">
        <v>7.02283625501138</v>
      </c>
      <c r="E56" s="8" t="n">
        <v>7.06940674130232</v>
      </c>
      <c r="F56" s="8" t="n">
        <v>7.01782616674709</v>
      </c>
      <c r="G56" s="8" t="n">
        <v>6.99704597294189</v>
      </c>
      <c r="H56" s="8" t="n">
        <v>7.00706613906479</v>
      </c>
      <c r="I56" s="10" t="n">
        <v>7.02283625501402</v>
      </c>
      <c r="J56" s="8" t="n">
        <v>2.63788990650937e-12</v>
      </c>
      <c r="K56" s="7" t="inlineStr">
        <is>
          <t>Denton-Cholette First-Difference Minimization</t>
        </is>
      </c>
      <c r="L56" s="7" t="inlineStr">
        <is>
          <t>mean(Q1..Q4) == Annual_Growth</t>
        </is>
      </c>
    </row>
    <row r="57" ht="19" customHeight="1">
      <c r="A57" s="6" t="inlineStr">
        <is>
          <t>Laos</t>
        </is>
      </c>
      <c r="B57" s="6" t="inlineStr">
        <is>
          <t>GDP_Growth</t>
        </is>
      </c>
      <c r="C57" s="10" t="n">
        <v>2017</v>
      </c>
      <c r="D57" s="8" t="n">
        <v>6.8925308726989</v>
      </c>
      <c r="E57" s="8" t="n">
        <v>7.0478866751705</v>
      </c>
      <c r="F57" s="8" t="n">
        <v>7.00207260018713</v>
      </c>
      <c r="G57" s="8" t="n">
        <v>6.86962386832588</v>
      </c>
      <c r="H57" s="8" t="n">
        <v>6.65054034710756</v>
      </c>
      <c r="I57" s="10" t="n">
        <v>6.89253087269777</v>
      </c>
      <c r="J57" s="8" t="n">
        <v>-1.13331566353736e-12</v>
      </c>
      <c r="K57" s="7" t="inlineStr">
        <is>
          <t>Denton-Cholette First-Difference Minimization</t>
        </is>
      </c>
      <c r="L57" s="7" t="inlineStr">
        <is>
          <t>mean(Q1..Q4) == Annual_Growth</t>
        </is>
      </c>
    </row>
    <row r="58" ht="19" customHeight="1">
      <c r="A58" s="6" t="inlineStr">
        <is>
          <t>Laos</t>
        </is>
      </c>
      <c r="B58" s="6" t="inlineStr">
        <is>
          <t>GDP_Growth</t>
        </is>
      </c>
      <c r="C58" s="10" t="n">
        <v>2018</v>
      </c>
      <c r="D58" s="8" t="n">
        <v>6.24796000755872</v>
      </c>
      <c r="E58" s="8" t="n">
        <v>6.34482181746769</v>
      </c>
      <c r="F58" s="8" t="n">
        <v>6.18378974769721</v>
      </c>
      <c r="G58" s="8" t="n">
        <v>6.16744397676037</v>
      </c>
      <c r="H58" s="8" t="n">
        <v>6.29578448831366</v>
      </c>
      <c r="I58" s="10" t="n">
        <v>6.24796000755973</v>
      </c>
      <c r="J58" s="8" t="n">
        <v>1.01429975529754e-12</v>
      </c>
      <c r="K58" s="7" t="inlineStr">
        <is>
          <t>Denton-Cholette First-Difference Minimization</t>
        </is>
      </c>
      <c r="L58" s="7" t="inlineStr">
        <is>
          <t>mean(Q1..Q4) == Annual_Growth</t>
        </is>
      </c>
    </row>
    <row r="59" ht="19" customHeight="1">
      <c r="A59" s="6" t="inlineStr">
        <is>
          <t>Laos</t>
        </is>
      </c>
      <c r="B59" s="6" t="inlineStr">
        <is>
          <t>GDP_Growth</t>
        </is>
      </c>
      <c r="C59" s="10" t="n">
        <v>2019</v>
      </c>
      <c r="D59" s="8" t="n">
        <v>5.4577350924848</v>
      </c>
      <c r="E59" s="8" t="n">
        <v>6.56881141070119</v>
      </c>
      <c r="F59" s="8" t="n">
        <v>6.23359188080736</v>
      </c>
      <c r="G59" s="8" t="n">
        <v>5.29012556340512</v>
      </c>
      <c r="H59" s="8" t="n">
        <v>3.73841151503471</v>
      </c>
      <c r="I59" s="10" t="n">
        <v>5.4577350924871</v>
      </c>
      <c r="J59" s="8" t="n">
        <v>2.30127028544302e-12</v>
      </c>
      <c r="K59" s="7" t="inlineStr">
        <is>
          <t>Denton-Cholette First-Difference Minimization</t>
        </is>
      </c>
      <c r="L59" s="7" t="inlineStr">
        <is>
          <t>mean(Q1..Q4) == Annual_Growth</t>
        </is>
      </c>
    </row>
    <row r="60" ht="19" customHeight="1">
      <c r="A60" s="6" t="inlineStr">
        <is>
          <t>Laos</t>
        </is>
      </c>
      <c r="B60" s="6" t="inlineStr">
        <is>
          <t>GDP_Growth</t>
        </is>
      </c>
      <c r="C60" s="10" t="n">
        <v>2020</v>
      </c>
      <c r="D60" s="8" t="n">
        <v>0.503031829018681</v>
      </c>
      <c r="E60" s="8" t="n">
        <v>1.57844818398955</v>
      </c>
      <c r="F60" s="8" t="n">
        <v>0.284296870070841</v>
      </c>
      <c r="G60" s="8" t="n">
        <v>-0.14404372084654</v>
      </c>
      <c r="H60" s="8" t="n">
        <v>0.293425982863218</v>
      </c>
      <c r="I60" s="10" t="n">
        <v>0.503031829019268</v>
      </c>
      <c r="J60" s="8" t="n">
        <v>5.87085935421783e-13</v>
      </c>
      <c r="K60" s="7" t="inlineStr">
        <is>
          <t>Denton-Cholette First-Difference Minimization</t>
        </is>
      </c>
      <c r="L60" s="7" t="inlineStr">
        <is>
          <t>mean(Q1..Q4) == Annual_Growth</t>
        </is>
      </c>
    </row>
    <row r="61" ht="19" customHeight="1">
      <c r="A61" s="6" t="inlineStr">
        <is>
          <t>Laos</t>
        </is>
      </c>
      <c r="B61" s="6" t="inlineStr">
        <is>
          <t>GDP_Growth</t>
        </is>
      </c>
      <c r="C61" s="10" t="n">
        <v>2021</v>
      </c>
      <c r="D61" s="8" t="n">
        <v>2.52835100486102</v>
      </c>
      <c r="E61" s="8" t="n">
        <v>1.59670641869024</v>
      </c>
      <c r="F61" s="8" t="n">
        <v>2.49067602144546</v>
      </c>
      <c r="G61" s="8" t="n">
        <v>2.97533568506898</v>
      </c>
      <c r="H61" s="8" t="n">
        <v>3.05068589424845</v>
      </c>
      <c r="I61" s="10" t="n">
        <v>2.52835100486328</v>
      </c>
      <c r="J61" s="8" t="n">
        <v>2.25996998892697e-12</v>
      </c>
      <c r="K61" s="7" t="inlineStr">
        <is>
          <t>Denton-Cholette First-Difference Minimization</t>
        </is>
      </c>
      <c r="L61" s="7" t="inlineStr">
        <is>
          <t>mean(Q1..Q4) == Annual_Growth</t>
        </is>
      </c>
    </row>
    <row r="62" ht="19" customHeight="1">
      <c r="A62" s="6" t="inlineStr">
        <is>
          <t>Laos</t>
        </is>
      </c>
      <c r="B62" s="6" t="inlineStr">
        <is>
          <t>GDP_Growth</t>
        </is>
      </c>
      <c r="C62" s="10" t="n">
        <v>2022</v>
      </c>
      <c r="D62" s="8" t="n">
        <v>2.70742652643155</v>
      </c>
      <c r="E62" s="8" t="n">
        <v>2.71672672432259</v>
      </c>
      <c r="F62" s="8" t="n">
        <v>2.57942302618465</v>
      </c>
      <c r="G62" s="8" t="n">
        <v>2.63877466253312</v>
      </c>
      <c r="H62" s="8" t="n">
        <v>2.89478169270697</v>
      </c>
      <c r="I62" s="10" t="n">
        <v>2.70742652643684</v>
      </c>
      <c r="J62" s="8" t="n">
        <v>5.28821431089455e-12</v>
      </c>
      <c r="K62" s="7" t="inlineStr">
        <is>
          <t>Denton-Cholette First-Difference Minimization</t>
        </is>
      </c>
      <c r="L62" s="7" t="inlineStr">
        <is>
          <t>mean(Q1..Q4) == Annual_Growth</t>
        </is>
      </c>
    </row>
    <row r="63" ht="19" customHeight="1">
      <c r="A63" s="6" t="inlineStr">
        <is>
          <t>Laos</t>
        </is>
      </c>
      <c r="B63" s="6" t="inlineStr">
        <is>
          <t>GDP_Growth</t>
        </is>
      </c>
      <c r="C63" s="10" t="n">
        <v>2023</v>
      </c>
      <c r="D63" s="8" t="n">
        <v>3.74568140158232</v>
      </c>
      <c r="E63" s="8" t="n">
        <v>3.34744437270419</v>
      </c>
      <c r="F63" s="8" t="n">
        <v>3.6878040973156</v>
      </c>
      <c r="G63" s="8" t="n">
        <v>3.91586120687685</v>
      </c>
      <c r="H63" s="8" t="n">
        <v>4.03161592943637</v>
      </c>
      <c r="I63" s="10" t="n">
        <v>3.74568140158325</v>
      </c>
      <c r="J63" s="8" t="n">
        <v>9.36140054363932e-13</v>
      </c>
      <c r="K63" s="7" t="inlineStr">
        <is>
          <t>Denton-Cholette First-Difference Minimization</t>
        </is>
      </c>
      <c r="L63" s="7" t="inlineStr">
        <is>
          <t>mean(Q1..Q4) == Annual_Growth</t>
        </is>
      </c>
    </row>
    <row r="64" ht="19" customHeight="1">
      <c r="A64" s="6" t="inlineStr">
        <is>
          <t>Laos</t>
        </is>
      </c>
      <c r="B64" s="6" t="inlineStr">
        <is>
          <t>GDP_Growth</t>
        </is>
      </c>
      <c r="C64" s="10" t="n">
        <v>2024</v>
      </c>
      <c r="D64" s="8" t="n">
        <v>4.13019264438475</v>
      </c>
      <c r="E64" s="8" t="n">
        <v>4.03506838077906</v>
      </c>
      <c r="F64" s="8" t="n">
        <v>4.07449904344782</v>
      </c>
      <c r="G64" s="8" t="n">
        <v>4.14990795686948</v>
      </c>
      <c r="H64" s="8" t="n">
        <v>4.26129519645931</v>
      </c>
      <c r="I64" s="10" t="n">
        <v>4.13019264438892</v>
      </c>
      <c r="J64" s="8" t="n">
        <v>4.169109502072389e-12</v>
      </c>
      <c r="K64" s="7" t="inlineStr">
        <is>
          <t>Denton-Cholette First-Difference Minimization</t>
        </is>
      </c>
      <c r="L64" s="7" t="inlineStr">
        <is>
          <t>mean(Q1..Q4) == Annual_Growth</t>
        </is>
      </c>
    </row>
    <row r="65" ht="19" customHeight="1">
      <c r="A65" s="6" t="inlineStr">
        <is>
          <t>Laos</t>
        </is>
      </c>
      <c r="B65" s="6" t="inlineStr">
        <is>
          <t>GDP_Growth</t>
        </is>
      </c>
      <c r="C65" s="10" t="n">
        <v>2025</v>
      </c>
      <c r="D65" s="8" t="n">
        <v>4.53760564766725</v>
      </c>
      <c r="E65" s="8" t="n">
        <v>4.40866087359683</v>
      </c>
      <c r="F65" s="8" t="n">
        <v>4.51918500249715</v>
      </c>
      <c r="G65" s="8" t="n">
        <v>4.59286769370627</v>
      </c>
      <c r="H65" s="8" t="n">
        <v>4.62970902088757</v>
      </c>
      <c r="I65" s="10" t="n">
        <v>4.53760564767196</v>
      </c>
      <c r="J65" s="8" t="n">
        <v>4.70734562441066e-12</v>
      </c>
      <c r="K65" s="7" t="inlineStr">
        <is>
          <t>Denton-Cholette First-Difference Minimization</t>
        </is>
      </c>
      <c r="L65" s="7" t="inlineStr">
        <is>
          <t>mean(Q1..Q4) == Annual_Growth</t>
        </is>
      </c>
    </row>
    <row r="66" ht="19" customHeight="1">
      <c r="A66" s="6" t="inlineStr">
        <is>
          <t>Malaysia</t>
        </is>
      </c>
      <c r="B66" s="6" t="inlineStr">
        <is>
          <t>GDP_Growth</t>
        </is>
      </c>
      <c r="C66" s="10" t="n">
        <v>2010</v>
      </c>
      <c r="D66" s="8" t="n">
        <v>7.42484738326097</v>
      </c>
      <c r="E66" s="8" t="n">
        <v>7.9632684067353</v>
      </c>
      <c r="F66" s="8" t="n">
        <v>7.74790012656604</v>
      </c>
      <c r="G66" s="8" t="n">
        <v>7.3171633508551</v>
      </c>
      <c r="H66" s="8" t="n">
        <v>6.6710576488972</v>
      </c>
      <c r="I66" s="10" t="n">
        <v>7.42484738326341</v>
      </c>
      <c r="J66" s="8" t="n">
        <v>2.44337883259504e-12</v>
      </c>
      <c r="K66" s="7" t="inlineStr">
        <is>
          <t>Denton-Cholette First-Difference Minimization</t>
        </is>
      </c>
      <c r="L66" s="7" t="inlineStr">
        <is>
          <t>mean(Q1..Q4) == Annual_Growth</t>
        </is>
      </c>
    </row>
    <row r="67" ht="19" customHeight="1">
      <c r="A67" s="6" t="inlineStr">
        <is>
          <t>Malaysia</t>
        </is>
      </c>
      <c r="B67" s="6" t="inlineStr">
        <is>
          <t>GDP_Growth</t>
        </is>
      </c>
      <c r="C67" s="10" t="n">
        <v>2011</v>
      </c>
      <c r="D67" s="8" t="n">
        <v>5.29391283414003</v>
      </c>
      <c r="E67" s="8" t="n">
        <v>5.809582374566</v>
      </c>
      <c r="F67" s="8" t="n">
        <v>5.25872469301815</v>
      </c>
      <c r="G67" s="8" t="n">
        <v>5.01848405343012</v>
      </c>
      <c r="H67" s="8" t="n">
        <v>5.08886021550717</v>
      </c>
      <c r="I67" s="10" t="n">
        <v>5.29391283413036</v>
      </c>
      <c r="J67" s="8" t="n">
        <v>-9.66871027685556e-12</v>
      </c>
      <c r="K67" s="7" t="inlineStr">
        <is>
          <t>Denton-Cholette First-Difference Minimization</t>
        </is>
      </c>
      <c r="L67" s="7" t="inlineStr">
        <is>
          <t>mean(Q1..Q4) == Annual_Growth</t>
        </is>
      </c>
    </row>
    <row r="68" ht="19" customHeight="1">
      <c r="A68" s="6" t="inlineStr">
        <is>
          <t>Malaysia</t>
        </is>
      </c>
      <c r="B68" s="6" t="inlineStr">
        <is>
          <t>GDP_Growth</t>
        </is>
      </c>
      <c r="C68" s="10" t="n">
        <v>2012</v>
      </c>
      <c r="D68" s="8" t="n">
        <v>5.47345419253853</v>
      </c>
      <c r="E68" s="8" t="n">
        <v>5.46985324965074</v>
      </c>
      <c r="F68" s="8" t="n">
        <v>5.62369078627821</v>
      </c>
      <c r="G68" s="8" t="n">
        <v>5.55037297917717</v>
      </c>
      <c r="H68" s="8" t="n">
        <v>5.24989975508079</v>
      </c>
      <c r="I68" s="10" t="n">
        <v>5.47345419254673</v>
      </c>
      <c r="J68" s="8" t="n">
        <v>8.20143952751096e-12</v>
      </c>
      <c r="K68" s="7" t="inlineStr">
        <is>
          <t>Denton-Cholette First-Difference Minimization</t>
        </is>
      </c>
      <c r="L68" s="7" t="inlineStr">
        <is>
          <t>mean(Q1..Q4) == Annual_Growth</t>
        </is>
      </c>
    </row>
    <row r="69" ht="19" customHeight="1">
      <c r="A69" s="6" t="inlineStr">
        <is>
          <t>Malaysia</t>
        </is>
      </c>
      <c r="B69" s="6" t="inlineStr">
        <is>
          <t>GDP_Growth</t>
        </is>
      </c>
      <c r="C69" s="10" t="n">
        <v>2013</v>
      </c>
      <c r="D69" s="8" t="n">
        <v>4.69372252557893</v>
      </c>
      <c r="E69" s="8" t="n">
        <v>4.72227081350229</v>
      </c>
      <c r="F69" s="8" t="n">
        <v>4.49980000241404</v>
      </c>
      <c r="G69" s="8" t="n">
        <v>4.58248709935849</v>
      </c>
      <c r="H69" s="8" t="n">
        <v>4.97033218703723</v>
      </c>
      <c r="I69" s="10" t="n">
        <v>4.69372252557801</v>
      </c>
      <c r="J69" s="8" t="n">
        <v>-9.2192919964873e-13</v>
      </c>
      <c r="K69" s="7" t="inlineStr">
        <is>
          <t>Denton-Cholette First-Difference Minimization</t>
        </is>
      </c>
      <c r="L69" s="7" t="inlineStr">
        <is>
          <t>mean(Q1..Q4) == Annual_Growth</t>
        </is>
      </c>
    </row>
    <row r="70" ht="19" customHeight="1">
      <c r="A70" s="6" t="inlineStr">
        <is>
          <t>Malaysia</t>
        </is>
      </c>
      <c r="B70" s="6" t="inlineStr">
        <is>
          <t>GDP_Growth</t>
        </is>
      </c>
      <c r="C70" s="10" t="n">
        <v>2014</v>
      </c>
      <c r="D70" s="8" t="n">
        <v>6.00672194558203</v>
      </c>
      <c r="E70" s="8" t="n">
        <v>5.66333565329278</v>
      </c>
      <c r="F70" s="8" t="n">
        <v>6.07789137727895</v>
      </c>
      <c r="G70" s="8" t="n">
        <v>6.21399977355922</v>
      </c>
      <c r="H70" s="8" t="n">
        <v>6.07166097819758</v>
      </c>
      <c r="I70" s="10" t="n">
        <v>6.00672194558213</v>
      </c>
      <c r="J70" s="8" t="n">
        <v>1.00364161426114e-13</v>
      </c>
      <c r="K70" s="7" t="inlineStr">
        <is>
          <t>Denton-Cholette First-Difference Minimization</t>
        </is>
      </c>
      <c r="L70" s="7" t="inlineStr">
        <is>
          <t>mean(Q1..Q4) == Annual_Growth</t>
        </is>
      </c>
    </row>
    <row r="71" ht="19" customHeight="1">
      <c r="A71" s="6" t="inlineStr">
        <is>
          <t>Malaysia</t>
        </is>
      </c>
      <c r="B71" s="6" t="inlineStr">
        <is>
          <t>GDP_Growth</t>
        </is>
      </c>
      <c r="C71" s="10" t="n">
        <v>2015</v>
      </c>
      <c r="D71" s="8" t="n">
        <v>5.09153242155011</v>
      </c>
      <c r="E71" s="8" t="n">
        <v>5.65087484895533</v>
      </c>
      <c r="F71" s="8" t="n">
        <v>5.25882361940609</v>
      </c>
      <c r="G71" s="8" t="n">
        <v>4.89550689762666</v>
      </c>
      <c r="H71" s="8" t="n">
        <v>4.56092432024064</v>
      </c>
      <c r="I71" s="10" t="n">
        <v>5.09153242155718</v>
      </c>
      <c r="J71" s="8" t="n">
        <v>7.0672356855539e-12</v>
      </c>
      <c r="K71" s="7" t="inlineStr">
        <is>
          <t>Denton-Cholette First-Difference Minimization</t>
        </is>
      </c>
      <c r="L71" s="7" t="inlineStr">
        <is>
          <t>mean(Q1..Q4) == Annual_Growth</t>
        </is>
      </c>
    </row>
    <row r="72" ht="19" customHeight="1">
      <c r="A72" s="6" t="inlineStr">
        <is>
          <t>Malaysia</t>
        </is>
      </c>
      <c r="B72" s="6" t="inlineStr">
        <is>
          <t>GDP_Growth</t>
        </is>
      </c>
      <c r="C72" s="10" t="n">
        <v>2016</v>
      </c>
      <c r="D72" s="8" t="n">
        <v>4.44978139761541</v>
      </c>
      <c r="E72" s="8" t="n">
        <v>4.25507555267169</v>
      </c>
      <c r="F72" s="8" t="n">
        <v>4.21061837971032</v>
      </c>
      <c r="G72" s="8" t="n">
        <v>4.42755275691635</v>
      </c>
      <c r="H72" s="8" t="n">
        <v>4.90587890117543</v>
      </c>
      <c r="I72" s="10" t="n">
        <v>4.44978139761845</v>
      </c>
      <c r="J72" s="8" t="n">
        <v>3.03934655221383e-12</v>
      </c>
      <c r="K72" s="7" t="inlineStr">
        <is>
          <t>Denton-Cholette First-Difference Minimization</t>
        </is>
      </c>
      <c r="L72" s="7" t="inlineStr">
        <is>
          <t>mean(Q1..Q4) == Annual_Growth</t>
        </is>
      </c>
    </row>
    <row r="73" ht="19" customHeight="1">
      <c r="A73" s="6" t="inlineStr">
        <is>
          <t>Malaysia</t>
        </is>
      </c>
      <c r="B73" s="6" t="inlineStr">
        <is>
          <t>GDP_Growth</t>
        </is>
      </c>
      <c r="C73" s="10" t="n">
        <v>2017</v>
      </c>
      <c r="D73" s="8" t="n">
        <v>5.81272240983328</v>
      </c>
      <c r="E73" s="8" t="n">
        <v>5.64559729088166</v>
      </c>
      <c r="F73" s="8" t="n">
        <v>6.00833455064477</v>
      </c>
      <c r="G73" s="8" t="n">
        <v>5.99409104326931</v>
      </c>
      <c r="H73" s="8" t="n">
        <v>5.60286675447875</v>
      </c>
      <c r="I73" s="10" t="n">
        <v>5.81272240981863</v>
      </c>
      <c r="J73" s="8" t="n">
        <v>-1.46593848171506e-11</v>
      </c>
      <c r="K73" s="7" t="inlineStr">
        <is>
          <t>Denton-Cholette First-Difference Minimization</t>
        </is>
      </c>
      <c r="L73" s="7" t="inlineStr">
        <is>
          <t>mean(Q1..Q4) == Annual_Growth</t>
        </is>
      </c>
    </row>
    <row r="74" ht="19" customHeight="1">
      <c r="A74" s="6" t="inlineStr">
        <is>
          <t>Malaysia</t>
        </is>
      </c>
      <c r="B74" s="6" t="inlineStr">
        <is>
          <t>GDP_Growth</t>
        </is>
      </c>
      <c r="C74" s="10" t="n">
        <v>2018</v>
      </c>
      <c r="D74" s="8" t="n">
        <v>4.84308697634881</v>
      </c>
      <c r="E74" s="8" t="n">
        <v>4.83466129306</v>
      </c>
      <c r="F74" s="8" t="n">
        <v>4.53074948732132</v>
      </c>
      <c r="G74" s="8" t="n">
        <v>4.69113103339067</v>
      </c>
      <c r="H74" s="8" t="n">
        <v>5.31580609156613</v>
      </c>
      <c r="I74" s="10" t="n">
        <v>4.84308697633453</v>
      </c>
      <c r="J74" s="8" t="n">
        <v>-1.42836853456174e-11</v>
      </c>
      <c r="K74" s="7" t="inlineStr">
        <is>
          <t>Denton-Cholette First-Difference Minimization</t>
        </is>
      </c>
      <c r="L74" s="7" t="inlineStr">
        <is>
          <t>mean(Q1..Q4) == Annual_Growth</t>
        </is>
      </c>
    </row>
    <row r="75" ht="19" customHeight="1">
      <c r="A75" s="6" t="inlineStr">
        <is>
          <t>Malaysia</t>
        </is>
      </c>
      <c r="B75" s="6" t="inlineStr">
        <is>
          <t>GDP_Growth</t>
        </is>
      </c>
      <c r="C75" s="10" t="n">
        <v>2019</v>
      </c>
      <c r="D75" s="8" t="n">
        <v>4.41318742129586</v>
      </c>
      <c r="E75" s="8" t="n">
        <v>6.40477528663785</v>
      </c>
      <c r="F75" s="8" t="n">
        <v>6.04372814403864</v>
      </c>
      <c r="G75" s="8" t="n">
        <v>4.2326643027504</v>
      </c>
      <c r="H75" s="8" t="n">
        <v>0.971581951710769</v>
      </c>
      <c r="I75" s="10" t="n">
        <v>4.41318742128441</v>
      </c>
      <c r="J75" s="8" t="n">
        <v>-1.14450671162558e-11</v>
      </c>
      <c r="K75" s="7" t="inlineStr">
        <is>
          <t>Denton-Cholette First-Difference Minimization</t>
        </is>
      </c>
      <c r="L75" s="7" t="inlineStr">
        <is>
          <t>mean(Q1..Q4) == Annual_Growth</t>
        </is>
      </c>
    </row>
    <row r="76" ht="19" customHeight="1">
      <c r="A76" s="6" t="inlineStr">
        <is>
          <t>Malaysia</t>
        </is>
      </c>
      <c r="B76" s="6" t="inlineStr">
        <is>
          <t>GDP_Growth</t>
        </is>
      </c>
      <c r="C76" s="10" t="n">
        <v>2020</v>
      </c>
      <c r="D76" s="8" t="n">
        <v>-5.45684658426701</v>
      </c>
      <c r="E76" s="8" t="n">
        <v>-3.73952217014739</v>
      </c>
      <c r="F76" s="8" t="n">
        <v>-6.31089251286022</v>
      </c>
      <c r="G76" s="8" t="n">
        <v>-6.7425316476696</v>
      </c>
      <c r="H76" s="8" t="n">
        <v>-5.03444000635455</v>
      </c>
      <c r="I76" s="10" t="n">
        <v>-5.45684658425794</v>
      </c>
      <c r="J76" s="8" t="n">
        <v>9.072742557236779e-12</v>
      </c>
      <c r="K76" s="7" t="inlineStr">
        <is>
          <t>Denton-Cholette First-Difference Minimization</t>
        </is>
      </c>
      <c r="L76" s="7" t="inlineStr">
        <is>
          <t>mean(Q1..Q4) == Annual_Growth</t>
        </is>
      </c>
    </row>
    <row r="77" ht="19" customHeight="1">
      <c r="A77" s="6" t="inlineStr">
        <is>
          <t>Malaysia</t>
        </is>
      </c>
      <c r="B77" s="6" t="inlineStr">
        <is>
          <t>GDP_Growth</t>
        </is>
      </c>
      <c r="C77" s="10" t="n">
        <v>2021</v>
      </c>
      <c r="D77" s="8" t="n">
        <v>3.31534954399166</v>
      </c>
      <c r="E77" s="8" t="n">
        <v>-1.18661588076898</v>
      </c>
      <c r="F77" s="8" t="n">
        <v>2.15329832021367</v>
      </c>
      <c r="G77" s="8" t="n">
        <v>4.98530593646775</v>
      </c>
      <c r="H77" s="8" t="n">
        <v>7.30940980001118</v>
      </c>
      <c r="I77" s="10" t="n">
        <v>3.3153495439809</v>
      </c>
      <c r="J77" s="8" t="n">
        <v>-1.07549524841488e-11</v>
      </c>
      <c r="K77" s="7" t="inlineStr">
        <is>
          <t>Denton-Cholette First-Difference Minimization</t>
        </is>
      </c>
      <c r="L77" s="7" t="inlineStr">
        <is>
          <t>mean(Q1..Q4) == Annual_Growth</t>
        </is>
      </c>
    </row>
    <row r="78" ht="19" customHeight="1">
      <c r="A78" s="6" t="inlineStr">
        <is>
          <t>Malaysia</t>
        </is>
      </c>
      <c r="B78" s="6" t="inlineStr">
        <is>
          <t>GDP_Growth</t>
        </is>
      </c>
      <c r="C78" s="10" t="n">
        <v>2022</v>
      </c>
      <c r="D78" s="8" t="n">
        <v>9.031737230444509</v>
      </c>
      <c r="E78" s="8" t="n">
        <v>9.1256122348862</v>
      </c>
      <c r="F78" s="8" t="n">
        <v>9.81454297533028</v>
      </c>
      <c r="G78" s="8" t="n">
        <v>9.376202710224041</v>
      </c>
      <c r="H78" s="8" t="n">
        <v>7.81059100120743</v>
      </c>
      <c r="I78" s="10" t="n">
        <v>9.03173723041199</v>
      </c>
      <c r="J78" s="8" t="n">
        <v>-3.25162119452216e-11</v>
      </c>
      <c r="K78" s="7" t="inlineStr">
        <is>
          <t>Denton-Cholette First-Difference Minimization</t>
        </is>
      </c>
      <c r="L78" s="7" t="inlineStr">
        <is>
          <t>mean(Q1..Q4) == Annual_Growth</t>
        </is>
      </c>
    </row>
    <row r="79" ht="19" customHeight="1">
      <c r="A79" s="6" t="inlineStr">
        <is>
          <t>Malaysia</t>
        </is>
      </c>
      <c r="B79" s="6" t="inlineStr">
        <is>
          <t>GDP_Growth</t>
        </is>
      </c>
      <c r="C79" s="10" t="n">
        <v>2023</v>
      </c>
      <c r="D79" s="8" t="n">
        <v>3.5370638041057</v>
      </c>
      <c r="E79" s="8" t="n">
        <v>5.11770628262755</v>
      </c>
      <c r="F79" s="8" t="n">
        <v>3.40829616017238</v>
      </c>
      <c r="G79" s="8" t="n">
        <v>2.68235892435485</v>
      </c>
      <c r="H79" s="8" t="n">
        <v>2.93989384924944</v>
      </c>
      <c r="I79" s="10" t="n">
        <v>3.53706380410105</v>
      </c>
      <c r="J79" s="8" t="n">
        <v>-4.64428495661195e-12</v>
      </c>
      <c r="K79" s="7" t="inlineStr">
        <is>
          <t>Denton-Cholette First-Difference Minimization</t>
        </is>
      </c>
      <c r="L79" s="7" t="inlineStr">
        <is>
          <t>mean(Q1..Q4) == Annual_Growth</t>
        </is>
      </c>
    </row>
    <row r="80" ht="19" customHeight="1">
      <c r="A80" s="6" t="inlineStr">
        <is>
          <t>Malaysia</t>
        </is>
      </c>
      <c r="B80" s="6" t="inlineStr">
        <is>
          <t>GDP_Growth</t>
        </is>
      </c>
      <c r="C80" s="10" t="n">
        <v>2024</v>
      </c>
      <c r="D80" s="8" t="n">
        <v>5.10545921024041</v>
      </c>
      <c r="E80" s="8" t="n">
        <v>4.18090119240212</v>
      </c>
      <c r="F80" s="8" t="n">
        <v>5.04712694118034</v>
      </c>
      <c r="G80" s="8" t="n">
        <v>5.5385719617799</v>
      </c>
      <c r="H80" s="8" t="n">
        <v>5.65523674563646</v>
      </c>
      <c r="I80" s="10" t="n">
        <v>5.1054592102497</v>
      </c>
      <c r="J80" s="8" t="n">
        <v>9.29212262690271e-12</v>
      </c>
      <c r="K80" s="7" t="inlineStr">
        <is>
          <t>Denton-Cholette First-Difference Minimization</t>
        </is>
      </c>
      <c r="L80" s="7" t="inlineStr">
        <is>
          <t>mean(Q1..Q4) == Annual_Growth</t>
        </is>
      </c>
    </row>
    <row r="81" ht="19" customHeight="1">
      <c r="A81" s="6" t="inlineStr">
        <is>
          <t>Malaysia</t>
        </is>
      </c>
      <c r="B81" s="6" t="inlineStr">
        <is>
          <t>GDP_Growth</t>
        </is>
      </c>
      <c r="C81" s="10" t="n">
        <v>2025</v>
      </c>
      <c r="D81" s="8" t="n">
        <v>5.17127082911057</v>
      </c>
      <c r="E81" s="8" t="n">
        <v>5.39712140949998</v>
      </c>
      <c r="F81" s="8" t="n">
        <v>5.20353513318351</v>
      </c>
      <c r="G81" s="8" t="n">
        <v>5.07447772322168</v>
      </c>
      <c r="H81" s="8" t="n">
        <v>5.00994905051112</v>
      </c>
      <c r="I81" s="10" t="n">
        <v>5.17127082910407</v>
      </c>
      <c r="J81" s="8" t="n">
        <v>-6.49613696168672e-12</v>
      </c>
      <c r="K81" s="7" t="inlineStr">
        <is>
          <t>Denton-Cholette First-Difference Minimization</t>
        </is>
      </c>
      <c r="L81" s="7" t="inlineStr">
        <is>
          <t>mean(Q1..Q4) == Annual_Growth</t>
        </is>
      </c>
    </row>
    <row r="82" ht="19" customHeight="1">
      <c r="A82" s="6" t="inlineStr">
        <is>
          <t>Myanmar</t>
        </is>
      </c>
      <c r="B82" s="6" t="inlineStr">
        <is>
          <t>GDP_Growth</t>
        </is>
      </c>
      <c r="C82" s="10" t="n">
        <v>2010</v>
      </c>
      <c r="D82" s="8" t="n">
        <v>9.634439452000001</v>
      </c>
      <c r="E82" s="8" t="n">
        <v>10.6916912684653</v>
      </c>
      <c r="F82" s="8" t="n">
        <v>10.2687907956178</v>
      </c>
      <c r="G82" s="8" t="n">
        <v>9.422989427012389</v>
      </c>
      <c r="H82" s="8" t="n">
        <v>8.15428631686042</v>
      </c>
      <c r="I82" s="10" t="n">
        <v>9.634439451988969</v>
      </c>
      <c r="J82" s="8" t="n">
        <v>-1.10276232589968e-11</v>
      </c>
      <c r="K82" s="7" t="inlineStr">
        <is>
          <t>Denton-Cholette First-Difference Minimization</t>
        </is>
      </c>
      <c r="L82" s="7" t="inlineStr">
        <is>
          <t>mean(Q1..Q4) == Annual_Growth</t>
        </is>
      </c>
    </row>
    <row r="83" ht="19" customHeight="1">
      <c r="A83" s="6" t="inlineStr">
        <is>
          <t>Myanmar</t>
        </is>
      </c>
      <c r="B83" s="6" t="inlineStr">
        <is>
          <t>GDP_Growth</t>
        </is>
      </c>
      <c r="C83" s="10" t="n">
        <v>2011</v>
      </c>
      <c r="D83" s="8" t="n">
        <v>5.591482378</v>
      </c>
      <c r="E83" s="8" t="n">
        <v>6.46268019647009</v>
      </c>
      <c r="F83" s="8" t="n">
        <v>5.43755906680137</v>
      </c>
      <c r="G83" s="8" t="n">
        <v>5.07892190286653</v>
      </c>
      <c r="H83" s="8" t="n">
        <v>5.3867683458379</v>
      </c>
      <c r="I83" s="10" t="n">
        <v>5.59148237799397</v>
      </c>
      <c r="J83" s="8" t="n">
        <v>-6.02806693450475e-12</v>
      </c>
      <c r="K83" s="7" t="inlineStr">
        <is>
          <t>Denton-Cholette First-Difference Minimization</t>
        </is>
      </c>
      <c r="L83" s="7" t="inlineStr">
        <is>
          <t>mean(Q1..Q4) == Annual_Growth</t>
        </is>
      </c>
    </row>
    <row r="84" ht="19" customHeight="1">
      <c r="A84" s="6" t="inlineStr">
        <is>
          <t>Myanmar</t>
        </is>
      </c>
      <c r="B84" s="6" t="inlineStr">
        <is>
          <t>GDP_Growth</t>
        </is>
      </c>
      <c r="C84" s="10" t="n">
        <v>2012</v>
      </c>
      <c r="D84" s="8" t="n">
        <v>7.332670447</v>
      </c>
      <c r="E84" s="8" t="n">
        <v>6.36109870371816</v>
      </c>
      <c r="F84" s="8" t="n">
        <v>7.13945917458563</v>
      </c>
      <c r="G84" s="8" t="n">
        <v>7.72185053682494</v>
      </c>
      <c r="H84" s="8" t="n">
        <v>8.108273372852789</v>
      </c>
      <c r="I84" s="10" t="n">
        <v>7.33267044699538</v>
      </c>
      <c r="J84" s="8" t="n">
        <v>-4.61852778244065e-12</v>
      </c>
      <c r="K84" s="7" t="inlineStr">
        <is>
          <t>Denton-Cholette First-Difference Minimization</t>
        </is>
      </c>
      <c r="L84" s="7" t="inlineStr">
        <is>
          <t>mean(Q1..Q4) == Annual_Growth</t>
        </is>
      </c>
    </row>
    <row r="85" ht="19" customHeight="1">
      <c r="A85" s="6" t="inlineStr">
        <is>
          <t>Myanmar</t>
        </is>
      </c>
      <c r="B85" s="6" t="inlineStr">
        <is>
          <t>GDP_Growth</t>
        </is>
      </c>
      <c r="C85" s="10" t="n">
        <v>2013</v>
      </c>
      <c r="D85" s="8" t="n">
        <v>8.426001025</v>
      </c>
      <c r="E85" s="8" t="n">
        <v>8.298728069074031</v>
      </c>
      <c r="F85" s="8" t="n">
        <v>8.42581907273178</v>
      </c>
      <c r="G85" s="8" t="n">
        <v>8.48954651086366</v>
      </c>
      <c r="H85" s="8" t="n">
        <v>8.48991044730918</v>
      </c>
      <c r="I85" s="10" t="n">
        <v>8.426001024994671</v>
      </c>
      <c r="J85" s="8" t="n">
        <v>-5.33439958871895e-12</v>
      </c>
      <c r="K85" s="7" t="inlineStr">
        <is>
          <t>Denton-Cholette First-Difference Minimization</t>
        </is>
      </c>
      <c r="L85" s="7" t="inlineStr">
        <is>
          <t>mean(Q1..Q4) == Annual_Growth</t>
        </is>
      </c>
    </row>
    <row r="86" ht="19" customHeight="1">
      <c r="A86" s="6" t="inlineStr">
        <is>
          <t>Myanmar</t>
        </is>
      </c>
      <c r="B86" s="6" t="inlineStr">
        <is>
          <t>GDP_Growth</t>
        </is>
      </c>
      <c r="C86" s="10" t="n">
        <v>2014</v>
      </c>
      <c r="D86" s="8" t="n">
        <v>8.169907456000001</v>
      </c>
      <c r="E86" s="8" t="n">
        <v>8.426910882325981</v>
      </c>
      <c r="F86" s="8" t="n">
        <v>8.298909756301921</v>
      </c>
      <c r="G86" s="8" t="n">
        <v>8.10590694123719</v>
      </c>
      <c r="H86" s="8" t="n">
        <v>7.84790224413307</v>
      </c>
      <c r="I86" s="10" t="n">
        <v>8.169907455999541</v>
      </c>
      <c r="J86" s="8" t="n">
        <v>-4.60076421404665e-13</v>
      </c>
      <c r="K86" s="7" t="inlineStr">
        <is>
          <t>Denton-Cholette First-Difference Minimization</t>
        </is>
      </c>
      <c r="L86" s="7" t="inlineStr">
        <is>
          <t>mean(Q1..Q4) == Annual_Growth</t>
        </is>
      </c>
    </row>
    <row r="87" ht="19" customHeight="1">
      <c r="A87" s="6" t="inlineStr">
        <is>
          <t>Myanmar</t>
        </is>
      </c>
      <c r="B87" s="6" t="inlineStr">
        <is>
          <t>GDP_Growth</t>
        </is>
      </c>
      <c r="C87" s="10" t="n">
        <v>2015</v>
      </c>
      <c r="D87" s="8" t="n">
        <v>6.99284029</v>
      </c>
      <c r="E87" s="8" t="n">
        <v>7.52489540701311</v>
      </c>
      <c r="F87" s="8" t="n">
        <v>7.18287079823898</v>
      </c>
      <c r="G87" s="8" t="n">
        <v>6.82182807589351</v>
      </c>
      <c r="H87" s="8" t="n">
        <v>6.44176687892188</v>
      </c>
      <c r="I87" s="10" t="n">
        <v>6.99284029001687</v>
      </c>
      <c r="J87" s="8" t="n">
        <v>1.68673963685251e-11</v>
      </c>
      <c r="K87" s="7" t="inlineStr">
        <is>
          <t>Denton-Cholette First-Difference Minimization</t>
        </is>
      </c>
      <c r="L87" s="7" t="inlineStr">
        <is>
          <t>mean(Q1..Q4) == Annual_Growth</t>
        </is>
      </c>
    </row>
    <row r="88" ht="19" customHeight="1">
      <c r="A88" s="6" t="inlineStr">
        <is>
          <t>Myanmar</t>
        </is>
      </c>
      <c r="B88" s="6" t="inlineStr">
        <is>
          <t>GDP_Growth</t>
        </is>
      </c>
      <c r="C88" s="10" t="n">
        <v>2016</v>
      </c>
      <c r="D88" s="8" t="n">
        <v>5.862472915</v>
      </c>
      <c r="E88" s="8" t="n">
        <v>6.04268682720807</v>
      </c>
      <c r="F88" s="8" t="n">
        <v>5.8109693407765</v>
      </c>
      <c r="G88" s="8" t="n">
        <v>5.74661418791013</v>
      </c>
      <c r="H88" s="8" t="n">
        <v>5.84962130415984</v>
      </c>
      <c r="I88" s="10" t="n">
        <v>5.86247291501363</v>
      </c>
      <c r="J88" s="8" t="n">
        <v>1.36353150992363e-11</v>
      </c>
      <c r="K88" s="7" t="inlineStr">
        <is>
          <t>Denton-Cholette First-Difference Minimization</t>
        </is>
      </c>
      <c r="L88" s="7" t="inlineStr">
        <is>
          <t>mean(Q1..Q4) == Annual_Growth</t>
        </is>
      </c>
    </row>
    <row r="89" ht="19" customHeight="1">
      <c r="A89" s="6" t="inlineStr">
        <is>
          <t>Myanmar</t>
        </is>
      </c>
      <c r="B89" s="6" t="inlineStr">
        <is>
          <t>GDP_Growth</t>
        </is>
      </c>
      <c r="C89" s="10" t="n">
        <v>2017</v>
      </c>
      <c r="D89" s="8" t="n">
        <v>6.136108244</v>
      </c>
      <c r="E89" s="8" t="n">
        <v>6.11999079266472</v>
      </c>
      <c r="F89" s="8" t="n">
        <v>6.23458552687543</v>
      </c>
      <c r="G89" s="8" t="n">
        <v>6.19340562137107</v>
      </c>
      <c r="H89" s="8" t="n">
        <v>5.9964510350646</v>
      </c>
      <c r="I89" s="10" t="n">
        <v>6.13610824399395</v>
      </c>
      <c r="J89" s="8" t="n">
        <v>-6.04494232447905e-12</v>
      </c>
      <c r="K89" s="7" t="inlineStr">
        <is>
          <t>Denton-Cholette First-Difference Minimization</t>
        </is>
      </c>
      <c r="L89" s="7" t="inlineStr">
        <is>
          <t>mean(Q1..Q4) == Annual_Growth</t>
        </is>
      </c>
    </row>
    <row r="90" ht="19" customHeight="1">
      <c r="A90" s="6" t="inlineStr">
        <is>
          <t>Myanmar</t>
        </is>
      </c>
      <c r="B90" s="6" t="inlineStr">
        <is>
          <t>GDP_Growth</t>
        </is>
      </c>
      <c r="C90" s="10" t="n">
        <v>2018</v>
      </c>
      <c r="D90" s="8" t="n">
        <v>6.268862215</v>
      </c>
      <c r="E90" s="8" t="n">
        <v>5.64372157089194</v>
      </c>
      <c r="F90" s="8" t="n">
        <v>5.75268594221041</v>
      </c>
      <c r="G90" s="8" t="n">
        <v>6.32334425800221</v>
      </c>
      <c r="H90" s="8" t="n">
        <v>7.35569708886357</v>
      </c>
      <c r="I90" s="10" t="n">
        <v>6.26886221499203</v>
      </c>
      <c r="J90" s="8" t="n">
        <v>-7.96873678154952e-12</v>
      </c>
      <c r="K90" s="7" t="inlineStr">
        <is>
          <t>Denton-Cholette First-Difference Minimization</t>
        </is>
      </c>
      <c r="L90" s="7" t="inlineStr">
        <is>
          <t>mean(Q1..Q4) == Annual_Growth</t>
        </is>
      </c>
    </row>
    <row r="91" ht="19" customHeight="1">
      <c r="A91" s="6" t="inlineStr">
        <is>
          <t>Myanmar</t>
        </is>
      </c>
      <c r="B91" s="6" t="inlineStr">
        <is>
          <t>GDP_Growth</t>
        </is>
      </c>
      <c r="C91" s="10" t="n">
        <v>2019</v>
      </c>
      <c r="D91" s="8" t="n">
        <v>6.579110068</v>
      </c>
      <c r="E91" s="8" t="n">
        <v>8.849745467205709</v>
      </c>
      <c r="F91" s="8" t="n">
        <v>8.53911099465207</v>
      </c>
      <c r="G91" s="8" t="n">
        <v>6.42379336052436</v>
      </c>
      <c r="H91" s="8" t="n">
        <v>2.50379044956964</v>
      </c>
      <c r="I91" s="10" t="n">
        <v>6.57911006798794</v>
      </c>
      <c r="J91" s="8" t="n">
        <v>-1.20561338690095e-11</v>
      </c>
      <c r="K91" s="7" t="inlineStr">
        <is>
          <t>Denton-Cholette First-Difference Minimization</t>
        </is>
      </c>
      <c r="L91" s="7" t="inlineStr">
        <is>
          <t>mean(Q1..Q4) == Annual_Growth</t>
        </is>
      </c>
    </row>
    <row r="92" ht="19" customHeight="1">
      <c r="A92" s="6" t="inlineStr">
        <is>
          <t>Myanmar</t>
        </is>
      </c>
      <c r="B92" s="6" t="inlineStr">
        <is>
          <t>GDP_Growth</t>
        </is>
      </c>
      <c r="C92" s="10" t="n">
        <v>2020</v>
      </c>
      <c r="D92" s="8" t="n">
        <v>-9.04834718</v>
      </c>
      <c r="E92" s="8" t="n">
        <v>-3.22090165827063</v>
      </c>
      <c r="F92" s="8" t="n">
        <v>-7.84175451004269</v>
      </c>
      <c r="G92" s="8" t="n">
        <v>-11.3587727266033</v>
      </c>
      <c r="H92" s="8" t="n">
        <v>-13.7719598250316</v>
      </c>
      <c r="I92" s="10" t="n">
        <v>-9.048347179987051</v>
      </c>
      <c r="J92" s="8" t="n">
        <v>1.29496413592278e-11</v>
      </c>
      <c r="K92" s="7" t="inlineStr">
        <is>
          <t>Denton-Cholette First-Difference Minimization</t>
        </is>
      </c>
      <c r="L92" s="7" t="inlineStr">
        <is>
          <t>mean(Q1..Q4) == Annual_Growth</t>
        </is>
      </c>
    </row>
    <row r="93" ht="19" customHeight="1">
      <c r="A93" s="6" t="inlineStr">
        <is>
          <t>Myanmar</t>
        </is>
      </c>
      <c r="B93" s="6" t="inlineStr">
        <is>
          <t>GDP_Growth</t>
        </is>
      </c>
      <c r="C93" s="10" t="n">
        <v>2021</v>
      </c>
      <c r="D93" s="8" t="n">
        <v>-12.0163725</v>
      </c>
      <c r="E93" s="8" t="n">
        <v>-15.0813182184898</v>
      </c>
      <c r="F93" s="8" t="n">
        <v>-14.3790838407297</v>
      </c>
      <c r="G93" s="8" t="n">
        <v>-11.6652559895953</v>
      </c>
      <c r="H93" s="8" t="n">
        <v>-6.939831951213</v>
      </c>
      <c r="I93" s="10" t="n">
        <v>-12.016372500007</v>
      </c>
      <c r="J93" s="8" t="n">
        <v>-6.95088431257318e-12</v>
      </c>
      <c r="K93" s="7" t="inlineStr">
        <is>
          <t>Denton-Cholette First-Difference Minimization</t>
        </is>
      </c>
      <c r="L93" s="7" t="inlineStr">
        <is>
          <t>mean(Q1..Q4) == Annual_Growth</t>
        </is>
      </c>
    </row>
    <row r="94" ht="19" customHeight="1">
      <c r="A94" s="6" t="inlineStr">
        <is>
          <t>Myanmar</t>
        </is>
      </c>
      <c r="B94" s="6" t="inlineStr">
        <is>
          <t>GDP_Growth</t>
        </is>
      </c>
      <c r="C94" s="10" t="n">
        <v>2022</v>
      </c>
      <c r="D94" s="8" t="n">
        <v>4.037493436</v>
      </c>
      <c r="E94" s="8" t="n">
        <v>-0.202807000184654</v>
      </c>
      <c r="F94" s="8" t="n">
        <v>4.18812119383188</v>
      </c>
      <c r="G94" s="8" t="n">
        <v>6.23295702175153</v>
      </c>
      <c r="H94" s="8" t="n">
        <v>5.93170252844557</v>
      </c>
      <c r="I94" s="10" t="n">
        <v>4.03749343596108</v>
      </c>
      <c r="J94" s="8" t="n">
        <v>-3.891997835125949e-11</v>
      </c>
      <c r="K94" s="7" t="inlineStr">
        <is>
          <t>Denton-Cholette First-Difference Minimization</t>
        </is>
      </c>
      <c r="L94" s="7" t="inlineStr">
        <is>
          <t>mean(Q1..Q4) == Annual_Growth</t>
        </is>
      </c>
    </row>
    <row r="95" ht="19" customHeight="1">
      <c r="A95" s="6" t="inlineStr">
        <is>
          <t>Myanmar</t>
        </is>
      </c>
      <c r="B95" s="6" t="inlineStr">
        <is>
          <t>GDP_Growth</t>
        </is>
      </c>
      <c r="C95" s="10" t="n">
        <v>2023</v>
      </c>
      <c r="D95" s="8" t="n">
        <v>0.958446625</v>
      </c>
      <c r="E95" s="8" t="n">
        <v>3.28435741257495</v>
      </c>
      <c r="F95" s="8" t="n">
        <v>1.2950559800507</v>
      </c>
      <c r="G95" s="8" t="n">
        <v>-0.0362037584466207</v>
      </c>
      <c r="H95" s="8" t="n">
        <v>-0.709423134205199</v>
      </c>
      <c r="I95" s="10" t="n">
        <v>0.958446624993457</v>
      </c>
      <c r="J95" s="8" t="n">
        <v>-6.54287735102344e-12</v>
      </c>
      <c r="K95" s="7" t="inlineStr">
        <is>
          <t>Denton-Cholette First-Difference Minimization</t>
        </is>
      </c>
      <c r="L95" s="7" t="inlineStr">
        <is>
          <t>mean(Q1..Q4) == Annual_Growth</t>
        </is>
      </c>
    </row>
    <row r="96" ht="19" customHeight="1">
      <c r="A96" s="6" t="inlineStr">
        <is>
          <t>Myanmar</t>
        </is>
      </c>
      <c r="B96" s="6" t="inlineStr">
        <is>
          <t>GDP_Growth</t>
        </is>
      </c>
      <c r="C96" s="10" t="n">
        <v>2024</v>
      </c>
      <c r="D96" s="8" t="n">
        <v>-0.97204641</v>
      </c>
      <c r="E96" s="8" t="n">
        <v>-0.724602820420859</v>
      </c>
      <c r="F96" s="8" t="n">
        <v>-0.829652069198788</v>
      </c>
      <c r="G96" s="8" t="n">
        <v>-1.02457098566991</v>
      </c>
      <c r="H96" s="8" t="n">
        <v>-1.30935976473845</v>
      </c>
      <c r="I96" s="10" t="n">
        <v>-0.972046410007004</v>
      </c>
      <c r="J96" s="8" t="n">
        <v>-7.003952973150259e-12</v>
      </c>
      <c r="K96" s="7" t="inlineStr">
        <is>
          <t>Denton-Cholette First-Difference Minimization</t>
        </is>
      </c>
      <c r="L96" s="7" t="inlineStr">
        <is>
          <t>mean(Q1..Q4) == Annual_Growth</t>
        </is>
      </c>
    </row>
    <row r="97" ht="19" customHeight="1">
      <c r="A97" s="6" t="inlineStr">
        <is>
          <t>Myanmar</t>
        </is>
      </c>
      <c r="B97" s="6" t="inlineStr">
        <is>
          <t>GDP_Growth</t>
        </is>
      </c>
      <c r="C97" s="10" t="n">
        <v>2025</v>
      </c>
      <c r="D97" s="8" t="n">
        <v>-2.01184476</v>
      </c>
      <c r="E97" s="8" t="n">
        <v>-1.68401869111101</v>
      </c>
      <c r="F97" s="8" t="n">
        <v>-1.96501255814552</v>
      </c>
      <c r="G97" s="8" t="n">
        <v>-2.1523416466774</v>
      </c>
      <c r="H97" s="8" t="n">
        <v>-2.24600614412201</v>
      </c>
      <c r="I97" s="10" t="n">
        <v>-2.01184476001398</v>
      </c>
      <c r="J97" s="8" t="n">
        <v>-1.39848133073883e-11</v>
      </c>
      <c r="K97" s="7" t="inlineStr">
        <is>
          <t>Denton-Cholette First-Difference Minimization</t>
        </is>
      </c>
      <c r="L97" s="7" t="inlineStr">
        <is>
          <t>mean(Q1..Q4) == Annual_Growth</t>
        </is>
      </c>
    </row>
    <row r="98" ht="19" customHeight="1">
      <c r="A98" s="7" t="inlineStr">
        <is>
          <t>Philippines</t>
        </is>
      </c>
      <c r="B98" s="6" t="inlineStr">
        <is>
          <t>GDP_Growth</t>
        </is>
      </c>
      <c r="C98" s="10" t="n">
        <v>2010</v>
      </c>
      <c r="D98" s="8" t="n">
        <v>7.33449996034538</v>
      </c>
      <c r="E98" s="8" t="n">
        <v>8.346683983258741</v>
      </c>
      <c r="F98" s="8" t="n">
        <v>7.94181061703673</v>
      </c>
      <c r="G98" s="8" t="n">
        <v>7.13206347967244</v>
      </c>
      <c r="H98" s="8" t="n">
        <v>5.91744176147665</v>
      </c>
      <c r="I98" s="10" t="n">
        <v>7.33449996036114</v>
      </c>
      <c r="J98" s="8" t="n">
        <v>1.57562851654802e-11</v>
      </c>
      <c r="K98" s="7" t="inlineStr">
        <is>
          <t>Denton-Cholette First-Difference Minimization</t>
        </is>
      </c>
      <c r="L98" s="7" t="inlineStr">
        <is>
          <t>mean(Q1..Q4) == Annual_Growth</t>
        </is>
      </c>
    </row>
    <row r="99" ht="19" customHeight="1">
      <c r="A99" s="7" t="inlineStr">
        <is>
          <t>Philippines</t>
        </is>
      </c>
      <c r="B99" s="6" t="inlineStr">
        <is>
          <t>GDP_Growth</t>
        </is>
      </c>
      <c r="C99" s="10" t="n">
        <v>2011</v>
      </c>
      <c r="D99" s="8" t="n">
        <v>3.85823282795663</v>
      </c>
      <c r="E99" s="8" t="n">
        <v>4.29794424784536</v>
      </c>
      <c r="F99" s="8" t="n">
        <v>3.47426100666831</v>
      </c>
      <c r="G99" s="8" t="n">
        <v>3.44639121433446</v>
      </c>
      <c r="H99" s="8" t="n">
        <v>4.21433484290933</v>
      </c>
      <c r="I99" s="10" t="n">
        <v>3.85823282793937</v>
      </c>
      <c r="J99" s="8" t="n">
        <v>-1.72617475868719e-11</v>
      </c>
      <c r="K99" s="7" t="inlineStr">
        <is>
          <t>Denton-Cholette First-Difference Minimization</t>
        </is>
      </c>
      <c r="L99" s="7" t="inlineStr">
        <is>
          <t>mean(Q1..Q4) == Annual_Growth</t>
        </is>
      </c>
    </row>
    <row r="100" ht="19" customHeight="1">
      <c r="A100" s="7" t="inlineStr">
        <is>
          <t>Philippines</t>
        </is>
      </c>
      <c r="B100" s="6" t="inlineStr">
        <is>
          <t>GDP_Growth</t>
        </is>
      </c>
      <c r="C100" s="10" t="n">
        <v>2012</v>
      </c>
      <c r="D100" s="8" t="n">
        <v>6.89695171050985</v>
      </c>
      <c r="E100" s="8" t="n">
        <v>5.77809266039515</v>
      </c>
      <c r="F100" s="8" t="n">
        <v>6.85113892000843</v>
      </c>
      <c r="G100" s="8" t="n">
        <v>7.43347469473528</v>
      </c>
      <c r="H100" s="8" t="n">
        <v>7.52510056694628</v>
      </c>
      <c r="I100" s="10" t="n">
        <v>6.89695171052128</v>
      </c>
      <c r="J100" s="8" t="n">
        <v>1.14308562615406e-11</v>
      </c>
      <c r="K100" s="7" t="inlineStr">
        <is>
          <t>Denton-Cholette First-Difference Minimization</t>
        </is>
      </c>
      <c r="L100" s="7" t="inlineStr">
        <is>
          <t>mean(Q1..Q4) == Annual_Growth</t>
        </is>
      </c>
    </row>
    <row r="101" ht="19" customHeight="1">
      <c r="A101" s="7" t="inlineStr">
        <is>
          <t>Philippines</t>
        </is>
      </c>
      <c r="B101" s="6" t="inlineStr">
        <is>
          <t>GDP_Growth</t>
        </is>
      </c>
      <c r="C101" s="10" t="n">
        <v>2013</v>
      </c>
      <c r="D101" s="8" t="n">
        <v>6.75053130142255</v>
      </c>
      <c r="E101" s="8" t="n">
        <v>7.12601662831203</v>
      </c>
      <c r="F101" s="8" t="n">
        <v>6.81618906807903</v>
      </c>
      <c r="G101" s="8" t="n">
        <v>6.59561757646345</v>
      </c>
      <c r="H101" s="8" t="n">
        <v>6.46430193288341</v>
      </c>
      <c r="I101" s="10" t="n">
        <v>6.75053130143448</v>
      </c>
      <c r="J101" s="8" t="n">
        <v>1.19237952844742e-11</v>
      </c>
      <c r="K101" s="7" t="inlineStr">
        <is>
          <t>Denton-Cholette First-Difference Minimization</t>
        </is>
      </c>
      <c r="L101" s="7" t="inlineStr">
        <is>
          <t>mean(Q1..Q4) == Annual_Growth</t>
        </is>
      </c>
    </row>
    <row r="102" ht="19" customHeight="1">
      <c r="A102" s="7" t="inlineStr">
        <is>
          <t>Philippines</t>
        </is>
      </c>
      <c r="B102" s="6" t="inlineStr">
        <is>
          <t>GDP_Growth</t>
        </is>
      </c>
      <c r="C102" s="10" t="n">
        <v>2014</v>
      </c>
      <c r="D102" s="8" t="n">
        <v>6.34798748260867</v>
      </c>
      <c r="E102" s="8" t="n">
        <v>6.42224200607535</v>
      </c>
      <c r="F102" s="8" t="n">
        <v>6.37571624965709</v>
      </c>
      <c r="G102" s="8" t="n">
        <v>6.32472461717987</v>
      </c>
      <c r="H102" s="8" t="n">
        <v>6.26926705754471</v>
      </c>
      <c r="I102" s="10" t="n">
        <v>6.34798748261426</v>
      </c>
      <c r="J102" s="8" t="n">
        <v>5.58397772465469e-12</v>
      </c>
      <c r="K102" s="7" t="inlineStr">
        <is>
          <t>Denton-Cholette First-Difference Minimization</t>
        </is>
      </c>
      <c r="L102" s="7" t="inlineStr">
        <is>
          <t>mean(Q1..Q4) == Annual_Growth</t>
        </is>
      </c>
    </row>
    <row r="103" ht="19" customHeight="1">
      <c r="A103" s="7" t="inlineStr">
        <is>
          <t>Philippines</t>
        </is>
      </c>
      <c r="B103" s="6" t="inlineStr">
        <is>
          <t>GDP_Growth</t>
        </is>
      </c>
      <c r="C103" s="10" t="n">
        <v>2015</v>
      </c>
      <c r="D103" s="8" t="n">
        <v>6.34830971672761</v>
      </c>
      <c r="E103" s="8" t="n">
        <v>6.20934351545893</v>
      </c>
      <c r="F103" s="8" t="n">
        <v>6.24096055411843</v>
      </c>
      <c r="G103" s="8" t="n">
        <v>6.3641182053292</v>
      </c>
      <c r="H103" s="8" t="n">
        <v>6.57881659213823</v>
      </c>
      <c r="I103" s="10" t="n">
        <v>6.3483097167612</v>
      </c>
      <c r="J103" s="8" t="n">
        <v>3.35855787625405e-11</v>
      </c>
      <c r="K103" s="7" t="inlineStr">
        <is>
          <t>Denton-Cholette First-Difference Minimization</t>
        </is>
      </c>
      <c r="L103" s="7" t="inlineStr">
        <is>
          <t>mean(Q1..Q4) == Annual_Growth</t>
        </is>
      </c>
    </row>
    <row r="104" ht="19" customHeight="1">
      <c r="A104" s="7" t="inlineStr">
        <is>
          <t>Philippines</t>
        </is>
      </c>
      <c r="B104" s="6" t="inlineStr">
        <is>
          <t>GDP_Growth</t>
        </is>
      </c>
      <c r="C104" s="10" t="n">
        <v>2016</v>
      </c>
      <c r="D104" s="8" t="n">
        <v>7.14945675000752</v>
      </c>
      <c r="E104" s="8" t="n">
        <v>6.88505592927916</v>
      </c>
      <c r="F104" s="8" t="n">
        <v>7.11331188609775</v>
      </c>
      <c r="G104" s="8" t="n">
        <v>7.26358469088395</v>
      </c>
      <c r="H104" s="8" t="n">
        <v>7.33587449381779</v>
      </c>
      <c r="I104" s="10" t="n">
        <v>7.14945675001966</v>
      </c>
      <c r="J104" s="8" t="n">
        <v>1.21485044246583e-11</v>
      </c>
      <c r="K104" s="7" t="inlineStr">
        <is>
          <t>Denton-Cholette First-Difference Minimization</t>
        </is>
      </c>
      <c r="L104" s="7" t="inlineStr">
        <is>
          <t>mean(Q1..Q4) == Annual_Growth</t>
        </is>
      </c>
    </row>
    <row r="105" ht="19" customHeight="1">
      <c r="A105" s="7" t="inlineStr">
        <is>
          <t>Philippines</t>
        </is>
      </c>
      <c r="B105" s="6" t="inlineStr">
        <is>
          <t>GDP_Growth</t>
        </is>
      </c>
      <c r="C105" s="10" t="n">
        <v>2017</v>
      </c>
      <c r="D105" s="8" t="n">
        <v>6.9309883258402</v>
      </c>
      <c r="E105" s="8" t="n">
        <v>7.3301813672683</v>
      </c>
      <c r="F105" s="8" t="n">
        <v>7.16822699664909</v>
      </c>
      <c r="G105" s="8" t="n">
        <v>6.85001122008377</v>
      </c>
      <c r="H105" s="8" t="n">
        <v>6.37553371929144</v>
      </c>
      <c r="I105" s="10" t="n">
        <v>6.93098832582315</v>
      </c>
      <c r="J105" s="8" t="n">
        <v>-1.70548020150818e-11</v>
      </c>
      <c r="K105" s="7" t="inlineStr">
        <is>
          <t>Denton-Cholette First-Difference Minimization</t>
        </is>
      </c>
      <c r="L105" s="7" t="inlineStr">
        <is>
          <t>mean(Q1..Q4) == Annual_Growth</t>
        </is>
      </c>
    </row>
    <row r="106" ht="19" customHeight="1">
      <c r="A106" s="7" t="inlineStr">
        <is>
          <t>Philippines</t>
        </is>
      </c>
      <c r="B106" s="6" t="inlineStr">
        <is>
          <t>GDP_Growth</t>
        </is>
      </c>
      <c r="C106" s="10" t="n">
        <v>2018</v>
      </c>
      <c r="D106" s="8" t="n">
        <v>6.34148557153473</v>
      </c>
      <c r="E106" s="8" t="n">
        <v>5.7447940197741</v>
      </c>
      <c r="F106" s="8" t="n">
        <v>5.73117470576752</v>
      </c>
      <c r="G106" s="8" t="n">
        <v>6.33467576366091</v>
      </c>
      <c r="H106" s="8" t="n">
        <v>7.55529779688665</v>
      </c>
      <c r="I106" s="10" t="n">
        <v>6.3414855715223</v>
      </c>
      <c r="J106" s="8" t="n">
        <v>-1.24380505894806e-11</v>
      </c>
      <c r="K106" s="7" t="inlineStr">
        <is>
          <t>Denton-Cholette First-Difference Minimization</t>
        </is>
      </c>
      <c r="L106" s="7" t="inlineStr">
        <is>
          <t>mean(Q1..Q4) == Annual_Growth</t>
        </is>
      </c>
    </row>
    <row r="107" ht="19" customHeight="1">
      <c r="A107" s="7" t="inlineStr">
        <is>
          <t>Philippines</t>
        </is>
      </c>
      <c r="B107" s="6" t="inlineStr">
        <is>
          <t>GDP_Growth</t>
        </is>
      </c>
      <c r="C107" s="10" t="n">
        <v>2019</v>
      </c>
      <c r="D107" s="8" t="n">
        <v>6.11852566221303</v>
      </c>
      <c r="E107" s="8" t="n">
        <v>9.393042026169461</v>
      </c>
      <c r="F107" s="8" t="n">
        <v>8.81833370089133</v>
      </c>
      <c r="G107" s="8" t="n">
        <v>5.83117224635622</v>
      </c>
      <c r="H107" s="8" t="n">
        <v>0.431554675417957</v>
      </c>
      <c r="I107" s="10" t="n">
        <v>6.11852566220874</v>
      </c>
      <c r="J107" s="8" t="n">
        <v>-4.2872372318925e-12</v>
      </c>
      <c r="K107" s="7" t="inlineStr">
        <is>
          <t>Denton-Cholette First-Difference Minimization</t>
        </is>
      </c>
      <c r="L107" s="7" t="inlineStr">
        <is>
          <t>mean(Q1..Q4) == Annual_Growth</t>
        </is>
      </c>
    </row>
    <row r="108" ht="19" customHeight="1">
      <c r="A108" s="7" t="inlineStr">
        <is>
          <t>Philippines</t>
        </is>
      </c>
      <c r="B108" s="6" t="inlineStr">
        <is>
          <t>GDP_Growth</t>
        </is>
      </c>
      <c r="C108" s="10" t="n">
        <v>2020</v>
      </c>
      <c r="D108" s="8" t="n">
        <v>-9.518294740452969</v>
      </c>
      <c r="E108" s="8" t="n">
        <v>-7.38052441148343</v>
      </c>
      <c r="F108" s="8" t="n">
        <v>-11.3604625711426</v>
      </c>
      <c r="G108" s="8" t="n">
        <v>-11.5082637832826</v>
      </c>
      <c r="H108" s="8" t="n">
        <v>-7.82392819590261</v>
      </c>
      <c r="I108" s="10" t="n">
        <v>-9.51829474045279</v>
      </c>
      <c r="J108" s="8" t="n">
        <v>1.81188397618826e-13</v>
      </c>
      <c r="K108" s="7" t="inlineStr">
        <is>
          <t>Denton-Cholette First-Difference Minimization</t>
        </is>
      </c>
      <c r="L108" s="7" t="inlineStr">
        <is>
          <t>mean(Q1..Q4) == Annual_Growth</t>
        </is>
      </c>
    </row>
    <row r="109" ht="19" customHeight="1">
      <c r="A109" s="7" t="inlineStr">
        <is>
          <t>Philippines</t>
        </is>
      </c>
      <c r="B109" s="6" t="inlineStr">
        <is>
          <t>GDP_Growth</t>
        </is>
      </c>
      <c r="C109" s="10" t="n">
        <v>2021</v>
      </c>
      <c r="D109" s="8" t="n">
        <v>5.71473313185116</v>
      </c>
      <c r="E109" s="8" t="n">
        <v>-0.307452124571783</v>
      </c>
      <c r="F109" s="8" t="n">
        <v>5.10800990892451</v>
      </c>
      <c r="G109" s="8" t="n">
        <v>8.422463319961039</v>
      </c>
      <c r="H109" s="8" t="n">
        <v>9.63591142311113</v>
      </c>
      <c r="I109" s="10" t="n">
        <v>5.71473313185622</v>
      </c>
      <c r="J109" s="8" t="n">
        <v>5.06261699229071e-12</v>
      </c>
      <c r="K109" s="7" t="inlineStr">
        <is>
          <t>Denton-Cholette First-Difference Minimization</t>
        </is>
      </c>
      <c r="L109" s="7" t="inlineStr">
        <is>
          <t>mean(Q1..Q4) == Annual_Growth</t>
        </is>
      </c>
    </row>
    <row r="110" ht="19" customHeight="1">
      <c r="A110" s="7" t="inlineStr">
        <is>
          <t>Philippines</t>
        </is>
      </c>
      <c r="B110" s="6" t="inlineStr">
        <is>
          <t>GDP_Growth</t>
        </is>
      </c>
      <c r="C110" s="10" t="n">
        <v>2022</v>
      </c>
      <c r="D110" s="8" t="n">
        <v>7.58098212785563</v>
      </c>
      <c r="E110" s="8" t="n">
        <v>8.74835543172903</v>
      </c>
      <c r="F110" s="8" t="n">
        <v>7.92638411806585</v>
      </c>
      <c r="G110" s="8" t="n">
        <v>7.16999666011445</v>
      </c>
      <c r="H110" s="8" t="n">
        <v>6.47919230147492</v>
      </c>
      <c r="I110" s="10" t="n">
        <v>7.58098212784606</v>
      </c>
      <c r="J110" s="8" t="n">
        <v>-9.570122472268849e-12</v>
      </c>
      <c r="K110" s="7" t="inlineStr">
        <is>
          <t>Denton-Cholette First-Difference Minimization</t>
        </is>
      </c>
      <c r="L110" s="7" t="inlineStr">
        <is>
          <t>mean(Q1..Q4) == Annual_Growth</t>
        </is>
      </c>
    </row>
    <row r="111" ht="19" customHeight="1">
      <c r="A111" s="7" t="inlineStr">
        <is>
          <t>Philippines</t>
        </is>
      </c>
      <c r="B111" s="6" t="inlineStr">
        <is>
          <t>GDP_Growth</t>
        </is>
      </c>
      <c r="C111" s="10" t="n">
        <v>2023</v>
      </c>
      <c r="D111" s="8" t="n">
        <v>5.51894967856043</v>
      </c>
      <c r="E111" s="8" t="n">
        <v>5.8539703512618</v>
      </c>
      <c r="F111" s="8" t="n">
        <v>5.46987347009449</v>
      </c>
      <c r="G111" s="8" t="n">
        <v>5.32690127372412</v>
      </c>
      <c r="H111" s="8" t="n">
        <v>5.42505361919044</v>
      </c>
      <c r="I111" s="10" t="n">
        <v>5.51894967856771</v>
      </c>
      <c r="J111" s="8" t="n">
        <v>7.28217486312133e-12</v>
      </c>
      <c r="K111" s="7" t="inlineStr">
        <is>
          <t>Denton-Cholette First-Difference Minimization</t>
        </is>
      </c>
      <c r="L111" s="7" t="inlineStr">
        <is>
          <t>mean(Q1..Q4) == Annual_Growth</t>
        </is>
      </c>
    </row>
    <row r="112" ht="19" customHeight="1">
      <c r="A112" s="7" t="inlineStr">
        <is>
          <t>Philippines</t>
        </is>
      </c>
      <c r="B112" s="6" t="inlineStr">
        <is>
          <t>GDP_Growth</t>
        </is>
      </c>
      <c r="C112" s="10" t="n">
        <v>2024</v>
      </c>
      <c r="D112" s="8" t="n">
        <v>5.71474526128652</v>
      </c>
      <c r="E112" s="8" t="n">
        <v>5.7643306047241</v>
      </c>
      <c r="F112" s="8" t="n">
        <v>5.88020722597106</v>
      </c>
      <c r="G112" s="8" t="n">
        <v>5.7726835988153</v>
      </c>
      <c r="H112" s="8" t="n">
        <v>5.44175961572209</v>
      </c>
      <c r="I112" s="10" t="n">
        <v>5.71474526130814</v>
      </c>
      <c r="J112" s="8" t="n">
        <v>2.16120454865631e-11</v>
      </c>
      <c r="K112" s="7" t="inlineStr">
        <is>
          <t>Denton-Cholette First-Difference Minimization</t>
        </is>
      </c>
      <c r="L112" s="7" t="inlineStr">
        <is>
          <t>mean(Q1..Q4) == Annual_Growth</t>
        </is>
      </c>
    </row>
    <row r="113" ht="19" customHeight="1">
      <c r="A113" s="7" t="inlineStr">
        <is>
          <t>Philippines</t>
        </is>
      </c>
      <c r="B113" s="6" t="inlineStr">
        <is>
          <t>GDP_Growth</t>
        </is>
      </c>
      <c r="C113" s="10" t="n">
        <v>2025</v>
      </c>
      <c r="D113" s="8" t="n">
        <v>4.40240158710621</v>
      </c>
      <c r="E113" s="8" t="n">
        <v>4.88743494577728</v>
      </c>
      <c r="F113" s="8" t="n">
        <v>4.47169192830871</v>
      </c>
      <c r="G113" s="8" t="n">
        <v>4.19453014767549</v>
      </c>
      <c r="H113" s="8" t="n">
        <v>4.05594932666393</v>
      </c>
      <c r="I113" s="10" t="n">
        <v>4.40240158710635</v>
      </c>
      <c r="J113" s="8" t="n">
        <v>1.4033219031262e-13</v>
      </c>
      <c r="K113" s="7" t="inlineStr">
        <is>
          <t>Denton-Cholette First-Difference Minimization</t>
        </is>
      </c>
      <c r="L113" s="7" t="inlineStr">
        <is>
          <t>mean(Q1..Q4) == Annual_Growth</t>
        </is>
      </c>
    </row>
    <row r="114" ht="19" customHeight="1">
      <c r="A114" s="6" t="inlineStr">
        <is>
          <t>Singapore</t>
        </is>
      </c>
      <c r="B114" s="6" t="inlineStr">
        <is>
          <t>GDP_Growth</t>
        </is>
      </c>
      <c r="C114" s="10" t="n">
        <v>2010</v>
      </c>
      <c r="D114" s="8" t="n">
        <v>14.5197497108994</v>
      </c>
      <c r="E114" s="8" t="n">
        <v>16.4061112791934</v>
      </c>
      <c r="F114" s="8" t="n">
        <v>15.6515671046107</v>
      </c>
      <c r="G114" s="8" t="n">
        <v>14.1424780009039</v>
      </c>
      <c r="H114" s="8" t="n">
        <v>11.8788424589509</v>
      </c>
      <c r="I114" s="10" t="n">
        <v>14.5197497109147</v>
      </c>
      <c r="J114" s="8" t="n">
        <v>1.53281831671848e-11</v>
      </c>
      <c r="K114" s="7" t="inlineStr">
        <is>
          <t>Denton-Cholette First-Difference Minimization</t>
        </is>
      </c>
      <c r="L114" s="7" t="inlineStr">
        <is>
          <t>mean(Q1..Q4) == Annual_Growth</t>
        </is>
      </c>
    </row>
    <row r="115" ht="19" customHeight="1">
      <c r="A115" s="6" t="inlineStr">
        <is>
          <t>Singapore</t>
        </is>
      </c>
      <c r="B115" s="6" t="inlineStr">
        <is>
          <t>GDP_Growth</t>
        </is>
      </c>
      <c r="C115" s="10" t="n">
        <v>2011</v>
      </c>
      <c r="D115" s="8" t="n">
        <v>6.21493416858989</v>
      </c>
      <c r="E115" s="8" t="n">
        <v>8.860658215169661</v>
      </c>
      <c r="F115" s="8" t="n">
        <v>6.59509595655449</v>
      </c>
      <c r="G115" s="8" t="n">
        <v>5.08215341747502</v>
      </c>
      <c r="H115" s="8" t="n">
        <v>4.32182908509772</v>
      </c>
      <c r="I115" s="10" t="n">
        <v>6.21493416857422</v>
      </c>
      <c r="J115" s="8" t="n">
        <v>-1.56692436803496e-11</v>
      </c>
      <c r="K115" s="7" t="inlineStr">
        <is>
          <t>Denton-Cholette First-Difference Minimization</t>
        </is>
      </c>
      <c r="L115" s="7" t="inlineStr">
        <is>
          <t>mean(Q1..Q4) == Annual_Growth</t>
        </is>
      </c>
    </row>
    <row r="116" ht="19" customHeight="1">
      <c r="A116" s="6" t="inlineStr">
        <is>
          <t>Singapore</t>
        </is>
      </c>
      <c r="B116" s="6" t="inlineStr">
        <is>
          <t>GDP_Growth</t>
        </is>
      </c>
      <c r="C116" s="10" t="n">
        <v>2012</v>
      </c>
      <c r="D116" s="8" t="n">
        <v>4.43549759378537</v>
      </c>
      <c r="E116" s="8" t="n">
        <v>4.31412219900292</v>
      </c>
      <c r="F116" s="8" t="n">
        <v>4.35958957444045</v>
      </c>
      <c r="G116" s="8" t="n">
        <v>4.45823125684445</v>
      </c>
      <c r="H116" s="8" t="n">
        <v>4.61004734488074</v>
      </c>
      <c r="I116" s="10" t="n">
        <v>4.43549759379214</v>
      </c>
      <c r="J116" s="8" t="n">
        <v>6.77324862863316e-12</v>
      </c>
      <c r="K116" s="7" t="inlineStr">
        <is>
          <t>Denton-Cholette First-Difference Minimization</t>
        </is>
      </c>
      <c r="L116" s="7" t="inlineStr">
        <is>
          <t>mean(Q1..Q4) == Annual_Growth</t>
        </is>
      </c>
    </row>
    <row r="117" ht="19" customHeight="1">
      <c r="A117" s="6" t="inlineStr">
        <is>
          <t>Singapore</t>
        </is>
      </c>
      <c r="B117" s="6" t="inlineStr">
        <is>
          <t>GDP_Growth</t>
        </is>
      </c>
      <c r="C117" s="10" t="n">
        <v>2013</v>
      </c>
      <c r="D117" s="8" t="n">
        <v>4.81763099120676</v>
      </c>
      <c r="E117" s="8" t="n">
        <v>4.81503799038404</v>
      </c>
      <c r="F117" s="8" t="n">
        <v>4.89807141957799</v>
      </c>
      <c r="G117" s="8" t="n">
        <v>4.85914771554374</v>
      </c>
      <c r="H117" s="8" t="n">
        <v>4.69826683932992</v>
      </c>
      <c r="I117" s="10" t="n">
        <v>4.81763099120892</v>
      </c>
      <c r="J117" s="8" t="n">
        <v>2.16715534406831e-12</v>
      </c>
      <c r="K117" s="7" t="inlineStr">
        <is>
          <t>Denton-Cholette First-Difference Minimization</t>
        </is>
      </c>
      <c r="L117" s="7" t="inlineStr">
        <is>
          <t>mean(Q1..Q4) == Annual_Growth</t>
        </is>
      </c>
    </row>
    <row r="118" ht="19" customHeight="1">
      <c r="A118" s="6" t="inlineStr">
        <is>
          <t>Singapore</t>
        </is>
      </c>
      <c r="B118" s="6" t="inlineStr">
        <is>
          <t>GDP_Growth</t>
        </is>
      </c>
      <c r="C118" s="10" t="n">
        <v>2014</v>
      </c>
      <c r="D118" s="8" t="n">
        <v>3.93554027709007</v>
      </c>
      <c r="E118" s="8" t="n">
        <v>4.41542863008001</v>
      </c>
      <c r="F118" s="8" t="n">
        <v>4.11033815993858</v>
      </c>
      <c r="G118" s="8" t="n">
        <v>3.78299512388304</v>
      </c>
      <c r="H118" s="8" t="n">
        <v>3.43339919446602</v>
      </c>
      <c r="I118" s="10" t="n">
        <v>3.93554027709191</v>
      </c>
      <c r="J118" s="8" t="n">
        <v>1.84297022087776e-12</v>
      </c>
      <c r="K118" s="7" t="inlineStr">
        <is>
          <t>Denton-Cholette First-Difference Minimization</t>
        </is>
      </c>
      <c r="L118" s="7" t="inlineStr">
        <is>
          <t>mean(Q1..Q4) == Annual_Growth</t>
        </is>
      </c>
    </row>
    <row r="119" ht="19" customHeight="1">
      <c r="A119" s="6" t="inlineStr">
        <is>
          <t>Singapore</t>
        </is>
      </c>
      <c r="B119" s="6" t="inlineStr">
        <is>
          <t>GDP_Growth</t>
        </is>
      </c>
      <c r="C119" s="10" t="n">
        <v>2015</v>
      </c>
      <c r="D119" s="8" t="n">
        <v>2.97679931634806</v>
      </c>
      <c r="E119" s="8" t="n">
        <v>3.06155002217855</v>
      </c>
      <c r="F119" s="8" t="n">
        <v>2.87891014332129</v>
      </c>
      <c r="G119" s="8" t="n">
        <v>2.88547937529819</v>
      </c>
      <c r="H119" s="8" t="n">
        <v>3.08125772463792</v>
      </c>
      <c r="I119" s="10" t="n">
        <v>2.97679931635899</v>
      </c>
      <c r="J119" s="8" t="n">
        <v>1.09228182054721e-11</v>
      </c>
      <c r="K119" s="7" t="inlineStr">
        <is>
          <t>Denton-Cholette First-Difference Minimization</t>
        </is>
      </c>
      <c r="L119" s="7" t="inlineStr">
        <is>
          <t>mean(Q1..Q4) == Annual_Growth</t>
        </is>
      </c>
    </row>
    <row r="120" ht="19" customHeight="1">
      <c r="A120" s="6" t="inlineStr">
        <is>
          <t>Singapore</t>
        </is>
      </c>
      <c r="B120" s="6" t="inlineStr">
        <is>
          <t>GDP_Growth</t>
        </is>
      </c>
      <c r="C120" s="10" t="n">
        <v>2016</v>
      </c>
      <c r="D120" s="8" t="n">
        <v>3.91095306322606</v>
      </c>
      <c r="E120" s="8" t="n">
        <v>3.46624538716847</v>
      </c>
      <c r="F120" s="8" t="n">
        <v>3.79812336196791</v>
      </c>
      <c r="G120" s="8" t="n">
        <v>4.07689198094705</v>
      </c>
      <c r="H120" s="8" t="n">
        <v>4.30255152281413</v>
      </c>
      <c r="I120" s="10" t="n">
        <v>3.91095306322439</v>
      </c>
      <c r="J120" s="8" t="n">
        <v>-1.66755498298699e-12</v>
      </c>
      <c r="K120" s="7" t="inlineStr">
        <is>
          <t>Denton-Cholette First-Difference Minimization</t>
        </is>
      </c>
      <c r="L120" s="7" t="inlineStr">
        <is>
          <t>mean(Q1..Q4) == Annual_Growth</t>
        </is>
      </c>
    </row>
    <row r="121" ht="19" customHeight="1">
      <c r="A121" s="6" t="inlineStr">
        <is>
          <t>Singapore</t>
        </is>
      </c>
      <c r="B121" s="6" t="inlineStr">
        <is>
          <t>GDP_Growth</t>
        </is>
      </c>
      <c r="C121" s="10" t="n">
        <v>2017</v>
      </c>
      <c r="D121" s="8" t="n">
        <v>4.32679370770501</v>
      </c>
      <c r="E121" s="8" t="n">
        <v>4.47510221328366</v>
      </c>
      <c r="F121" s="8" t="n">
        <v>4.48479909865614</v>
      </c>
      <c r="G121" s="8" t="n">
        <v>4.33164218866914</v>
      </c>
      <c r="H121" s="8" t="n">
        <v>4.01563133012136</v>
      </c>
      <c r="I121" s="10" t="n">
        <v>4.32679370768257</v>
      </c>
      <c r="J121" s="8" t="n">
        <v>-2.24336105247858e-11</v>
      </c>
      <c r="K121" s="7" t="inlineStr">
        <is>
          <t>Denton-Cholette First-Difference Minimization</t>
        </is>
      </c>
      <c r="L121" s="7" t="inlineStr">
        <is>
          <t>mean(Q1..Q4) == Annual_Growth</t>
        </is>
      </c>
    </row>
    <row r="122" ht="19" customHeight="1">
      <c r="A122" s="6" t="inlineStr">
        <is>
          <t>Singapore</t>
        </is>
      </c>
      <c r="B122" s="6" t="inlineStr">
        <is>
          <t>GDP_Growth</t>
        </is>
      </c>
      <c r="C122" s="10" t="n">
        <v>2018</v>
      </c>
      <c r="D122" s="8" t="n">
        <v>3.18660848474074</v>
      </c>
      <c r="E122" s="8" t="n">
        <v>3.53676620702843</v>
      </c>
      <c r="F122" s="8" t="n">
        <v>3.20515721994062</v>
      </c>
      <c r="G122" s="8" t="n">
        <v>3.02080403729912</v>
      </c>
      <c r="H122" s="8" t="n">
        <v>2.98370647465766</v>
      </c>
      <c r="I122" s="10" t="n">
        <v>3.18660848473146</v>
      </c>
      <c r="J122" s="8" t="n">
        <v>-9.28945809164361e-12</v>
      </c>
      <c r="K122" s="7" t="inlineStr">
        <is>
          <t>Denton-Cholette First-Difference Minimization</t>
        </is>
      </c>
      <c r="L122" s="7" t="inlineStr">
        <is>
          <t>mean(Q1..Q4) == Annual_Growth</t>
        </is>
      </c>
    </row>
    <row r="123" ht="19" customHeight="1">
      <c r="A123" s="6" t="inlineStr">
        <is>
          <t>Singapore</t>
        </is>
      </c>
      <c r="B123" s="6" t="inlineStr">
        <is>
          <t>GDP_Growth</t>
        </is>
      </c>
      <c r="C123" s="10" t="n">
        <v>2019</v>
      </c>
      <c r="D123" s="8" t="n">
        <v>1.15877947300108</v>
      </c>
      <c r="E123" s="8" t="n">
        <v>3.09386449504264</v>
      </c>
      <c r="F123" s="8" t="n">
        <v>2.36389414334682</v>
      </c>
      <c r="G123" s="8" t="n">
        <v>0.793794689699816</v>
      </c>
      <c r="H123" s="8" t="n">
        <v>-1.61643543606546</v>
      </c>
      <c r="I123" s="10" t="n">
        <v>1.15877947300595</v>
      </c>
      <c r="J123" s="8" t="n">
        <v>4.877209747178309e-12</v>
      </c>
      <c r="K123" s="7" t="inlineStr">
        <is>
          <t>Denton-Cholette First-Difference Minimization</t>
        </is>
      </c>
      <c r="L123" s="7" t="inlineStr">
        <is>
          <t>mean(Q1..Q4) == Annual_Growth</t>
        </is>
      </c>
    </row>
    <row r="124" ht="19" customHeight="1">
      <c r="A124" s="6" t="inlineStr">
        <is>
          <t>Singapore</t>
        </is>
      </c>
      <c r="B124" s="6" t="inlineStr">
        <is>
          <t>GDP_Growth</t>
        </is>
      </c>
      <c r="C124" s="10" t="n">
        <v>2020</v>
      </c>
      <c r="D124" s="8" t="n">
        <v>-3.61084281729929</v>
      </c>
      <c r="E124" s="8" t="n">
        <v>-4.86679864408999</v>
      </c>
      <c r="F124" s="8" t="n">
        <v>-5.66456144302173</v>
      </c>
      <c r="G124" s="8" t="n">
        <v>-4.00972463043943</v>
      </c>
      <c r="H124" s="8" t="n">
        <v>0.09771344834434111</v>
      </c>
      <c r="I124" s="10" t="n">
        <v>-3.6108428173017</v>
      </c>
      <c r="J124" s="8" t="n">
        <v>-2.41451303395479e-12</v>
      </c>
      <c r="K124" s="7" t="inlineStr">
        <is>
          <t>Denton-Cholette First-Difference Minimization</t>
        </is>
      </c>
      <c r="L124" s="7" t="inlineStr">
        <is>
          <t>mean(Q1..Q4) == Annual_Growth</t>
        </is>
      </c>
    </row>
    <row r="125" ht="19" customHeight="1">
      <c r="A125" s="6" t="inlineStr">
        <is>
          <t>Singapore</t>
        </is>
      </c>
      <c r="B125" s="6" t="inlineStr">
        <is>
          <t>GDP_Growth</t>
        </is>
      </c>
      <c r="C125" s="10" t="n">
        <v>2021</v>
      </c>
      <c r="D125" s="8" t="n">
        <v>10.1410845197192</v>
      </c>
      <c r="E125" s="8" t="n">
        <v>6.65775690082044</v>
      </c>
      <c r="F125" s="8" t="n">
        <v>10.6751035749638</v>
      </c>
      <c r="G125" s="8" t="n">
        <v>12.1497574881364</v>
      </c>
      <c r="H125" s="8" t="n">
        <v>11.0817201149885</v>
      </c>
      <c r="I125" s="10" t="n">
        <v>10.1410845197273</v>
      </c>
      <c r="J125" s="8" t="n">
        <v>8.13571432445315e-12</v>
      </c>
      <c r="K125" s="7" t="inlineStr">
        <is>
          <t>Denton-Cholette First-Difference Minimization</t>
        </is>
      </c>
      <c r="L125" s="7" t="inlineStr">
        <is>
          <t>mean(Q1..Q4) == Annual_Growth</t>
        </is>
      </c>
    </row>
    <row r="126" ht="19" customHeight="1">
      <c r="A126" s="6" t="inlineStr">
        <is>
          <t>Singapore</t>
        </is>
      </c>
      <c r="B126" s="6" t="inlineStr">
        <is>
          <t>GDP_Growth</t>
        </is>
      </c>
      <c r="C126" s="10" t="n">
        <v>2022</v>
      </c>
      <c r="D126" s="8" t="n">
        <v>4.01027884472296</v>
      </c>
      <c r="E126" s="8" t="n">
        <v>7.4709903874722</v>
      </c>
      <c r="F126" s="8" t="n">
        <v>4.64241521544948</v>
      </c>
      <c r="G126" s="8" t="n">
        <v>2.59599177033013</v>
      </c>
      <c r="H126" s="8" t="n">
        <v>1.33171800561325</v>
      </c>
      <c r="I126" s="10" t="n">
        <v>4.01027884471626</v>
      </c>
      <c r="J126" s="8" t="n">
        <v>-6.696865284538939e-12</v>
      </c>
      <c r="K126" s="7" t="inlineStr">
        <is>
          <t>Denton-Cholette First-Difference Minimization</t>
        </is>
      </c>
      <c r="L126" s="7" t="inlineStr">
        <is>
          <t>mean(Q1..Q4) == Annual_Growth</t>
        </is>
      </c>
    </row>
    <row r="127" ht="19" customHeight="1">
      <c r="A127" s="6" t="inlineStr">
        <is>
          <t>Singapore</t>
        </is>
      </c>
      <c r="B127" s="6" t="inlineStr">
        <is>
          <t>GDP_Growth</t>
        </is>
      </c>
      <c r="C127" s="10" t="n">
        <v>2023</v>
      </c>
      <c r="D127" s="8" t="n">
        <v>1.45026775889565</v>
      </c>
      <c r="E127" s="8" t="n">
        <v>0.849592657044287</v>
      </c>
      <c r="F127" s="8" t="n">
        <v>0.897012481732378</v>
      </c>
      <c r="G127" s="8" t="n">
        <v>1.47397752699283</v>
      </c>
      <c r="H127" s="8" t="n">
        <v>2.58048836979521</v>
      </c>
      <c r="I127" s="10" t="n">
        <v>1.45026775889118</v>
      </c>
      <c r="J127" s="8" t="n">
        <v>-4.47242243239998e-12</v>
      </c>
      <c r="K127" s="7" t="inlineStr">
        <is>
          <t>Denton-Cholette First-Difference Minimization</t>
        </is>
      </c>
      <c r="L127" s="7" t="inlineStr">
        <is>
          <t>mean(Q1..Q4) == Annual_Growth</t>
        </is>
      </c>
    </row>
    <row r="128" ht="19" customHeight="1">
      <c r="A128" s="6" t="inlineStr">
        <is>
          <t>Singapore</t>
        </is>
      </c>
      <c r="B128" s="6" t="inlineStr">
        <is>
          <t>GDP_Growth</t>
        </is>
      </c>
      <c r="C128" s="10" t="n">
        <v>2024</v>
      </c>
      <c r="D128" s="8" t="n">
        <v>5.3435120192366</v>
      </c>
      <c r="E128" s="8" t="n">
        <v>4.21654611669896</v>
      </c>
      <c r="F128" s="8" t="n">
        <v>5.32175507695791</v>
      </c>
      <c r="G128" s="8" t="n">
        <v>5.89611635581672</v>
      </c>
      <c r="H128" s="8" t="n">
        <v>5.93963052757344</v>
      </c>
      <c r="I128" s="10" t="n">
        <v>5.34351201926176</v>
      </c>
      <c r="J128" s="8" t="n">
        <v>2.51585419164257e-11</v>
      </c>
      <c r="K128" s="7" t="inlineStr">
        <is>
          <t>Denton-Cholette First-Difference Minimization</t>
        </is>
      </c>
      <c r="L128" s="7" t="inlineStr">
        <is>
          <t>mean(Q1..Q4) == Annual_Growth</t>
        </is>
      </c>
    </row>
    <row r="129" ht="19" customHeight="1">
      <c r="A129" s="6" t="inlineStr">
        <is>
          <t>Singapore</t>
        </is>
      </c>
      <c r="B129" s="6" t="inlineStr">
        <is>
          <t>GDP_Growth</t>
        </is>
      </c>
      <c r="C129" s="10" t="n">
        <v>2025</v>
      </c>
      <c r="D129" s="8" t="n">
        <v>5.02588199508003</v>
      </c>
      <c r="E129" s="8" t="n">
        <v>5.45229763577801</v>
      </c>
      <c r="F129" s="8" t="n">
        <v>5.08679839334555</v>
      </c>
      <c r="G129" s="8" t="n">
        <v>4.84313243477706</v>
      </c>
      <c r="H129" s="8" t="n">
        <v>4.72129951644209</v>
      </c>
      <c r="I129" s="10" t="n">
        <v>5.02588199508568</v>
      </c>
      <c r="J129" s="8" t="n">
        <v>5.6488147492928e-12</v>
      </c>
      <c r="K129" s="7" t="inlineStr">
        <is>
          <t>Denton-Cholette First-Difference Minimization</t>
        </is>
      </c>
      <c r="L129" s="7" t="inlineStr">
        <is>
          <t>mean(Q1..Q4) == Annual_Growth</t>
        </is>
      </c>
    </row>
    <row r="130" ht="19" customHeight="1">
      <c r="A130" s="6" t="inlineStr">
        <is>
          <t>Thailand</t>
        </is>
      </c>
      <c r="B130" s="6" t="inlineStr">
        <is>
          <t>GDP_Growth</t>
        </is>
      </c>
      <c r="C130" s="10" t="n">
        <v>2010</v>
      </c>
      <c r="D130" s="8" t="n">
        <v>7.51339053261624</v>
      </c>
      <c r="E130" s="8" t="n">
        <v>9.543645749474861</v>
      </c>
      <c r="F130" s="8" t="n">
        <v>8.731544150001881</v>
      </c>
      <c r="G130" s="8" t="n">
        <v>7.10734013894131</v>
      </c>
      <c r="H130" s="8" t="n">
        <v>4.67103209208628</v>
      </c>
      <c r="I130" s="10" t="n">
        <v>7.51339053262608</v>
      </c>
      <c r="J130" s="8" t="n">
        <v>9.841016890277389e-12</v>
      </c>
      <c r="K130" s="7" t="inlineStr">
        <is>
          <t>Denton-Cholette First-Difference Minimization</t>
        </is>
      </c>
      <c r="L130" s="7" t="inlineStr">
        <is>
          <t>mean(Q1..Q4) == Annual_Growth</t>
        </is>
      </c>
    </row>
    <row r="131" ht="19" customHeight="1">
      <c r="A131" s="6" t="inlineStr">
        <is>
          <t>Thailand</t>
        </is>
      </c>
      <c r="B131" s="6" t="inlineStr">
        <is>
          <t>GDP_Growth</t>
        </is>
      </c>
      <c r="C131" s="10" t="n">
        <v>2011</v>
      </c>
      <c r="D131" s="8" t="n">
        <v>0.840132083053334</v>
      </c>
      <c r="E131" s="8" t="n">
        <v>1.42261757315622</v>
      </c>
      <c r="F131" s="8" t="n">
        <v>-0.10974183588176</v>
      </c>
      <c r="G131" s="8" t="n">
        <v>0.073952332588232</v>
      </c>
      <c r="H131" s="8" t="n">
        <v>1.97370026226952</v>
      </c>
      <c r="I131" s="10" t="n">
        <v>0.840132083033053</v>
      </c>
      <c r="J131" s="8" t="n">
        <v>-2.02808880800376e-11</v>
      </c>
      <c r="K131" s="7" t="inlineStr">
        <is>
          <t>Denton-Cholette First-Difference Minimization</t>
        </is>
      </c>
      <c r="L131" s="7" t="inlineStr">
        <is>
          <t>mean(Q1..Q4) == Annual_Growth</t>
        </is>
      </c>
    </row>
    <row r="132" ht="19" customHeight="1">
      <c r="A132" s="6" t="inlineStr">
        <is>
          <t>Thailand</t>
        </is>
      </c>
      <c r="B132" s="6" t="inlineStr">
        <is>
          <t>GDP_Growth</t>
        </is>
      </c>
      <c r="C132" s="10" t="n">
        <v>2012</v>
      </c>
      <c r="D132" s="8" t="n">
        <v>7.24279620249642</v>
      </c>
      <c r="E132" s="8" t="n">
        <v>5.58950385291192</v>
      </c>
      <c r="F132" s="8" t="n">
        <v>7.69714132599865</v>
      </c>
      <c r="G132" s="8" t="n">
        <v>8.29661478915923</v>
      </c>
      <c r="H132" s="8" t="n">
        <v>7.38792484187505</v>
      </c>
      <c r="I132" s="10" t="n">
        <v>7.24279620248621</v>
      </c>
      <c r="J132" s="8" t="n">
        <v>-1.02104991128726e-11</v>
      </c>
      <c r="K132" s="7" t="inlineStr">
        <is>
          <t>Denton-Cholette First-Difference Minimization</t>
        </is>
      </c>
      <c r="L132" s="7" t="inlineStr">
        <is>
          <t>mean(Q1..Q4) == Annual_Growth</t>
        </is>
      </c>
    </row>
    <row r="133" ht="19" customHeight="1">
      <c r="A133" s="6" t="inlineStr">
        <is>
          <t>Thailand</t>
        </is>
      </c>
      <c r="B133" s="6" t="inlineStr">
        <is>
          <t>GDP_Growth</t>
        </is>
      </c>
      <c r="C133" s="10" t="n">
        <v>2013</v>
      </c>
      <c r="D133" s="8" t="n">
        <v>2.68749556320556</v>
      </c>
      <c r="E133" s="8" t="n">
        <v>4.9710705754534</v>
      </c>
      <c r="F133" s="8" t="n">
        <v>3.09089975038103</v>
      </c>
      <c r="G133" s="8" t="n">
        <v>1.74741048657137</v>
      </c>
      <c r="H133" s="8" t="n">
        <v>0.940601440453837</v>
      </c>
      <c r="I133" s="10" t="n">
        <v>2.68749556321491</v>
      </c>
      <c r="J133" s="8" t="n">
        <v>9.353406937862019e-12</v>
      </c>
      <c r="K133" s="7" t="inlineStr">
        <is>
          <t>Denton-Cholette First-Difference Minimization</t>
        </is>
      </c>
      <c r="L133" s="7" t="inlineStr">
        <is>
          <t>mean(Q1..Q4) == Annual_Growth</t>
        </is>
      </c>
    </row>
    <row r="134" ht="19" customHeight="1">
      <c r="A134" s="6" t="inlineStr">
        <is>
          <t>Thailand</t>
        </is>
      </c>
      <c r="B134" s="6" t="inlineStr">
        <is>
          <t>GDP_Growth</t>
        </is>
      </c>
      <c r="C134" s="10" t="n">
        <v>2014</v>
      </c>
      <c r="D134" s="8" t="n">
        <v>0.984468863619426</v>
      </c>
      <c r="E134" s="8" t="n">
        <v>0.670471805257575</v>
      </c>
      <c r="F134" s="8" t="n">
        <v>0.6880187369706759</v>
      </c>
      <c r="G134" s="8" t="n">
        <v>0.993242253190631</v>
      </c>
      <c r="H134" s="8" t="n">
        <v>1.58614265903408</v>
      </c>
      <c r="I134" s="10" t="n">
        <v>0.98446886361324</v>
      </c>
      <c r="J134" s="8" t="n">
        <v>-6.18616269321137e-12</v>
      </c>
      <c r="K134" s="7" t="inlineStr">
        <is>
          <t>Denton-Cholette First-Difference Minimization</t>
        </is>
      </c>
      <c r="L134" s="7" t="inlineStr">
        <is>
          <t>mean(Q1..Q4) == Annual_Growth</t>
        </is>
      </c>
    </row>
    <row r="135" ht="19" customHeight="1">
      <c r="A135" s="6" t="inlineStr">
        <is>
          <t>Thailand</t>
        </is>
      </c>
      <c r="B135" s="6" t="inlineStr">
        <is>
          <t>GDP_Growth</t>
        </is>
      </c>
      <c r="C135" s="10" t="n">
        <v>2015</v>
      </c>
      <c r="D135" s="8" t="n">
        <v>3.13404724911635</v>
      </c>
      <c r="E135" s="8" t="n">
        <v>2.46672054749996</v>
      </c>
      <c r="F135" s="8" t="n">
        <v>3.08588210007009</v>
      </c>
      <c r="G135" s="8" t="n">
        <v>3.44362793596513</v>
      </c>
      <c r="H135" s="8" t="n">
        <v>3.53995841292426</v>
      </c>
      <c r="I135" s="10" t="n">
        <v>3.13404724911486</v>
      </c>
      <c r="J135" s="8" t="n">
        <v>-1.48947520983711e-12</v>
      </c>
      <c r="K135" s="7" t="inlineStr">
        <is>
          <t>Denton-Cholette First-Difference Minimization</t>
        </is>
      </c>
      <c r="L135" s="7" t="inlineStr">
        <is>
          <t>mean(Q1..Q4) == Annual_Growth</t>
        </is>
      </c>
    </row>
    <row r="136" ht="19" customHeight="1">
      <c r="A136" s="6" t="inlineStr">
        <is>
          <t>Thailand</t>
        </is>
      </c>
      <c r="B136" s="6" t="inlineStr">
        <is>
          <t>GDP_Growth</t>
        </is>
      </c>
      <c r="C136" s="10" t="n">
        <v>2016</v>
      </c>
      <c r="D136" s="8" t="n">
        <v>3.43515771692182</v>
      </c>
      <c r="E136" s="8" t="n">
        <v>3.37487362724199</v>
      </c>
      <c r="F136" s="8" t="n">
        <v>3.33295335747748</v>
      </c>
      <c r="G136" s="8" t="n">
        <v>3.41419756173629</v>
      </c>
      <c r="H136" s="8" t="n">
        <v>3.61860632123303</v>
      </c>
      <c r="I136" s="10" t="n">
        <v>3.4351577169222</v>
      </c>
      <c r="J136" s="8" t="n">
        <v>3.77031739162703e-13</v>
      </c>
      <c r="K136" s="7" t="inlineStr">
        <is>
          <t>Denton-Cholette First-Difference Minimization</t>
        </is>
      </c>
      <c r="L136" s="7" t="inlineStr">
        <is>
          <t>mean(Q1..Q4) == Annual_Growth</t>
        </is>
      </c>
    </row>
    <row r="137" ht="19" customHeight="1">
      <c r="A137" s="6" t="inlineStr">
        <is>
          <t>Thailand</t>
        </is>
      </c>
      <c r="B137" s="6" t="inlineStr">
        <is>
          <t>GDP_Growth</t>
        </is>
      </c>
      <c r="C137" s="10" t="n">
        <v>2017</v>
      </c>
      <c r="D137" s="8" t="n">
        <v>4.1776810321001</v>
      </c>
      <c r="E137" s="8" t="n">
        <v>3.94617984040939</v>
      </c>
      <c r="F137" s="8" t="n">
        <v>4.16980962330552</v>
      </c>
      <c r="G137" s="8" t="n">
        <v>4.28949589363712</v>
      </c>
      <c r="H137" s="8" t="n">
        <v>4.30523877103641</v>
      </c>
      <c r="I137" s="10" t="n">
        <v>4.17768103209711</v>
      </c>
      <c r="J137" s="8" t="n">
        <v>-2.98605584703182e-12</v>
      </c>
      <c r="K137" s="7" t="inlineStr">
        <is>
          <t>Denton-Cholette First-Difference Minimization</t>
        </is>
      </c>
      <c r="L137" s="7" t="inlineStr">
        <is>
          <t>mean(Q1..Q4) == Annual_Growth</t>
        </is>
      </c>
    </row>
    <row r="138" ht="19" customHeight="1">
      <c r="A138" s="6" t="inlineStr">
        <is>
          <t>Thailand</t>
        </is>
      </c>
      <c r="B138" s="6" t="inlineStr">
        <is>
          <t>GDP_Growth</t>
        </is>
      </c>
      <c r="C138" s="10" t="n">
        <v>2018</v>
      </c>
      <c r="D138" s="8" t="n">
        <v>4.22287028746071</v>
      </c>
      <c r="E138" s="8" t="n">
        <v>4.21703827126297</v>
      </c>
      <c r="F138" s="8" t="n">
        <v>4.18409088874726</v>
      </c>
      <c r="G138" s="8" t="n">
        <v>4.20639659063961</v>
      </c>
      <c r="H138" s="8" t="n">
        <v>4.28395539912249</v>
      </c>
      <c r="I138" s="10" t="n">
        <v>4.22287028744308</v>
      </c>
      <c r="J138" s="8" t="n">
        <v>-1.76241243821096e-11</v>
      </c>
      <c r="K138" s="7" t="inlineStr">
        <is>
          <t>Denton-Cholette First-Difference Minimization</t>
        </is>
      </c>
      <c r="L138" s="7" t="inlineStr">
        <is>
          <t>mean(Q1..Q4) == Annual_Growth</t>
        </is>
      </c>
    </row>
    <row r="139" ht="19" customHeight="1">
      <c r="A139" s="6" t="inlineStr">
        <is>
          <t>Thailand</t>
        </is>
      </c>
      <c r="B139" s="6" t="inlineStr">
        <is>
          <t>GDP_Growth</t>
        </is>
      </c>
      <c r="C139" s="10" t="n">
        <v>2019</v>
      </c>
      <c r="D139" s="8" t="n">
        <v>2.11455779628278</v>
      </c>
      <c r="E139" s="8" t="n">
        <v>4.41676739186116</v>
      </c>
      <c r="F139" s="8" t="n">
        <v>3.54900888465558</v>
      </c>
      <c r="G139" s="8" t="n">
        <v>1.68067900974297</v>
      </c>
      <c r="H139" s="8" t="n">
        <v>-1.18822410119282</v>
      </c>
      <c r="I139" s="10" t="n">
        <v>2.11455779626672</v>
      </c>
      <c r="J139" s="8" t="n">
        <v>-1.60613744526472e-11</v>
      </c>
      <c r="K139" s="7" t="inlineStr">
        <is>
          <t>Denton-Cholette First-Difference Minimization</t>
        </is>
      </c>
      <c r="L139" s="7" t="inlineStr">
        <is>
          <t>mean(Q1..Q4) == Annual_Growth</t>
        </is>
      </c>
    </row>
    <row r="140" ht="19" customHeight="1">
      <c r="A140" s="6" t="inlineStr">
        <is>
          <t>Thailand</t>
        </is>
      </c>
      <c r="B140" s="6" t="inlineStr">
        <is>
          <t>GDP_Growth</t>
        </is>
      </c>
      <c r="C140" s="10" t="n">
        <v>2020</v>
      </c>
      <c r="D140" s="8" t="n">
        <v>-6.09306312966953</v>
      </c>
      <c r="E140" s="8" t="n">
        <v>-5.05770331701174</v>
      </c>
      <c r="F140" s="8" t="n">
        <v>-7.01963813823928</v>
      </c>
      <c r="G140" s="8" t="n">
        <v>-7.07403052664047</v>
      </c>
      <c r="H140" s="8" t="n">
        <v>-5.22088053675657</v>
      </c>
      <c r="I140" s="10" t="n">
        <v>-6.09306312966201</v>
      </c>
      <c r="J140" s="8" t="n">
        <v>7.51754214434186e-12</v>
      </c>
      <c r="K140" s="7" t="inlineStr">
        <is>
          <t>Denton-Cholette First-Difference Minimization</t>
        </is>
      </c>
      <c r="L140" s="7" t="inlineStr">
        <is>
          <t>mean(Q1..Q4) == Annual_Growth</t>
        </is>
      </c>
    </row>
    <row r="141" ht="19" customHeight="1">
      <c r="A141" s="6" t="inlineStr">
        <is>
          <t>Thailand</t>
        </is>
      </c>
      <c r="B141" s="6" t="inlineStr">
        <is>
          <t>GDP_Growth</t>
        </is>
      </c>
      <c r="C141" s="10" t="n">
        <v>2021</v>
      </c>
      <c r="D141" s="8" t="n">
        <v>1.55858232076893</v>
      </c>
      <c r="E141" s="8" t="n">
        <v>-1.46018631536726</v>
      </c>
      <c r="F141" s="8" t="n">
        <v>1.25159757664754</v>
      </c>
      <c r="G141" s="8" t="n">
        <v>2.91447385107674</v>
      </c>
      <c r="H141" s="8" t="n">
        <v>3.52844417079948</v>
      </c>
      <c r="I141" s="10" t="n">
        <v>1.55858232078913</v>
      </c>
      <c r="J141" s="8" t="n">
        <v>2.01914041042528e-11</v>
      </c>
      <c r="K141" s="7" t="inlineStr">
        <is>
          <t>Denton-Cholette First-Difference Minimization</t>
        </is>
      </c>
      <c r="L141" s="7" t="inlineStr">
        <is>
          <t>mean(Q1..Q4) == Annual_Growth</t>
        </is>
      </c>
    </row>
    <row r="142" ht="19" customHeight="1">
      <c r="A142" s="6" t="inlineStr">
        <is>
          <t>Thailand</t>
        </is>
      </c>
      <c r="B142" s="6" t="inlineStr">
        <is>
          <t>GDP_Growth</t>
        </is>
      </c>
      <c r="C142" s="10" t="n">
        <v>2022</v>
      </c>
      <c r="D142" s="8" t="n">
        <v>2.63784213566305</v>
      </c>
      <c r="E142" s="8" t="n">
        <v>3.09350914979449</v>
      </c>
      <c r="F142" s="8" t="n">
        <v>2.73726850601738</v>
      </c>
      <c r="G142" s="8" t="n">
        <v>2.45972188316087</v>
      </c>
      <c r="H142" s="8" t="n">
        <v>2.26086900363738</v>
      </c>
      <c r="I142" s="10" t="n">
        <v>2.63784213565253</v>
      </c>
      <c r="J142" s="8" t="n">
        <v>-1.05213615597677e-11</v>
      </c>
      <c r="K142" s="7" t="inlineStr">
        <is>
          <t>Denton-Cholette First-Difference Minimization</t>
        </is>
      </c>
      <c r="L142" s="7" t="inlineStr">
        <is>
          <t>mean(Q1..Q4) == Annual_Growth</t>
        </is>
      </c>
    </row>
    <row r="143" ht="19" customHeight="1">
      <c r="A143" s="6" t="inlineStr">
        <is>
          <t>Thailand</t>
        </is>
      </c>
      <c r="B143" s="6" t="inlineStr">
        <is>
          <t>GDP_Growth</t>
        </is>
      </c>
      <c r="C143" s="10" t="n">
        <v>2023</v>
      </c>
      <c r="D143" s="8" t="n">
        <v>2.24883437970568</v>
      </c>
      <c r="E143" s="8" t="n">
        <v>2.14070966865466</v>
      </c>
      <c r="F143" s="8" t="n">
        <v>2.13589580997897</v>
      </c>
      <c r="G143" s="8" t="n">
        <v>2.2464274227192</v>
      </c>
      <c r="H143" s="8" t="n">
        <v>2.4723046174395</v>
      </c>
      <c r="I143" s="10" t="n">
        <v>2.24883437969808</v>
      </c>
      <c r="J143" s="8" t="n">
        <v>-7.60191909421337e-12</v>
      </c>
      <c r="K143" s="7" t="inlineStr">
        <is>
          <t>Denton-Cholette First-Difference Minimization</t>
        </is>
      </c>
      <c r="L143" s="7" t="inlineStr">
        <is>
          <t>mean(Q1..Q4) == Annual_Growth</t>
        </is>
      </c>
    </row>
    <row r="144" ht="19" customHeight="1">
      <c r="A144" s="6" t="inlineStr">
        <is>
          <t>Thailand</t>
        </is>
      </c>
      <c r="B144" s="6" t="inlineStr">
        <is>
          <t>GDP_Growth</t>
        </is>
      </c>
      <c r="C144" s="10" t="n">
        <v>2024</v>
      </c>
      <c r="D144" s="8" t="n">
        <v>2.94859986593323</v>
      </c>
      <c r="E144" s="8" t="n">
        <v>2.81352762004183</v>
      </c>
      <c r="F144" s="8" t="n">
        <v>3.00404563923615</v>
      </c>
      <c r="G144" s="8" t="n">
        <v>3.04385886562327</v>
      </c>
      <c r="H144" s="8" t="n">
        <v>2.93296733892549</v>
      </c>
      <c r="I144" s="10" t="n">
        <v>2.94859986595669</v>
      </c>
      <c r="J144" s="8" t="n">
        <v>2.34532393506015e-11</v>
      </c>
      <c r="K144" s="7" t="inlineStr">
        <is>
          <t>Denton-Cholette First-Difference Minimization</t>
        </is>
      </c>
      <c r="L144" s="7" t="inlineStr">
        <is>
          <t>mean(Q1..Q4) == Annual_Growth</t>
        </is>
      </c>
    </row>
    <row r="145" ht="19" customHeight="1">
      <c r="A145" s="6" t="inlineStr">
        <is>
          <t>Thailand</t>
        </is>
      </c>
      <c r="B145" s="6" t="inlineStr">
        <is>
          <t>GDP_Growth</t>
        </is>
      </c>
      <c r="C145" s="10" t="n">
        <v>2025</v>
      </c>
      <c r="D145" s="8" t="n">
        <v>2.44247444990198</v>
      </c>
      <c r="E145" s="8" t="n">
        <v>2.67137094833979</v>
      </c>
      <c r="F145" s="8" t="n">
        <v>2.4751738842528</v>
      </c>
      <c r="G145" s="8" t="n">
        <v>2.34437595055628</v>
      </c>
      <c r="H145" s="8" t="n">
        <v>2.2789770164237</v>
      </c>
      <c r="I145" s="10" t="n">
        <v>2.44247444989314</v>
      </c>
      <c r="J145" s="8" t="n">
        <v>-8.835598919176849e-12</v>
      </c>
      <c r="K145" s="7" t="inlineStr">
        <is>
          <t>Denton-Cholette First-Difference Minimization</t>
        </is>
      </c>
      <c r="L145" s="7" t="inlineStr">
        <is>
          <t>mean(Q1..Q4) == Annual_Growth</t>
        </is>
      </c>
    </row>
    <row r="146" ht="19" customHeight="1">
      <c r="A146" s="6" t="inlineStr">
        <is>
          <t>Vietnam</t>
        </is>
      </c>
      <c r="B146" s="6" t="inlineStr">
        <is>
          <t>GDP_Growth</t>
        </is>
      </c>
      <c r="C146" s="10" t="n">
        <v>2010</v>
      </c>
      <c r="D146" s="8" t="n">
        <v>6.42324482239482</v>
      </c>
      <c r="E146" s="8" t="n">
        <v>6.37485477047883</v>
      </c>
      <c r="F146" s="8" t="n">
        <v>6.39421077962517</v>
      </c>
      <c r="G146" s="8" t="n">
        <v>6.43292281728234</v>
      </c>
      <c r="H146" s="8" t="n">
        <v>6.49099092216785</v>
      </c>
      <c r="I146" s="10" t="n">
        <v>6.42324482238855</v>
      </c>
      <c r="J146" s="8" t="n">
        <v>-6.27498053518138e-12</v>
      </c>
      <c r="K146" s="7" t="inlineStr">
        <is>
          <t>Denton-Cholette First-Difference Minimization</t>
        </is>
      </c>
      <c r="L146" s="7" t="inlineStr">
        <is>
          <t>mean(Q1..Q4) == Annual_Growth</t>
        </is>
      </c>
    </row>
    <row r="147" ht="19" customHeight="1">
      <c r="A147" s="6" t="inlineStr">
        <is>
          <t>Vietnam</t>
        </is>
      </c>
      <c r="B147" s="6" t="inlineStr">
        <is>
          <t>GDP_Growth</t>
        </is>
      </c>
      <c r="C147" s="10" t="n">
        <v>2011</v>
      </c>
      <c r="D147" s="8" t="n">
        <v>6.41316889681683</v>
      </c>
      <c r="E147" s="8" t="n">
        <v>6.56841515235233</v>
      </c>
      <c r="F147" s="8" t="n">
        <v>6.53728636861755</v>
      </c>
      <c r="G147" s="8" t="n">
        <v>6.39760453989216</v>
      </c>
      <c r="H147" s="8" t="n">
        <v>6.14936952643489</v>
      </c>
      <c r="I147" s="10" t="n">
        <v>6.41316889682423</v>
      </c>
      <c r="J147" s="8" t="n">
        <v>7.403855306620239e-12</v>
      </c>
      <c r="K147" s="7" t="inlineStr">
        <is>
          <t>Denton-Cholette First-Difference Minimization</t>
        </is>
      </c>
      <c r="L147" s="7" t="inlineStr">
        <is>
          <t>mean(Q1..Q4) == Annual_Growth</t>
        </is>
      </c>
    </row>
    <row r="148" ht="19" customHeight="1">
      <c r="A148" s="6" t="inlineStr">
        <is>
          <t>Vietnam</t>
        </is>
      </c>
      <c r="B148" s="6" t="inlineStr">
        <is>
          <t>GDP_Growth</t>
        </is>
      </c>
      <c r="C148" s="10" t="n">
        <v>2012</v>
      </c>
      <c r="D148" s="8" t="n">
        <v>5.5045447041189</v>
      </c>
      <c r="E148" s="8" t="n">
        <v>5.79258108004786</v>
      </c>
      <c r="F148" s="8" t="n">
        <v>5.53465127020235</v>
      </c>
      <c r="G148" s="8" t="n">
        <v>5.37557983897599</v>
      </c>
      <c r="H148" s="8" t="n">
        <v>5.31536662728997</v>
      </c>
      <c r="I148" s="10" t="n">
        <v>5.50454470412904</v>
      </c>
      <c r="J148" s="8" t="n">
        <v>1.01438857313951e-11</v>
      </c>
      <c r="K148" s="7" t="inlineStr">
        <is>
          <t>Denton-Cholette First-Difference Minimization</t>
        </is>
      </c>
      <c r="L148" s="7" t="inlineStr">
        <is>
          <t>mean(Q1..Q4) == Annual_Growth</t>
        </is>
      </c>
    </row>
    <row r="149" ht="19" customHeight="1">
      <c r="A149" s="6" t="inlineStr">
        <is>
          <t>Vietnam</t>
        </is>
      </c>
      <c r="B149" s="6" t="inlineStr">
        <is>
          <t>GDP_Growth</t>
        </is>
      </c>
      <c r="C149" s="10" t="n">
        <v>2013</v>
      </c>
      <c r="D149" s="8" t="n">
        <v>5.55351081026072</v>
      </c>
      <c r="E149" s="8" t="n">
        <v>5.35401157493402</v>
      </c>
      <c r="F149" s="8" t="n">
        <v>5.44926919483928</v>
      </c>
      <c r="G149" s="8" t="n">
        <v>5.60113958223748</v>
      </c>
      <c r="H149" s="8" t="n">
        <v>5.80962288901283</v>
      </c>
      <c r="I149" s="10" t="n">
        <v>5.5535108102559</v>
      </c>
      <c r="J149" s="8" t="n">
        <v>-4.81392703477468e-12</v>
      </c>
      <c r="K149" s="7" t="inlineStr">
        <is>
          <t>Denton-Cholette First-Difference Minimization</t>
        </is>
      </c>
      <c r="L149" s="7" t="inlineStr">
        <is>
          <t>mean(Q1..Q4) == Annual_Growth</t>
        </is>
      </c>
    </row>
    <row r="150" ht="19" customHeight="1">
      <c r="A150" s="6" t="inlineStr">
        <is>
          <t>Vietnam</t>
        </is>
      </c>
      <c r="B150" s="6" t="inlineStr">
        <is>
          <t>GDP_Growth</t>
        </is>
      </c>
      <c r="C150" s="10" t="n">
        <v>2014</v>
      </c>
      <c r="D150" s="8" t="n">
        <v>6.42224312118567</v>
      </c>
      <c r="E150" s="8" t="n">
        <v>6.07471932364453</v>
      </c>
      <c r="F150" s="8" t="n">
        <v>6.3197672959994</v>
      </c>
      <c r="G150" s="8" t="n">
        <v>6.54476705110965</v>
      </c>
      <c r="H150" s="8" t="n">
        <v>6.74971881398264</v>
      </c>
      <c r="I150" s="10" t="n">
        <v>6.42224312118406</v>
      </c>
      <c r="J150" s="8" t="n">
        <v>-1.61737290227393e-12</v>
      </c>
      <c r="K150" s="7" t="inlineStr">
        <is>
          <t>Denton-Cholette First-Difference Minimization</t>
        </is>
      </c>
      <c r="L150" s="7" t="inlineStr">
        <is>
          <t>mean(Q1..Q4) == Annual_Growth</t>
        </is>
      </c>
    </row>
    <row r="151" ht="19" customHeight="1">
      <c r="A151" s="6" t="inlineStr">
        <is>
          <t>Vietnam</t>
        </is>
      </c>
      <c r="B151" s="6" t="inlineStr">
        <is>
          <t>GDP_Growth</t>
        </is>
      </c>
      <c r="C151" s="10" t="n">
        <v>2015</v>
      </c>
      <c r="D151" s="8" t="n">
        <v>6.98715430598611</v>
      </c>
      <c r="E151" s="8" t="n">
        <v>6.93462278959375</v>
      </c>
      <c r="F151" s="8" t="n">
        <v>7.02959694789713</v>
      </c>
      <c r="G151" s="8" t="n">
        <v>7.03464138387847</v>
      </c>
      <c r="H151" s="8" t="n">
        <v>6.94975610258223</v>
      </c>
      <c r="I151" s="10" t="n">
        <v>6.9871543059879</v>
      </c>
      <c r="J151" s="8" t="n">
        <v>1.78701498043665e-12</v>
      </c>
      <c r="K151" s="7" t="inlineStr">
        <is>
          <t>Denton-Cholette First-Difference Minimization</t>
        </is>
      </c>
      <c r="L151" s="7" t="inlineStr">
        <is>
          <t>mean(Q1..Q4) == Annual_Growth</t>
        </is>
      </c>
    </row>
    <row r="152" ht="19" customHeight="1">
      <c r="A152" s="6" t="inlineStr">
        <is>
          <t>Vietnam</t>
        </is>
      </c>
      <c r="B152" s="6" t="inlineStr">
        <is>
          <t>GDP_Growth</t>
        </is>
      </c>
      <c r="C152" s="10" t="n">
        <v>2016</v>
      </c>
      <c r="D152" s="8" t="n">
        <v>6.69000892660424</v>
      </c>
      <c r="E152" s="8" t="n">
        <v>6.77494101912028</v>
      </c>
      <c r="F152" s="8" t="n">
        <v>6.67104219359155</v>
      </c>
      <c r="G152" s="8" t="n">
        <v>6.63805952209229</v>
      </c>
      <c r="H152" s="8" t="n">
        <v>6.67599297163697</v>
      </c>
      <c r="I152" s="10" t="n">
        <v>6.69000892661027</v>
      </c>
      <c r="J152" s="8" t="n">
        <v>6.036060540282049e-12</v>
      </c>
      <c r="K152" s="7" t="inlineStr">
        <is>
          <t>Denton-Cholette First-Difference Minimization</t>
        </is>
      </c>
      <c r="L152" s="7" t="inlineStr">
        <is>
          <t>mean(Q1..Q4) == Annual_Growth</t>
        </is>
      </c>
    </row>
    <row r="153" ht="19" customHeight="1">
      <c r="A153" s="6" t="inlineStr">
        <is>
          <t>Vietnam</t>
        </is>
      </c>
      <c r="B153" s="6" t="inlineStr">
        <is>
          <t>GDP_Growth</t>
        </is>
      </c>
      <c r="C153" s="10" t="n">
        <v>2017</v>
      </c>
      <c r="D153" s="8" t="n">
        <v>6.94019037359206</v>
      </c>
      <c r="E153" s="8" t="n">
        <v>6.78484258018122</v>
      </c>
      <c r="F153" s="8" t="n">
        <v>6.89052148843344</v>
      </c>
      <c r="G153" s="8" t="n">
        <v>6.99302980208348</v>
      </c>
      <c r="H153" s="8" t="n">
        <v>7.09236762364725</v>
      </c>
      <c r="I153" s="10" t="n">
        <v>6.94019037358635</v>
      </c>
      <c r="J153" s="8" t="n">
        <v>-5.710099060252099e-12</v>
      </c>
      <c r="K153" s="7" t="inlineStr">
        <is>
          <t>Denton-Cholette First-Difference Minimization</t>
        </is>
      </c>
      <c r="L153" s="7" t="inlineStr">
        <is>
          <t>mean(Q1..Q4) == Annual_Growth</t>
        </is>
      </c>
    </row>
    <row r="154" ht="19" customHeight="1">
      <c r="A154" s="6" t="inlineStr">
        <is>
          <t>Vietnam</t>
        </is>
      </c>
      <c r="B154" s="6" t="inlineStr">
        <is>
          <t>GDP_Growth</t>
        </is>
      </c>
      <c r="C154" s="10" t="n">
        <v>2018</v>
      </c>
      <c r="D154" s="8" t="n">
        <v>7.46500685572751</v>
      </c>
      <c r="E154" s="8" t="n">
        <v>7.18853505246549</v>
      </c>
      <c r="F154" s="8" t="n">
        <v>7.33759066546021</v>
      </c>
      <c r="G154" s="8" t="n">
        <v>7.53953461175283</v>
      </c>
      <c r="H154" s="8" t="n">
        <v>7.79436709322134</v>
      </c>
      <c r="I154" s="10" t="n">
        <v>7.46500685572497</v>
      </c>
      <c r="J154" s="8" t="n">
        <v>-2.54107845876206e-12</v>
      </c>
      <c r="K154" s="7" t="inlineStr">
        <is>
          <t>Denton-Cholette First-Difference Minimization</t>
        </is>
      </c>
      <c r="L154" s="7" t="inlineStr">
        <is>
          <t>mean(Q1..Q4) == Annual_Growth</t>
        </is>
      </c>
    </row>
    <row r="155" ht="19" customHeight="1">
      <c r="A155" s="6" t="inlineStr">
        <is>
          <t>Vietnam</t>
        </is>
      </c>
      <c r="B155" s="6" t="inlineStr">
        <is>
          <t>GDP_Growth</t>
        </is>
      </c>
      <c r="C155" s="10" t="n">
        <v>2019</v>
      </c>
      <c r="D155" s="8" t="n">
        <v>7.35926270105006</v>
      </c>
      <c r="E155" s="8" t="n">
        <v>8.102088364728781</v>
      </c>
      <c r="F155" s="8" t="n">
        <v>7.92804674305674</v>
      </c>
      <c r="G155" s="8" t="n">
        <v>7.27224205415414</v>
      </c>
      <c r="H155" s="8" t="n">
        <v>6.13467364222677</v>
      </c>
      <c r="I155" s="10" t="n">
        <v>7.35926270104161</v>
      </c>
      <c r="J155" s="8" t="n">
        <v>-8.45012948502699e-12</v>
      </c>
      <c r="K155" s="7" t="inlineStr">
        <is>
          <t>Denton-Cholette First-Difference Minimization</t>
        </is>
      </c>
      <c r="L155" s="7" t="inlineStr">
        <is>
          <t>mean(Q1..Q4) == Annual_Growth</t>
        </is>
      </c>
    </row>
    <row r="156" ht="19" customHeight="1">
      <c r="A156" s="6" t="inlineStr">
        <is>
          <t>Vietnam</t>
        </is>
      </c>
      <c r="B156" s="6" t="inlineStr">
        <is>
          <t>GDP_Growth</t>
        </is>
      </c>
      <c r="C156" s="10" t="n">
        <v>2020</v>
      </c>
      <c r="D156" s="8" t="n">
        <v>2.86541320912272</v>
      </c>
      <c r="E156" s="8" t="n">
        <v>4.51534036968043</v>
      </c>
      <c r="F156" s="8" t="n">
        <v>3.2076368191325</v>
      </c>
      <c r="G156" s="8" t="n">
        <v>2.21156168287942</v>
      </c>
      <c r="H156" s="8" t="n">
        <v>1.52711396482937</v>
      </c>
      <c r="I156" s="10" t="n">
        <v>2.86541320913043</v>
      </c>
      <c r="J156" s="8" t="n">
        <v>7.70983277220694e-12</v>
      </c>
      <c r="K156" s="7" t="inlineStr">
        <is>
          <t>Denton-Cholette First-Difference Minimization</t>
        </is>
      </c>
      <c r="L156" s="7" t="inlineStr">
        <is>
          <t>mean(Q1..Q4) == Annual_Growth</t>
        </is>
      </c>
    </row>
    <row r="157" ht="19" customHeight="1">
      <c r="A157" s="6" t="inlineStr">
        <is>
          <t>Vietnam</t>
        </is>
      </c>
      <c r="B157" s="6" t="inlineStr">
        <is>
          <t>GDP_Growth</t>
        </is>
      </c>
      <c r="C157" s="10" t="n">
        <v>2021</v>
      </c>
      <c r="D157" s="8" t="n">
        <v>2.55372852648131</v>
      </c>
      <c r="E157" s="8" t="n">
        <v>1.15429298054386</v>
      </c>
      <c r="F157" s="8" t="n">
        <v>1.56493852154016</v>
      </c>
      <c r="G157" s="8" t="n">
        <v>2.75905099844341</v>
      </c>
      <c r="H157" s="8" t="n">
        <v>4.73663160536492</v>
      </c>
      <c r="I157" s="10" t="n">
        <v>2.55372852647309</v>
      </c>
      <c r="J157" s="8" t="n">
        <v>-8.221867631164059e-12</v>
      </c>
      <c r="K157" s="7" t="inlineStr">
        <is>
          <t>Denton-Cholette First-Difference Minimization</t>
        </is>
      </c>
      <c r="L157" s="7" t="inlineStr">
        <is>
          <t>mean(Q1..Q4) == Annual_Growth</t>
        </is>
      </c>
    </row>
    <row r="158" ht="19" customHeight="1">
      <c r="A158" s="6" t="inlineStr">
        <is>
          <t>Vietnam</t>
        </is>
      </c>
      <c r="B158" s="6" t="inlineStr">
        <is>
          <t>GDP_Growth</t>
        </is>
      </c>
      <c r="C158" s="10" t="n">
        <v>2022</v>
      </c>
      <c r="D158" s="8" t="n">
        <v>8.537500412181419</v>
      </c>
      <c r="E158" s="8" t="n">
        <v>7.49768231988464</v>
      </c>
      <c r="F158" s="8" t="n">
        <v>9.01802920649553</v>
      </c>
      <c r="G158" s="8" t="n">
        <v>9.2976737855536</v>
      </c>
      <c r="H158" s="8" t="n">
        <v>8.33661633670841</v>
      </c>
      <c r="I158" s="10" t="n">
        <v>8.537500412160551</v>
      </c>
      <c r="J158" s="8" t="n">
        <v>-2.08686401492741e-11</v>
      </c>
      <c r="K158" s="7" t="inlineStr">
        <is>
          <t>Denton-Cholette First-Difference Minimization</t>
        </is>
      </c>
      <c r="L158" s="7" t="inlineStr">
        <is>
          <t>mean(Q1..Q4) == Annual_Growth</t>
        </is>
      </c>
    </row>
    <row r="159" ht="19" customHeight="1">
      <c r="A159" s="6" t="inlineStr">
        <is>
          <t>Vietnam</t>
        </is>
      </c>
      <c r="B159" s="6" t="inlineStr">
        <is>
          <t>GDP_Growth</t>
        </is>
      </c>
      <c r="C159" s="10" t="n">
        <v>2023</v>
      </c>
      <c r="D159" s="8" t="n">
        <v>4.97865959483225</v>
      </c>
      <c r="E159" s="8" t="n">
        <v>6.13485589887367</v>
      </c>
      <c r="F159" s="8" t="n">
        <v>4.79167378785478</v>
      </c>
      <c r="G159" s="8" t="n">
        <v>4.30706866048041</v>
      </c>
      <c r="H159" s="8" t="n">
        <v>4.68104003211929</v>
      </c>
      <c r="I159" s="10" t="n">
        <v>4.97865959483204</v>
      </c>
      <c r="J159" s="8" t="n">
        <v>-2.1493917756743e-13</v>
      </c>
      <c r="K159" s="7" t="inlineStr">
        <is>
          <t>Denton-Cholette First-Difference Minimization</t>
        </is>
      </c>
      <c r="L159" s="7" t="inlineStr">
        <is>
          <t>mean(Q1..Q4) == Annual_Growth</t>
        </is>
      </c>
    </row>
    <row r="160" ht="19" customHeight="1">
      <c r="A160" s="6" t="inlineStr">
        <is>
          <t>Vietnam</t>
        </is>
      </c>
      <c r="B160" s="6" t="inlineStr">
        <is>
          <t>GDP_Growth</t>
        </is>
      </c>
      <c r="C160" s="10" t="n">
        <v>2024</v>
      </c>
      <c r="D160" s="8" t="n">
        <v>7.03955197123018</v>
      </c>
      <c r="E160" s="8" t="n">
        <v>5.91358827675437</v>
      </c>
      <c r="F160" s="8" t="n">
        <v>6.85699260962352</v>
      </c>
      <c r="G160" s="8" t="n">
        <v>7.51125397410058</v>
      </c>
      <c r="H160" s="8" t="n">
        <v>7.87637302444645</v>
      </c>
      <c r="I160" s="10" t="n">
        <v>7.03955197123123</v>
      </c>
      <c r="J160" s="8" t="n">
        <v>1.04805053524615e-12</v>
      </c>
      <c r="K160" s="7" t="inlineStr">
        <is>
          <t>Denton-Cholette First-Difference Minimization</t>
        </is>
      </c>
      <c r="L160" s="7" t="inlineStr">
        <is>
          <t>mean(Q1..Q4) == Annual_Growth</t>
        </is>
      </c>
    </row>
    <row r="161" ht="19" customHeight="1">
      <c r="A161" s="6" t="inlineStr">
        <is>
          <t>Vietnam</t>
        </is>
      </c>
      <c r="B161" s="6" t="inlineStr">
        <is>
          <t>GDP_Growth</t>
        </is>
      </c>
      <c r="C161" s="10" t="n">
        <v>2025</v>
      </c>
      <c r="D161" s="8" t="n">
        <v>8.01882998978245</v>
      </c>
      <c r="E161" s="8" t="n">
        <v>7.95235012581628</v>
      </c>
      <c r="F161" s="8" t="n">
        <v>8.009332885336979</v>
      </c>
      <c r="G161" s="8" t="n">
        <v>8.047321360050789</v>
      </c>
      <c r="H161" s="8" t="n">
        <v>8.066315587905089</v>
      </c>
      <c r="I161" s="10" t="n">
        <v>8.01882998977729</v>
      </c>
      <c r="J161" s="8" t="n">
        <v>-5.16031661845773e-12</v>
      </c>
      <c r="K161" s="7" t="inlineStr">
        <is>
          <t>Denton-Cholette First-Difference Minimization</t>
        </is>
      </c>
      <c r="L161" s="7" t="inlineStr">
        <is>
          <t>mean(Q1..Q4) == Annual_Growth</t>
        </is>
      </c>
    </row>
    <row r="162" ht="19" customHeight="1">
      <c r="A162" s="6" t="inlineStr">
        <is>
          <t>Brunei</t>
        </is>
      </c>
      <c r="B162" s="7" t="inlineStr">
        <is>
          <t>Money_Growth</t>
        </is>
      </c>
      <c r="C162" s="10" t="n">
        <v>2010</v>
      </c>
      <c r="D162" s="8" t="n">
        <v>4.80704568716595</v>
      </c>
      <c r="E162" s="8" t="n">
        <v>3.01898390622982</v>
      </c>
      <c r="F162" s="8" t="n">
        <v>3.73420818947302</v>
      </c>
      <c r="G162" s="8" t="n">
        <v>5.16465747117585</v>
      </c>
      <c r="H162" s="8" t="n">
        <v>7.31033318181011</v>
      </c>
      <c r="I162" s="10" t="n">
        <v>4.8070456871722</v>
      </c>
      <c r="J162" s="8" t="n">
        <v>6.24567064733128e-12</v>
      </c>
      <c r="K162" s="7" t="inlineStr">
        <is>
          <t>Denton-Cholette First-Difference Minimization</t>
        </is>
      </c>
      <c r="L162" s="7" t="inlineStr">
        <is>
          <t>mean(Q1..Q4) == Annual_Growth</t>
        </is>
      </c>
    </row>
    <row r="163" ht="19" customHeight="1">
      <c r="A163" s="6" t="inlineStr">
        <is>
          <t>Brunei</t>
        </is>
      </c>
      <c r="B163" s="7" t="inlineStr">
        <is>
          <t>Money_Growth</t>
        </is>
      </c>
      <c r="C163" s="10" t="n">
        <v>2011</v>
      </c>
      <c r="D163" s="8" t="n">
        <v>10.0548918063225</v>
      </c>
      <c r="E163" s="8" t="n">
        <v>10.1712374670677</v>
      </c>
      <c r="F163" s="8" t="n">
        <v>11.2690605442687</v>
      </c>
      <c r="G163" s="8" t="n">
        <v>10.6038035112293</v>
      </c>
      <c r="H163" s="8" t="n">
        <v>8.1754657027421</v>
      </c>
      <c r="I163" s="10" t="n">
        <v>10.054891806327</v>
      </c>
      <c r="J163" s="8" t="n">
        <v>4.43201031430362e-12</v>
      </c>
      <c r="K163" s="7" t="inlineStr">
        <is>
          <t>Denton-Cholette First-Difference Minimization</t>
        </is>
      </c>
      <c r="L163" s="7" t="inlineStr">
        <is>
          <t>mean(Q1..Q4) == Annual_Growth</t>
        </is>
      </c>
    </row>
    <row r="164" ht="19" customHeight="1">
      <c r="A164" s="6" t="inlineStr">
        <is>
          <t>Brunei</t>
        </is>
      </c>
      <c r="B164" s="7" t="inlineStr">
        <is>
          <t>Money_Growth</t>
        </is>
      </c>
      <c r="C164" s="10" t="n">
        <v>2012</v>
      </c>
      <c r="D164" s="8" t="n">
        <v>0.899078957511013</v>
      </c>
      <c r="E164" s="8" t="n">
        <v>3.98404469042164</v>
      </c>
      <c r="F164" s="8" t="n">
        <v>1.0734913195324</v>
      </c>
      <c r="G164" s="8" t="n">
        <v>-0.556197320477498</v>
      </c>
      <c r="H164" s="8" t="n">
        <v>-0.905022859356739</v>
      </c>
      <c r="I164" s="10" t="n">
        <v>0.89907895752995</v>
      </c>
      <c r="J164" s="8" t="n">
        <v>1.89371851533338e-11</v>
      </c>
      <c r="K164" s="7" t="inlineStr">
        <is>
          <t>Denton-Cholette First-Difference Minimization</t>
        </is>
      </c>
      <c r="L164" s="7" t="inlineStr">
        <is>
          <t>mean(Q1..Q4) == Annual_Growth</t>
        </is>
      </c>
    </row>
    <row r="165" ht="19" customHeight="1">
      <c r="A165" s="6" t="inlineStr">
        <is>
          <t>Brunei</t>
        </is>
      </c>
      <c r="B165" s="7" t="inlineStr">
        <is>
          <t>Money_Growth</t>
        </is>
      </c>
      <c r="C165" s="10" t="n">
        <v>2013</v>
      </c>
      <c r="D165" s="8" t="n">
        <v>1.4662689657432</v>
      </c>
      <c r="E165" s="8" t="n">
        <v>0.0270143541576325</v>
      </c>
      <c r="F165" s="8" t="n">
        <v>0.975530608293105</v>
      </c>
      <c r="G165" s="8" t="n">
        <v>1.94052685154965</v>
      </c>
      <c r="H165" s="8" t="n">
        <v>2.92200404895638</v>
      </c>
      <c r="I165" s="10" t="n">
        <v>1.46626896573919</v>
      </c>
      <c r="J165" s="8" t="n">
        <v>-4.01123578797069e-12</v>
      </c>
      <c r="K165" s="7" t="inlineStr">
        <is>
          <t>Denton-Cholette First-Difference Minimization</t>
        </is>
      </c>
      <c r="L165" s="7" t="inlineStr">
        <is>
          <t>mean(Q1..Q4) == Annual_Growth</t>
        </is>
      </c>
    </row>
    <row r="166" ht="19" customHeight="1">
      <c r="A166" s="6" t="inlineStr">
        <is>
          <t>Brunei</t>
        </is>
      </c>
      <c r="B166" s="7" t="inlineStr">
        <is>
          <t>Money_Growth</t>
        </is>
      </c>
      <c r="C166" s="10" t="n">
        <v>2014</v>
      </c>
      <c r="D166" s="8" t="n">
        <v>3.22112611646944</v>
      </c>
      <c r="E166" s="8" t="n">
        <v>3.91996318198423</v>
      </c>
      <c r="F166" s="8" t="n">
        <v>4.03961203700055</v>
      </c>
      <c r="G166" s="8" t="n">
        <v>3.28095073366048</v>
      </c>
      <c r="H166" s="8" t="n">
        <v>1.64397851330274</v>
      </c>
      <c r="I166" s="10" t="n">
        <v>3.221126116487</v>
      </c>
      <c r="J166" s="8" t="n">
        <v>1.75592873574715e-11</v>
      </c>
      <c r="K166" s="7" t="inlineStr">
        <is>
          <t>Denton-Cholette First-Difference Minimization</t>
        </is>
      </c>
      <c r="L166" s="7" t="inlineStr">
        <is>
          <t>mean(Q1..Q4) == Annual_Growth</t>
        </is>
      </c>
    </row>
    <row r="167" ht="19" customHeight="1">
      <c r="A167" s="6" t="inlineStr">
        <is>
          <t>Brunei</t>
        </is>
      </c>
      <c r="B167" s="7" t="inlineStr">
        <is>
          <t>Money_Growth</t>
        </is>
      </c>
      <c r="C167" s="10" t="n">
        <v>2015</v>
      </c>
      <c r="D167" s="8" t="n">
        <v>-1.7593650562943</v>
      </c>
      <c r="E167" s="8" t="n">
        <v>-0.8713062610476759</v>
      </c>
      <c r="F167" s="8" t="n">
        <v>-2.23264312359659</v>
      </c>
      <c r="G167" s="8" t="n">
        <v>-2.44003343571231</v>
      </c>
      <c r="H167" s="8" t="n">
        <v>-1.49347740478541</v>
      </c>
      <c r="I167" s="10" t="n">
        <v>-1.7593650562855</v>
      </c>
      <c r="J167" s="8" t="n">
        <v>8.80562289751197e-12</v>
      </c>
      <c r="K167" s="7" t="inlineStr">
        <is>
          <t>Denton-Cholette First-Difference Minimization</t>
        </is>
      </c>
      <c r="L167" s="7" t="inlineStr">
        <is>
          <t>mean(Q1..Q4) == Annual_Growth</t>
        </is>
      </c>
    </row>
    <row r="168" ht="19" customHeight="1">
      <c r="A168" s="6" t="inlineStr">
        <is>
          <t>Brunei</t>
        </is>
      </c>
      <c r="B168" s="7" t="inlineStr">
        <is>
          <t>Money_Growth</t>
        </is>
      </c>
      <c r="C168" s="10" t="n">
        <v>2016</v>
      </c>
      <c r="D168" s="8" t="n">
        <v>1.50926899284682</v>
      </c>
      <c r="E168" s="8" t="n">
        <v>0.607025915760425</v>
      </c>
      <c r="F168" s="8" t="n">
        <v>1.80812396421194</v>
      </c>
      <c r="G168" s="8" t="n">
        <v>2.10981794166607</v>
      </c>
      <c r="H168" s="8" t="n">
        <v>1.51210814977619</v>
      </c>
      <c r="I168" s="10" t="n">
        <v>1.50926899285366</v>
      </c>
      <c r="J168" s="8" t="n">
        <v>6.84052814392544e-12</v>
      </c>
      <c r="K168" s="7" t="inlineStr">
        <is>
          <t>Denton-Cholette First-Difference Minimization</t>
        </is>
      </c>
      <c r="L168" s="7" t="inlineStr">
        <is>
          <t>mean(Q1..Q4) == Annual_Growth</t>
        </is>
      </c>
    </row>
    <row r="169" ht="19" customHeight="1">
      <c r="A169" s="6" t="inlineStr">
        <is>
          <t>Brunei</t>
        </is>
      </c>
      <c r="B169" s="7" t="inlineStr">
        <is>
          <t>Money_Growth</t>
        </is>
      </c>
      <c r="C169" s="10" t="n">
        <v>2017</v>
      </c>
      <c r="D169" s="8" t="n">
        <v>-0.441585055591851</v>
      </c>
      <c r="E169" s="8" t="n">
        <v>0.0149939908232842</v>
      </c>
      <c r="F169" s="8" t="n">
        <v>-0.76648297213365</v>
      </c>
      <c r="G169" s="8" t="n">
        <v>-0.832323520618285</v>
      </c>
      <c r="H169" s="8" t="n">
        <v>-0.182527720484952</v>
      </c>
      <c r="I169" s="10" t="n">
        <v>-0.441585055603401</v>
      </c>
      <c r="J169" s="8" t="n">
        <v>-1.15495946140243e-11</v>
      </c>
      <c r="K169" s="7" t="inlineStr">
        <is>
          <t>Denton-Cholette First-Difference Minimization</t>
        </is>
      </c>
      <c r="L169" s="7" t="inlineStr">
        <is>
          <t>mean(Q1..Q4) == Annual_Growth</t>
        </is>
      </c>
    </row>
    <row r="170" ht="19" customHeight="1">
      <c r="A170" s="6" t="inlineStr">
        <is>
          <t>Brunei</t>
        </is>
      </c>
      <c r="B170" s="7" t="inlineStr">
        <is>
          <t>Money_Growth</t>
        </is>
      </c>
      <c r="C170" s="10" t="n">
        <v>2018</v>
      </c>
      <c r="D170" s="8" t="n">
        <v>2.83751550037399</v>
      </c>
      <c r="E170" s="8" t="n">
        <v>1.18290507807134</v>
      </c>
      <c r="F170" s="8" t="n">
        <v>2.39092177817785</v>
      </c>
      <c r="G170" s="8" t="n">
        <v>3.44152358778147</v>
      </c>
      <c r="H170" s="8" t="n">
        <v>4.33471155751297</v>
      </c>
      <c r="I170" s="10" t="n">
        <v>2.8375155003859</v>
      </c>
      <c r="J170" s="8" t="n">
        <v>1.19113607865984e-11</v>
      </c>
      <c r="K170" s="7" t="inlineStr">
        <is>
          <t>Denton-Cholette First-Difference Minimization</t>
        </is>
      </c>
      <c r="L170" s="7" t="inlineStr">
        <is>
          <t>mean(Q1..Q4) == Annual_Growth</t>
        </is>
      </c>
    </row>
    <row r="171" ht="19" customHeight="1">
      <c r="A171" s="6" t="inlineStr">
        <is>
          <t>Brunei</t>
        </is>
      </c>
      <c r="B171" s="7" t="inlineStr">
        <is>
          <t>Money_Growth</t>
        </is>
      </c>
      <c r="C171" s="10" t="n">
        <v>2019</v>
      </c>
      <c r="D171" s="8" t="n">
        <v>4.26895996246336</v>
      </c>
      <c r="E171" s="8" t="n">
        <v>5.07048658061605</v>
      </c>
      <c r="F171" s="8" t="n">
        <v>5.04418603193203</v>
      </c>
      <c r="G171" s="8" t="n">
        <v>4.25580988524343</v>
      </c>
      <c r="H171" s="8" t="n">
        <v>2.70535735212878</v>
      </c>
      <c r="I171" s="10" t="n">
        <v>4.26895996248007</v>
      </c>
      <c r="J171" s="8" t="n">
        <v>1.67146296803367e-11</v>
      </c>
      <c r="K171" s="7" t="inlineStr">
        <is>
          <t>Denton-Cholette First-Difference Minimization</t>
        </is>
      </c>
      <c r="L171" s="7" t="inlineStr">
        <is>
          <t>mean(Q1..Q4) == Annual_Growth</t>
        </is>
      </c>
    </row>
    <row r="172" ht="19" customHeight="1">
      <c r="A172" s="6" t="inlineStr">
        <is>
          <t>Brunei</t>
        </is>
      </c>
      <c r="B172" s="7" t="inlineStr">
        <is>
          <t>Money_Growth</t>
        </is>
      </c>
      <c r="C172" s="10" t="n">
        <v>2020</v>
      </c>
      <c r="D172" s="8" t="n">
        <v>-0.429671233653523</v>
      </c>
      <c r="E172" s="8" t="n">
        <v>0.392826882113611</v>
      </c>
      <c r="F172" s="8" t="n">
        <v>-0.861184031037965</v>
      </c>
      <c r="G172" s="8" t="n">
        <v>-1.05667664138249</v>
      </c>
      <c r="H172" s="8" t="n">
        <v>-0.19365114432572</v>
      </c>
      <c r="I172" s="10" t="n">
        <v>-0.429671233658141</v>
      </c>
      <c r="J172" s="8" t="n">
        <v>-4.61819471553326e-12</v>
      </c>
      <c r="K172" s="7" t="inlineStr">
        <is>
          <t>Denton-Cholette First-Difference Minimization</t>
        </is>
      </c>
      <c r="L172" s="7" t="inlineStr">
        <is>
          <t>mean(Q1..Q4) == Annual_Growth</t>
        </is>
      </c>
    </row>
    <row r="173" ht="19" customHeight="1">
      <c r="A173" s="6" t="inlineStr">
        <is>
          <t>Brunei</t>
        </is>
      </c>
      <c r="B173" s="7" t="inlineStr">
        <is>
          <t>Money_Growth</t>
        </is>
      </c>
      <c r="C173" s="10" t="n">
        <v>2021</v>
      </c>
      <c r="D173" s="8" t="n">
        <v>2.70559579960102</v>
      </c>
      <c r="E173" s="8" t="n">
        <v>1.72789332303897</v>
      </c>
      <c r="F173" s="8" t="n">
        <v>2.88759159695277</v>
      </c>
      <c r="G173" s="8" t="n">
        <v>3.28544483706631</v>
      </c>
      <c r="H173" s="8" t="n">
        <v>2.92145344123888</v>
      </c>
      <c r="I173" s="10" t="n">
        <v>2.70559579957423</v>
      </c>
      <c r="J173" s="8" t="n">
        <v>-2.67856847813164e-11</v>
      </c>
      <c r="K173" s="7" t="inlineStr">
        <is>
          <t>Denton-Cholette First-Difference Minimization</t>
        </is>
      </c>
      <c r="L173" s="7" t="inlineStr">
        <is>
          <t>mean(Q1..Q4) == Annual_Growth</t>
        </is>
      </c>
    </row>
    <row r="174" ht="19" customHeight="1">
      <c r="A174" s="6" t="inlineStr">
        <is>
          <t>Brunei</t>
        </is>
      </c>
      <c r="B174" s="7" t="inlineStr">
        <is>
          <t>Money_Growth</t>
        </is>
      </c>
      <c r="C174" s="10" t="n">
        <v>2022</v>
      </c>
      <c r="D174" s="8" t="n">
        <v>1.25150470423448</v>
      </c>
      <c r="E174" s="8" t="n">
        <v>1.7956170454272</v>
      </c>
      <c r="F174" s="8" t="n">
        <v>1.12763783882181</v>
      </c>
      <c r="G174" s="8" t="n">
        <v>0.917515153465986</v>
      </c>
      <c r="H174" s="8" t="n">
        <v>1.16524877923138</v>
      </c>
      <c r="I174" s="10" t="n">
        <v>1.25150470423659</v>
      </c>
      <c r="J174" s="8" t="n">
        <v>2.11808348637987e-12</v>
      </c>
      <c r="K174" s="7" t="inlineStr">
        <is>
          <t>Denton-Cholette First-Difference Minimization</t>
        </is>
      </c>
      <c r="L174" s="7" t="inlineStr">
        <is>
          <t>mean(Q1..Q4) == Annual_Growth</t>
        </is>
      </c>
    </row>
    <row r="175" ht="19" customHeight="1">
      <c r="A175" s="6" t="inlineStr">
        <is>
          <t>Brunei</t>
        </is>
      </c>
      <c r="B175" s="7" t="inlineStr">
        <is>
          <t>Money_Growth</t>
        </is>
      </c>
      <c r="C175" s="10" t="n">
        <v>2023</v>
      </c>
      <c r="D175" s="8" t="n">
        <v>2.68933848962653</v>
      </c>
      <c r="E175" s="8" t="n">
        <v>1.87083896375893</v>
      </c>
      <c r="F175" s="8" t="n">
        <v>2.48047455273909</v>
      </c>
      <c r="G175" s="8" t="n">
        <v>2.99415615568129</v>
      </c>
      <c r="H175" s="8" t="n">
        <v>3.41188428631623</v>
      </c>
      <c r="I175" s="10" t="n">
        <v>2.68933848962389</v>
      </c>
      <c r="J175" s="8" t="n">
        <v>-2.63922217413892e-12</v>
      </c>
      <c r="K175" s="7" t="inlineStr">
        <is>
          <t>Denton-Cholette First-Difference Minimization</t>
        </is>
      </c>
      <c r="L175" s="7" t="inlineStr">
        <is>
          <t>mean(Q1..Q4) == Annual_Growth</t>
        </is>
      </c>
    </row>
    <row r="176" ht="19" customHeight="1">
      <c r="A176" s="6" t="inlineStr">
        <is>
          <t>Brunei</t>
        </is>
      </c>
      <c r="B176" s="7" t="inlineStr">
        <is>
          <t>Money_Growth</t>
        </is>
      </c>
      <c r="C176" s="10" t="n">
        <v>2024</v>
      </c>
      <c r="D176" s="8" t="n">
        <v>3.63299941414195</v>
      </c>
      <c r="E176" s="8" t="n">
        <v>3.73365936240846</v>
      </c>
      <c r="F176" s="8" t="n">
        <v>3.82210539266443</v>
      </c>
      <c r="G176" s="8" t="n">
        <v>3.67722246546582</v>
      </c>
      <c r="H176" s="8" t="n">
        <v>3.29901043601712</v>
      </c>
      <c r="I176" s="10" t="n">
        <v>3.63299941413896</v>
      </c>
      <c r="J176" s="8" t="n">
        <v>-2.99671398806822e-12</v>
      </c>
      <c r="K176" s="7" t="inlineStr">
        <is>
          <t>Denton-Cholette First-Difference Minimization</t>
        </is>
      </c>
      <c r="L176" s="7" t="inlineStr">
        <is>
          <t>mean(Q1..Q4) == Annual_Growth</t>
        </is>
      </c>
    </row>
    <row r="177" ht="19" customHeight="1">
      <c r="A177" s="6" t="inlineStr">
        <is>
          <t>Brunei</t>
        </is>
      </c>
      <c r="B177" s="7" t="inlineStr">
        <is>
          <t>Money_Growth</t>
        </is>
      </c>
      <c r="C177" s="10" t="n">
        <v>2025</v>
      </c>
      <c r="D177" s="8" t="n">
        <v>2.15237090741822</v>
      </c>
      <c r="E177" s="8" t="n">
        <v>2.68746892601114</v>
      </c>
      <c r="F177" s="8" t="n">
        <v>2.22881332861785</v>
      </c>
      <c r="G177" s="8" t="n">
        <v>1.92304318516882</v>
      </c>
      <c r="H177" s="8" t="n">
        <v>1.77015818989957</v>
      </c>
      <c r="I177" s="10" t="n">
        <v>2.15237090742435</v>
      </c>
      <c r="J177" s="8" t="n">
        <v>6.123990203832359e-12</v>
      </c>
      <c r="K177" s="7" t="inlineStr">
        <is>
          <t>Denton-Cholette First-Difference Minimization</t>
        </is>
      </c>
      <c r="L177" s="7" t="inlineStr">
        <is>
          <t>mean(Q1..Q4) == Annual_Growth</t>
        </is>
      </c>
    </row>
    <row r="178" ht="19" customHeight="1">
      <c r="A178" s="6" t="inlineStr">
        <is>
          <t>Cambodia</t>
        </is>
      </c>
      <c r="B178" s="7" t="inlineStr">
        <is>
          <t>Money_Growth</t>
        </is>
      </c>
      <c r="C178" s="10" t="n">
        <v>2010</v>
      </c>
      <c r="D178" s="8" t="n">
        <v>21.1451258810398</v>
      </c>
      <c r="E178" s="8" t="n">
        <v>23.0990939546681</v>
      </c>
      <c r="F178" s="8" t="n">
        <v>22.3175071941695</v>
      </c>
      <c r="G178" s="8" t="n">
        <v>20.7543328916565</v>
      </c>
      <c r="H178" s="8" t="n">
        <v>18.409569483947</v>
      </c>
      <c r="I178" s="10" t="n">
        <v>21.1451258811103</v>
      </c>
      <c r="J178" s="8" t="n">
        <v>7.04574176779715e-11</v>
      </c>
      <c r="K178" s="7" t="inlineStr">
        <is>
          <t>Denton-Cholette First-Difference Minimization</t>
        </is>
      </c>
      <c r="L178" s="7" t="inlineStr">
        <is>
          <t>mean(Q1..Q4) == Annual_Growth</t>
        </is>
      </c>
    </row>
    <row r="179" ht="19" customHeight="1">
      <c r="A179" s="6" t="inlineStr">
        <is>
          <t>Cambodia</t>
        </is>
      </c>
      <c r="B179" s="7" t="inlineStr">
        <is>
          <t>Money_Growth</t>
        </is>
      </c>
      <c r="C179" s="10" t="n">
        <v>2011</v>
      </c>
      <c r="D179" s="8" t="n">
        <v>14.9081758946153</v>
      </c>
      <c r="E179" s="8" t="n">
        <v>15.283214626274</v>
      </c>
      <c r="F179" s="8" t="n">
        <v>13.8826577183028</v>
      </c>
      <c r="G179" s="8" t="n">
        <v>14.2078973592346</v>
      </c>
      <c r="H179" s="8" t="n">
        <v>16.2589338745468</v>
      </c>
      <c r="I179" s="10" t="n">
        <v>14.9081758945895</v>
      </c>
      <c r="J179" s="8" t="n">
        <v>-2.57269761050338e-11</v>
      </c>
      <c r="K179" s="7" t="inlineStr">
        <is>
          <t>Denton-Cholette First-Difference Minimization</t>
        </is>
      </c>
      <c r="L179" s="7" t="inlineStr">
        <is>
          <t>mean(Q1..Q4) == Annual_Growth</t>
        </is>
      </c>
    </row>
    <row r="180" ht="19" customHeight="1">
      <c r="A180" s="6" t="inlineStr">
        <is>
          <t>Cambodia</t>
        </is>
      </c>
      <c r="B180" s="7" t="inlineStr">
        <is>
          <t>Money_Growth</t>
        </is>
      </c>
      <c r="C180" s="10" t="n">
        <v>2012</v>
      </c>
      <c r="D180" s="8" t="n">
        <v>23.8293793587303</v>
      </c>
      <c r="E180" s="8" t="n">
        <v>20.0357693150771</v>
      </c>
      <c r="F180" s="8" t="n">
        <v>23.0639460697668</v>
      </c>
      <c r="G180" s="8" t="n">
        <v>25.3434671661522</v>
      </c>
      <c r="H180" s="8" t="n">
        <v>26.8743348840543</v>
      </c>
      <c r="I180" s="10" t="n">
        <v>23.8293793587626</v>
      </c>
      <c r="J180" s="8" t="n">
        <v>3.23154836223694e-11</v>
      </c>
      <c r="K180" s="7" t="inlineStr">
        <is>
          <t>Denton-Cholette First-Difference Minimization</t>
        </is>
      </c>
      <c r="L180" s="7" t="inlineStr">
        <is>
          <t>mean(Q1..Q4) == Annual_Growth</t>
        </is>
      </c>
    </row>
    <row r="181" ht="19" customHeight="1">
      <c r="A181" s="6" t="inlineStr">
        <is>
          <t>Cambodia</t>
        </is>
      </c>
      <c r="B181" s="7" t="inlineStr">
        <is>
          <t>Money_Growth</t>
        </is>
      </c>
      <c r="C181" s="10" t="n">
        <v>2013</v>
      </c>
      <c r="D181" s="8" t="n">
        <v>22.7643015185903</v>
      </c>
      <c r="E181" s="8" t="n">
        <v>27.6565507543955</v>
      </c>
      <c r="F181" s="8" t="n">
        <v>26.0125384728145</v>
      </c>
      <c r="G181" s="8" t="n">
        <v>21.9422963953873</v>
      </c>
      <c r="H181" s="8" t="n">
        <v>15.4458204518674</v>
      </c>
      <c r="I181" s="10" t="n">
        <v>22.7643015186162</v>
      </c>
      <c r="J181" s="8" t="n">
        <v>2.58637555816676e-11</v>
      </c>
      <c r="K181" s="7" t="inlineStr">
        <is>
          <t>Denton-Cholette First-Difference Minimization</t>
        </is>
      </c>
      <c r="L181" s="7" t="inlineStr">
        <is>
          <t>mean(Q1..Q4) == Annual_Growth</t>
        </is>
      </c>
    </row>
    <row r="182" ht="19" customHeight="1">
      <c r="A182" s="6" t="inlineStr">
        <is>
          <t>Cambodia</t>
        </is>
      </c>
      <c r="B182" s="7" t="inlineStr">
        <is>
          <t>Money_Growth</t>
        </is>
      </c>
      <c r="C182" s="10" t="n">
        <v>2014</v>
      </c>
      <c r="D182" s="8" t="n">
        <v>3.02214259411503</v>
      </c>
      <c r="E182" s="8" t="n">
        <v>6.52310414574023</v>
      </c>
      <c r="F182" s="8" t="n">
        <v>1.55363509216835</v>
      </c>
      <c r="G182" s="8" t="n">
        <v>0.537408321430752</v>
      </c>
      <c r="H182" s="8" t="n">
        <v>3.47442281731236</v>
      </c>
      <c r="I182" s="10" t="n">
        <v>3.02214259416292</v>
      </c>
      <c r="J182" s="8" t="n">
        <v>4.78901363010209e-11</v>
      </c>
      <c r="K182" s="7" t="inlineStr">
        <is>
          <t>Denton-Cholette First-Difference Minimization</t>
        </is>
      </c>
      <c r="L182" s="7" t="inlineStr">
        <is>
          <t>mean(Q1..Q4) == Annual_Growth</t>
        </is>
      </c>
    </row>
    <row r="183" ht="19" customHeight="1">
      <c r="A183" s="6" t="inlineStr">
        <is>
          <t>Cambodia</t>
        </is>
      </c>
      <c r="B183" s="7" t="inlineStr">
        <is>
          <t>Money_Growth</t>
        </is>
      </c>
      <c r="C183" s="10" t="n">
        <v>2015</v>
      </c>
      <c r="D183" s="8" t="n">
        <v>14.9029746661774</v>
      </c>
      <c r="E183" s="8" t="n">
        <v>10.3646815169921</v>
      </c>
      <c r="F183" s="8" t="n">
        <v>14.9361002027361</v>
      </c>
      <c r="G183" s="8" t="n">
        <v>17.1886834459539</v>
      </c>
      <c r="H183" s="8" t="n">
        <v>17.1224334992272</v>
      </c>
      <c r="I183" s="10" t="n">
        <v>14.9029746662273</v>
      </c>
      <c r="J183" s="8" t="n">
        <v>4.99369434692198e-11</v>
      </c>
      <c r="K183" s="7" t="inlineStr">
        <is>
          <t>Denton-Cholette First-Difference Minimization</t>
        </is>
      </c>
      <c r="L183" s="7" t="inlineStr">
        <is>
          <t>mean(Q1..Q4) == Annual_Growth</t>
        </is>
      </c>
    </row>
    <row r="184" ht="19" customHeight="1">
      <c r="A184" s="6" t="inlineStr">
        <is>
          <t>Cambodia</t>
        </is>
      </c>
      <c r="B184" s="7" t="inlineStr">
        <is>
          <t>Money_Growth</t>
        </is>
      </c>
      <c r="C184" s="10" t="n">
        <v>2016</v>
      </c>
      <c r="D184" s="8" t="n">
        <v>14.5829421335259</v>
      </c>
      <c r="E184" s="8" t="n">
        <v>14.7373502961386</v>
      </c>
      <c r="F184" s="8" t="n">
        <v>13.721554120875</v>
      </c>
      <c r="G184" s="8" t="n">
        <v>14.0750439575172</v>
      </c>
      <c r="H184" s="8" t="n">
        <v>15.7978201596259</v>
      </c>
      <c r="I184" s="10" t="n">
        <v>14.5829421335392</v>
      </c>
      <c r="J184" s="8" t="n">
        <v>1.32303057398531e-11</v>
      </c>
      <c r="K184" s="7" t="inlineStr">
        <is>
          <t>Denton-Cholette First-Difference Minimization</t>
        </is>
      </c>
      <c r="L184" s="7" t="inlineStr">
        <is>
          <t>mean(Q1..Q4) == Annual_Growth</t>
        </is>
      </c>
    </row>
    <row r="185" ht="19" customHeight="1">
      <c r="A185" s="6" t="inlineStr">
        <is>
          <t>Cambodia</t>
        </is>
      </c>
      <c r="B185" s="7" t="inlineStr">
        <is>
          <t>Money_Growth</t>
        </is>
      </c>
      <c r="C185" s="10" t="n">
        <v>2017</v>
      </c>
      <c r="D185" s="8" t="n">
        <v>17.908652291789</v>
      </c>
      <c r="E185" s="8" t="n">
        <v>18.8898844498362</v>
      </c>
      <c r="F185" s="8" t="n">
        <v>19.7342171053528</v>
      </c>
      <c r="G185" s="8" t="n">
        <v>18.3308189703234</v>
      </c>
      <c r="H185" s="8" t="n">
        <v>14.6796886416594</v>
      </c>
      <c r="I185" s="10" t="n">
        <v>17.908652291793</v>
      </c>
      <c r="J185" s="8" t="n">
        <v>3.90798504668055e-12</v>
      </c>
      <c r="K185" s="7" t="inlineStr">
        <is>
          <t>Denton-Cholette First-Difference Minimization</t>
        </is>
      </c>
      <c r="L185" s="7" t="inlineStr">
        <is>
          <t>mean(Q1..Q4) == Annual_Growth</t>
        </is>
      </c>
    </row>
    <row r="186" ht="19" customHeight="1">
      <c r="A186" s="6" t="inlineStr">
        <is>
          <t>Cambodia</t>
        </is>
      </c>
      <c r="B186" s="7" t="inlineStr">
        <is>
          <t>Money_Growth</t>
        </is>
      </c>
      <c r="C186" s="10" t="n">
        <v>2018</v>
      </c>
      <c r="D186" s="8" t="n">
        <v>5.52274835434654</v>
      </c>
      <c r="E186" s="8" t="n">
        <v>8.780822467967409</v>
      </c>
      <c r="F186" s="8" t="n">
        <v>5.11804796076195</v>
      </c>
      <c r="G186" s="8" t="n">
        <v>3.69136145745903</v>
      </c>
      <c r="H186" s="8" t="n">
        <v>4.50076153110235</v>
      </c>
      <c r="I186" s="10" t="n">
        <v>5.52274835432269</v>
      </c>
      <c r="J186" s="8" t="n">
        <v>-2.38591368884045e-11</v>
      </c>
      <c r="K186" s="7" t="inlineStr">
        <is>
          <t>Denton-Cholette First-Difference Minimization</t>
        </is>
      </c>
      <c r="L186" s="7" t="inlineStr">
        <is>
          <t>mean(Q1..Q4) == Annual_Growth</t>
        </is>
      </c>
    </row>
    <row r="187" ht="19" customHeight="1">
      <c r="A187" s="6" t="inlineStr">
        <is>
          <t>Cambodia</t>
        </is>
      </c>
      <c r="B187" s="7" t="inlineStr">
        <is>
          <t>Money_Growth</t>
        </is>
      </c>
      <c r="C187" s="10" t="n">
        <v>2019</v>
      </c>
      <c r="D187" s="8" t="n">
        <v>12.833498873342</v>
      </c>
      <c r="E187" s="8" t="n">
        <v>7.54624899120287</v>
      </c>
      <c r="F187" s="8" t="n">
        <v>10.8793422327632</v>
      </c>
      <c r="G187" s="8" t="n">
        <v>14.5000445888556</v>
      </c>
      <c r="H187" s="8" t="n">
        <v>18.4083596802346</v>
      </c>
      <c r="I187" s="10" t="n">
        <v>12.833498873264</v>
      </c>
      <c r="J187" s="8" t="n">
        <v>-7.79127873329344e-11</v>
      </c>
      <c r="K187" s="7" t="inlineStr">
        <is>
          <t>Denton-Cholette First-Difference Minimization</t>
        </is>
      </c>
      <c r="L187" s="7" t="inlineStr">
        <is>
          <t>mean(Q1..Q4) == Annual_Growth</t>
        </is>
      </c>
    </row>
    <row r="188" ht="19" customHeight="1">
      <c r="A188" s="6" t="inlineStr">
        <is>
          <t>Cambodia</t>
        </is>
      </c>
      <c r="B188" s="7" t="inlineStr">
        <is>
          <t>Money_Growth</t>
        </is>
      </c>
      <c r="C188" s="10" t="n">
        <v>2020</v>
      </c>
      <c r="D188" s="8" t="n">
        <v>23.8805918338776</v>
      </c>
      <c r="E188" s="8" t="n">
        <v>22.6042914151632</v>
      </c>
      <c r="F188" s="8" t="n">
        <v>24.7931833827945</v>
      </c>
      <c r="G188" s="8" t="n">
        <v>24.9750377722033</v>
      </c>
      <c r="H188" s="8" t="n">
        <v>23.1498547652124</v>
      </c>
      <c r="I188" s="10" t="n">
        <v>23.8805918338433</v>
      </c>
      <c r="J188" s="8" t="n">
        <v>-3.427302885938839e-11</v>
      </c>
      <c r="K188" s="7" t="inlineStr">
        <is>
          <t>Denton-Cholette First-Difference Minimization</t>
        </is>
      </c>
      <c r="L188" s="7" t="inlineStr">
        <is>
          <t>mean(Q1..Q4) == Annual_Growth</t>
        </is>
      </c>
    </row>
    <row r="189" ht="19" customHeight="1">
      <c r="A189" s="6" t="inlineStr">
        <is>
          <t>Cambodia</t>
        </is>
      </c>
      <c r="B189" s="7" t="inlineStr">
        <is>
          <t>Money_Growth</t>
        </is>
      </c>
      <c r="C189" s="10" t="n">
        <v>2021</v>
      </c>
      <c r="D189" s="8" t="n">
        <v>19.1167360707711</v>
      </c>
      <c r="E189" s="8" t="n">
        <v>19.31763253661</v>
      </c>
      <c r="F189" s="8" t="n">
        <v>17.7043856434876</v>
      </c>
      <c r="G189" s="8" t="n">
        <v>18.3101124727731</v>
      </c>
      <c r="H189" s="8" t="n">
        <v>21.1348136303011</v>
      </c>
      <c r="I189" s="10" t="n">
        <v>19.1167360707929</v>
      </c>
      <c r="J189" s="8" t="n">
        <v>2.18598472656595e-11</v>
      </c>
      <c r="K189" s="7" t="inlineStr">
        <is>
          <t>Denton-Cholette First-Difference Minimization</t>
        </is>
      </c>
      <c r="L189" s="7" t="inlineStr">
        <is>
          <t>mean(Q1..Q4) == Annual_Growth</t>
        </is>
      </c>
    </row>
    <row r="190" ht="19" customHeight="1">
      <c r="A190" s="6" t="inlineStr">
        <is>
          <t>Cambodia</t>
        </is>
      </c>
      <c r="B190" s="7" t="inlineStr">
        <is>
          <t>Money_Growth</t>
        </is>
      </c>
      <c r="C190" s="10" t="n">
        <v>2022</v>
      </c>
      <c r="D190" s="8" t="n">
        <v>30.5917038421641</v>
      </c>
      <c r="E190" s="8" t="n">
        <v>26.1784919404354</v>
      </c>
      <c r="F190" s="8" t="n">
        <v>29.9612462599193</v>
      </c>
      <c r="G190" s="8" t="n">
        <v>32.4830803713547</v>
      </c>
      <c r="H190" s="8" t="n">
        <v>33.7439967966083</v>
      </c>
      <c r="I190" s="10" t="n">
        <v>30.5917038420794</v>
      </c>
      <c r="J190" s="8" t="n">
        <v>-8.471801038467669e-11</v>
      </c>
      <c r="K190" s="7" t="inlineStr">
        <is>
          <t>Denton-Cholette First-Difference Minimization</t>
        </is>
      </c>
      <c r="L190" s="7" t="inlineStr">
        <is>
          <t>mean(Q1..Q4) == Annual_Growth</t>
        </is>
      </c>
    </row>
    <row r="191" ht="19" customHeight="1">
      <c r="A191" s="6" t="inlineStr">
        <is>
          <t>Indonesia</t>
        </is>
      </c>
      <c r="B191" s="7" t="inlineStr">
        <is>
          <t>Money_Growth</t>
        </is>
      </c>
      <c r="C191" s="10" t="n">
        <v>2010</v>
      </c>
      <c r="D191" s="8" t="n">
        <v>15.4022877708819</v>
      </c>
      <c r="E191" s="8" t="n">
        <v>15.0998264547927</v>
      </c>
      <c r="F191" s="8" t="n">
        <v>15.2208109086382</v>
      </c>
      <c r="G191" s="8" t="n">
        <v>15.4627799373259</v>
      </c>
      <c r="H191" s="8" t="n">
        <v>15.8257337827891</v>
      </c>
      <c r="I191" s="10" t="n">
        <v>15.4022877708865</v>
      </c>
      <c r="J191" s="8" t="n">
        <v>4.63096228031645e-12</v>
      </c>
      <c r="K191" s="7" t="inlineStr">
        <is>
          <t>Denton-Cholette First-Difference Minimization</t>
        </is>
      </c>
      <c r="L191" s="7" t="inlineStr">
        <is>
          <t>mean(Q1..Q4) == Annual_Growth</t>
        </is>
      </c>
    </row>
    <row r="192" ht="19" customHeight="1">
      <c r="A192" s="6" t="inlineStr">
        <is>
          <t>Indonesia</t>
        </is>
      </c>
      <c r="B192" s="7" t="inlineStr">
        <is>
          <t>Money_Growth</t>
        </is>
      </c>
      <c r="C192" s="10" t="n">
        <v>2011</v>
      </c>
      <c r="D192" s="8" t="n">
        <v>16.4297838459004</v>
      </c>
      <c r="E192" s="8" t="n">
        <v>16.3096728080309</v>
      </c>
      <c r="F192" s="8" t="n">
        <v>16.5512927367041</v>
      </c>
      <c r="G192" s="8" t="n">
        <v>16.5505938104128</v>
      </c>
      <c r="H192" s="8" t="n">
        <v>16.3075760284961</v>
      </c>
      <c r="I192" s="10" t="n">
        <v>16.429783845911</v>
      </c>
      <c r="J192" s="8" t="n">
        <v>1.06012976175407e-11</v>
      </c>
      <c r="K192" s="7" t="inlineStr">
        <is>
          <t>Denton-Cholette First-Difference Minimization</t>
        </is>
      </c>
      <c r="L192" s="7" t="inlineStr">
        <is>
          <t>mean(Q1..Q4) == Annual_Growth</t>
        </is>
      </c>
    </row>
    <row r="193" ht="19" customHeight="1">
      <c r="A193" s="6" t="inlineStr">
        <is>
          <t>Indonesia</t>
        </is>
      </c>
      <c r="B193" s="7" t="inlineStr">
        <is>
          <t>Money_Growth</t>
        </is>
      </c>
      <c r="C193" s="10" t="n">
        <v>2012</v>
      </c>
      <c r="D193" s="8" t="n">
        <v>14.9549924820176</v>
      </c>
      <c r="E193" s="8" t="n">
        <v>15.8222391479181</v>
      </c>
      <c r="F193" s="8" t="n">
        <v>15.281206005415</v>
      </c>
      <c r="G193" s="8" t="n">
        <v>14.6844760599686</v>
      </c>
      <c r="H193" s="8" t="n">
        <v>14.0320487147958</v>
      </c>
      <c r="I193" s="10" t="n">
        <v>14.9549924820244</v>
      </c>
      <c r="J193" s="8" t="n">
        <v>6.77147227179375e-12</v>
      </c>
      <c r="K193" s="7" t="inlineStr">
        <is>
          <t>Denton-Cholette First-Difference Minimization</t>
        </is>
      </c>
      <c r="L193" s="7" t="inlineStr">
        <is>
          <t>mean(Q1..Q4) == Annual_Growth</t>
        </is>
      </c>
    </row>
    <row r="194" ht="19" customHeight="1">
      <c r="A194" s="6" t="inlineStr">
        <is>
          <t>Indonesia</t>
        </is>
      </c>
      <c r="B194" s="7" t="inlineStr">
        <is>
          <t>Money_Growth</t>
        </is>
      </c>
      <c r="C194" s="10" t="n">
        <v>2013</v>
      </c>
      <c r="D194" s="8" t="n">
        <v>12.7796979445433</v>
      </c>
      <c r="E194" s="8" t="n">
        <v>13.3239233175309</v>
      </c>
      <c r="F194" s="8" t="n">
        <v>12.8229832391727</v>
      </c>
      <c r="G194" s="8" t="n">
        <v>12.5292279788157</v>
      </c>
      <c r="H194" s="8" t="n">
        <v>12.4426572426805</v>
      </c>
      <c r="I194" s="10" t="n">
        <v>12.77969794455</v>
      </c>
      <c r="J194" s="8" t="n">
        <v>6.69508892769954e-12</v>
      </c>
      <c r="K194" s="7" t="inlineStr">
        <is>
          <t>Denton-Cholette First-Difference Minimization</t>
        </is>
      </c>
      <c r="L194" s="7" t="inlineStr">
        <is>
          <t>mean(Q1..Q4) == Annual_Growth</t>
        </is>
      </c>
    </row>
    <row r="195" ht="19" customHeight="1">
      <c r="A195" s="6" t="inlineStr">
        <is>
          <t>Indonesia</t>
        </is>
      </c>
      <c r="B195" s="7" t="inlineStr">
        <is>
          <t>Money_Growth</t>
        </is>
      </c>
      <c r="C195" s="10" t="n">
        <v>2014</v>
      </c>
      <c r="D195" s="8" t="n">
        <v>11.8795193618472</v>
      </c>
      <c r="E195" s="8" t="n">
        <v>12.5632709442088</v>
      </c>
      <c r="F195" s="8" t="n">
        <v>12.3380159390905</v>
      </c>
      <c r="G195" s="8" t="n">
        <v>11.7668920020567</v>
      </c>
      <c r="H195" s="8" t="n">
        <v>10.8498985619906</v>
      </c>
      <c r="I195" s="10" t="n">
        <v>11.8795193618366</v>
      </c>
      <c r="J195" s="8" t="n">
        <v>-1.05693231944315e-11</v>
      </c>
      <c r="K195" s="7" t="inlineStr">
        <is>
          <t>Denton-Cholette First-Difference Minimization</t>
        </is>
      </c>
      <c r="L195" s="7" t="inlineStr">
        <is>
          <t>mean(Q1..Q4) == Annual_Growth</t>
        </is>
      </c>
    </row>
    <row r="196" ht="19" customHeight="1">
      <c r="A196" s="6" t="inlineStr">
        <is>
          <t>Indonesia</t>
        </is>
      </c>
      <c r="B196" s="7" t="inlineStr">
        <is>
          <t>Money_Growth</t>
        </is>
      </c>
      <c r="C196" s="10" t="n">
        <v>2015</v>
      </c>
      <c r="D196" s="8" t="n">
        <v>8.99699007638042</v>
      </c>
      <c r="E196" s="8" t="n">
        <v>9.587034701907729</v>
      </c>
      <c r="F196" s="8" t="n">
        <v>8.84587162608261</v>
      </c>
      <c r="G196" s="8" t="n">
        <v>8.626408593327721</v>
      </c>
      <c r="H196" s="8" t="n">
        <v>8.928645384194279</v>
      </c>
      <c r="I196" s="10" t="n">
        <v>8.99699007637809</v>
      </c>
      <c r="J196" s="8" t="n">
        <v>-2.33768560065073e-12</v>
      </c>
      <c r="K196" s="7" t="inlineStr">
        <is>
          <t>Denton-Cholette First-Difference Minimization</t>
        </is>
      </c>
      <c r="L196" s="7" t="inlineStr">
        <is>
          <t>mean(Q1..Q4) == Annual_Growth</t>
        </is>
      </c>
    </row>
    <row r="197" ht="19" customHeight="1">
      <c r="A197" s="6" t="inlineStr">
        <is>
          <t>Indonesia</t>
        </is>
      </c>
      <c r="B197" s="7" t="inlineStr">
        <is>
          <t>Money_Growth</t>
        </is>
      </c>
      <c r="C197" s="10" t="n">
        <v>2016</v>
      </c>
      <c r="D197" s="8" t="n">
        <v>10.028498820515</v>
      </c>
      <c r="E197" s="8" t="n">
        <v>9.752582300913931</v>
      </c>
      <c r="F197" s="8" t="n">
        <v>10.1925234938782</v>
      </c>
      <c r="G197" s="8" t="n">
        <v>10.2484694029952</v>
      </c>
      <c r="H197" s="8" t="n">
        <v>9.92042008426222</v>
      </c>
      <c r="I197" s="10" t="n">
        <v>10.0284988205124</v>
      </c>
      <c r="J197" s="8" t="n">
        <v>-2.63788990650937e-12</v>
      </c>
      <c r="K197" s="7" t="inlineStr">
        <is>
          <t>Denton-Cholette First-Difference Minimization</t>
        </is>
      </c>
      <c r="L197" s="7" t="inlineStr">
        <is>
          <t>mean(Q1..Q4) == Annual_Growth</t>
        </is>
      </c>
    </row>
    <row r="198" ht="19" customHeight="1">
      <c r="A198" s="6" t="inlineStr">
        <is>
          <t>Indonesia</t>
        </is>
      </c>
      <c r="B198" s="7" t="inlineStr">
        <is>
          <t>Money_Growth</t>
        </is>
      </c>
      <c r="C198" s="10" t="n">
        <v>2017</v>
      </c>
      <c r="D198" s="8" t="n">
        <v>8.27552807924628</v>
      </c>
      <c r="E198" s="8" t="n">
        <v>9.20837520957148</v>
      </c>
      <c r="F198" s="8" t="n">
        <v>8.55041873113203</v>
      </c>
      <c r="G198" s="8" t="n">
        <v>7.94654999100543</v>
      </c>
      <c r="H198" s="8" t="n">
        <v>7.39676838530369</v>
      </c>
      <c r="I198" s="10" t="n">
        <v>8.27552807925316</v>
      </c>
      <c r="J198" s="8" t="n">
        <v>6.874500968478969e-12</v>
      </c>
      <c r="K198" s="7" t="inlineStr">
        <is>
          <t>Denton-Cholette First-Difference Minimization</t>
        </is>
      </c>
      <c r="L198" s="7" t="inlineStr">
        <is>
          <t>mean(Q1..Q4) == Annual_Growth</t>
        </is>
      </c>
    </row>
    <row r="199" ht="19" customHeight="1">
      <c r="A199" s="6" t="inlineStr">
        <is>
          <t>Indonesia</t>
        </is>
      </c>
      <c r="B199" s="7" t="inlineStr">
        <is>
          <t>Money_Growth</t>
        </is>
      </c>
      <c r="C199" s="10" t="n">
        <v>2018</v>
      </c>
      <c r="D199" s="8" t="n">
        <v>6.29028912373828</v>
      </c>
      <c r="E199" s="8" t="n">
        <v>6.90107336424564</v>
      </c>
      <c r="F199" s="8" t="n">
        <v>6.45848187560665</v>
      </c>
      <c r="G199" s="8" t="n">
        <v>6.06899347678964</v>
      </c>
      <c r="H199" s="8" t="n">
        <v>5.73260777830029</v>
      </c>
      <c r="I199" s="10" t="n">
        <v>6.29028912373555</v>
      </c>
      <c r="J199" s="8" t="n">
        <v>-2.73026046215818e-12</v>
      </c>
      <c r="K199" s="7" t="inlineStr">
        <is>
          <t>Denton-Cholette First-Difference Minimization</t>
        </is>
      </c>
      <c r="L199" s="7" t="inlineStr">
        <is>
          <t>mean(Q1..Q4) == Annual_Growth</t>
        </is>
      </c>
    </row>
    <row r="200" ht="19" customHeight="1">
      <c r="A200" s="6" t="inlineStr">
        <is>
          <t>Indonesia</t>
        </is>
      </c>
      <c r="B200" s="7" t="inlineStr">
        <is>
          <t>Money_Growth</t>
        </is>
      </c>
      <c r="C200" s="10" t="n">
        <v>2019</v>
      </c>
      <c r="D200" s="8" t="n">
        <v>6.5404048812978</v>
      </c>
      <c r="E200" s="8" t="n">
        <v>5.44932444377251</v>
      </c>
      <c r="F200" s="8" t="n">
        <v>5.77244306276484</v>
      </c>
      <c r="G200" s="8" t="n">
        <v>6.70196395842294</v>
      </c>
      <c r="H200" s="8" t="n">
        <v>8.23788806023297</v>
      </c>
      <c r="I200" s="10" t="n">
        <v>6.54040488129831</v>
      </c>
      <c r="J200" s="8" t="n">
        <v>5.14255305006373e-13</v>
      </c>
      <c r="K200" s="7" t="inlineStr">
        <is>
          <t>Denton-Cholette First-Difference Minimization</t>
        </is>
      </c>
      <c r="L200" s="7" t="inlineStr">
        <is>
          <t>mean(Q1..Q4) == Annual_Growth</t>
        </is>
      </c>
    </row>
    <row r="201" ht="19" customHeight="1">
      <c r="A201" s="6" t="inlineStr">
        <is>
          <t>Indonesia</t>
        </is>
      </c>
      <c r="B201" s="7" t="inlineStr">
        <is>
          <t>Money_Growth</t>
        </is>
      </c>
      <c r="C201" s="10" t="n">
        <v>2020</v>
      </c>
      <c r="D201" s="8" t="n">
        <v>12.533660872002</v>
      </c>
      <c r="E201" s="8" t="n">
        <v>10.3802169041525</v>
      </c>
      <c r="F201" s="8" t="n">
        <v>12.0985252121044</v>
      </c>
      <c r="G201" s="8" t="n">
        <v>13.3928147023938</v>
      </c>
      <c r="H201" s="8" t="n">
        <v>14.2630866693458</v>
      </c>
      <c r="I201" s="10" t="n">
        <v>12.5336608719991</v>
      </c>
      <c r="J201" s="8" t="n">
        <v>-2.89546164822241e-12</v>
      </c>
      <c r="K201" s="7" t="inlineStr">
        <is>
          <t>Denton-Cholette First-Difference Minimization</t>
        </is>
      </c>
      <c r="L201" s="7" t="inlineStr">
        <is>
          <t>mean(Q1..Q4) == Annual_Growth</t>
        </is>
      </c>
    </row>
    <row r="202" ht="19" customHeight="1">
      <c r="A202" s="6" t="inlineStr">
        <is>
          <t>Indonesia</t>
        </is>
      </c>
      <c r="B202" s="7" t="inlineStr">
        <is>
          <t>Money_Growth</t>
        </is>
      </c>
      <c r="C202" s="10" t="n">
        <v>2021</v>
      </c>
      <c r="D202" s="8" t="n">
        <v>13.9664354665972</v>
      </c>
      <c r="E202" s="8" t="n">
        <v>14.7093419831961</v>
      </c>
      <c r="F202" s="8" t="n">
        <v>14.590681617915</v>
      </c>
      <c r="G202" s="8" t="n">
        <v>13.9071054548686</v>
      </c>
      <c r="H202" s="8" t="n">
        <v>12.6586128104341</v>
      </c>
      <c r="I202" s="10" t="n">
        <v>13.9664354666035</v>
      </c>
      <c r="J202" s="8" t="n">
        <v>6.30429042303149e-12</v>
      </c>
      <c r="K202" s="7" t="inlineStr">
        <is>
          <t>Denton-Cholette First-Difference Minimization</t>
        </is>
      </c>
      <c r="L202" s="7" t="inlineStr">
        <is>
          <t>mean(Q1..Q4) == Annual_Growth</t>
        </is>
      </c>
    </row>
    <row r="203" ht="19" customHeight="1">
      <c r="A203" s="6" t="inlineStr">
        <is>
          <t>Indonesia</t>
        </is>
      </c>
      <c r="B203" s="7" t="inlineStr">
        <is>
          <t>Money_Growth</t>
        </is>
      </c>
      <c r="C203" s="10" t="n">
        <v>2022</v>
      </c>
      <c r="D203" s="8" t="n">
        <v>8.35491255424404</v>
      </c>
      <c r="E203" s="8" t="n">
        <v>10.8452024361399</v>
      </c>
      <c r="F203" s="8" t="n">
        <v>9.123723185222129</v>
      </c>
      <c r="G203" s="8" t="n">
        <v>7.49417333617489</v>
      </c>
      <c r="H203" s="8" t="n">
        <v>5.95655125945665</v>
      </c>
      <c r="I203" s="10" t="n">
        <v>8.354912554248401</v>
      </c>
      <c r="J203" s="8" t="n">
        <v>4.36095604072761e-12</v>
      </c>
      <c r="K203" s="7" t="inlineStr">
        <is>
          <t>Denton-Cholette First-Difference Minimization</t>
        </is>
      </c>
      <c r="L203" s="7" t="inlineStr">
        <is>
          <t>mean(Q1..Q4) == Annual_Growth</t>
        </is>
      </c>
    </row>
    <row r="204" ht="19" customHeight="1">
      <c r="A204" s="6" t="inlineStr">
        <is>
          <t>Indonesia</t>
        </is>
      </c>
      <c r="B204" s="7" t="inlineStr">
        <is>
          <t>Money_Growth</t>
        </is>
      </c>
      <c r="C204" s="10" t="n">
        <v>2023</v>
      </c>
      <c r="D204" s="8" t="n">
        <v>3.5003275285658</v>
      </c>
      <c r="E204" s="8" t="n">
        <v>4.51085541744099</v>
      </c>
      <c r="F204" s="8" t="n">
        <v>3.52836637001981</v>
      </c>
      <c r="G204" s="8" t="n">
        <v>3.00908313467095</v>
      </c>
      <c r="H204" s="8" t="n">
        <v>2.95300519214014</v>
      </c>
      <c r="I204" s="10" t="n">
        <v>3.50032752856797</v>
      </c>
      <c r="J204" s="8" t="n">
        <v>2.17204032537666e-12</v>
      </c>
      <c r="K204" s="7" t="inlineStr">
        <is>
          <t>Denton-Cholette First-Difference Minimization</t>
        </is>
      </c>
      <c r="L204" s="7" t="inlineStr">
        <is>
          <t>mean(Q1..Q4) == Annual_Growth</t>
        </is>
      </c>
    </row>
    <row r="205" ht="19" customHeight="1">
      <c r="A205" s="6" t="inlineStr">
        <is>
          <t>Indonesia</t>
        </is>
      </c>
      <c r="B205" s="7" t="inlineStr">
        <is>
          <t>Money_Growth</t>
        </is>
      </c>
      <c r="C205" s="10" t="n">
        <v>2024</v>
      </c>
      <c r="D205" s="8" t="n">
        <v>4.75950395133225</v>
      </c>
      <c r="E205" s="8" t="n">
        <v>3.36013248633251</v>
      </c>
      <c r="F205" s="8" t="n">
        <v>4.08273159715583</v>
      </c>
      <c r="G205" s="8" t="n">
        <v>5.12080324722909</v>
      </c>
      <c r="H205" s="8" t="n">
        <v>6.47434847462747</v>
      </c>
      <c r="I205" s="10" t="n">
        <v>4.75950395133623</v>
      </c>
      <c r="J205" s="8" t="n">
        <v>3.97992749867626e-12</v>
      </c>
      <c r="K205" s="7" t="inlineStr">
        <is>
          <t>Denton-Cholette First-Difference Minimization</t>
        </is>
      </c>
      <c r="L205" s="7" t="inlineStr">
        <is>
          <t>mean(Q1..Q4) == Annual_Growth</t>
        </is>
      </c>
    </row>
    <row r="206" ht="19" customHeight="1">
      <c r="A206" s="6" t="inlineStr">
        <is>
          <t>Indonesia</t>
        </is>
      </c>
      <c r="B206" s="7" t="inlineStr">
        <is>
          <t>Money_Growth</t>
        </is>
      </c>
      <c r="C206" s="10" t="n">
        <v>2025</v>
      </c>
      <c r="D206" s="8" t="n">
        <v>9.603759080781121</v>
      </c>
      <c r="E206" s="8" t="n">
        <v>8.14336863289212</v>
      </c>
      <c r="F206" s="8" t="n">
        <v>9.395132291197971</v>
      </c>
      <c r="G206" s="8" t="n">
        <v>10.2296407012974</v>
      </c>
      <c r="H206" s="8" t="n">
        <v>10.6468946977447</v>
      </c>
      <c r="I206" s="10" t="n">
        <v>9.60375908078306</v>
      </c>
      <c r="J206" s="8" t="n">
        <v>1.94511073914327e-12</v>
      </c>
      <c r="K206" s="7" t="inlineStr">
        <is>
          <t>Denton-Cholette First-Difference Minimization</t>
        </is>
      </c>
      <c r="L206" s="7" t="inlineStr">
        <is>
          <t>mean(Q1..Q4) == Annual_Growth</t>
        </is>
      </c>
    </row>
    <row r="207" ht="19" customHeight="1">
      <c r="A207" s="6" t="inlineStr">
        <is>
          <t>Laos</t>
        </is>
      </c>
      <c r="B207" s="7" t="inlineStr">
        <is>
          <t>Money_Growth</t>
        </is>
      </c>
      <c r="C207" s="10" t="n">
        <v>2010</v>
      </c>
      <c r="D207" s="8" t="n">
        <v>39.128963871411</v>
      </c>
      <c r="E207" s="8" t="n">
        <v>39.128963871411</v>
      </c>
      <c r="F207" s="8" t="n">
        <v>39.128963871411</v>
      </c>
      <c r="G207" s="8" t="n">
        <v>39.128963871411</v>
      </c>
      <c r="H207" s="8" t="n">
        <v>39.128963871411</v>
      </c>
      <c r="I207" s="10" t="n">
        <v>39.128963871411</v>
      </c>
      <c r="J207" s="8" t="n">
        <v>0</v>
      </c>
      <c r="K207" s="7" t="inlineStr">
        <is>
          <t>Denton-Cholette First-Difference Minimization</t>
        </is>
      </c>
      <c r="L207" s="7" t="inlineStr">
        <is>
          <t>mean(Q1..Q4) == Annual_Growth</t>
        </is>
      </c>
    </row>
    <row r="208" ht="19" customHeight="1">
      <c r="A208" s="6" t="inlineStr">
        <is>
          <t>Malaysia</t>
        </is>
      </c>
      <c r="B208" s="7" t="inlineStr">
        <is>
          <t>Money_Growth</t>
        </is>
      </c>
      <c r="C208" s="10" t="n">
        <v>2010</v>
      </c>
      <c r="D208" s="8" t="n">
        <v>7.34773605081976</v>
      </c>
      <c r="E208" s="8" t="n">
        <v>5.28235609685161</v>
      </c>
      <c r="F208" s="8" t="n">
        <v>6.10850758274527</v>
      </c>
      <c r="G208" s="8" t="n">
        <v>7.76081138069063</v>
      </c>
      <c r="H208" s="8" t="n">
        <v>10.2392691429908</v>
      </c>
      <c r="I208" s="10" t="n">
        <v>7.34773605081957</v>
      </c>
      <c r="J208" s="8" t="n">
        <v>-1.90958360235527e-13</v>
      </c>
      <c r="K208" s="7" t="inlineStr">
        <is>
          <t>Denton-Cholette First-Difference Minimization</t>
        </is>
      </c>
      <c r="L208" s="7" t="inlineStr">
        <is>
          <t>mean(Q1..Q4) == Annual_Growth</t>
        </is>
      </c>
    </row>
    <row r="209" ht="19" customHeight="1">
      <c r="A209" s="6" t="inlineStr">
        <is>
          <t>Malaysia</t>
        </is>
      </c>
      <c r="B209" s="7" t="inlineStr">
        <is>
          <t>Money_Growth</t>
        </is>
      </c>
      <c r="C209" s="10" t="n">
        <v>2011</v>
      </c>
      <c r="D209" s="8" t="n">
        <v>14.6279382858505</v>
      </c>
      <c r="E209" s="8" t="n">
        <v>13.543883348114</v>
      </c>
      <c r="F209" s="8" t="n">
        <v>15.2993502824358</v>
      </c>
      <c r="G209" s="8" t="n">
        <v>15.5056717014273</v>
      </c>
      <c r="H209" s="8" t="n">
        <v>14.1628478114335</v>
      </c>
      <c r="I209" s="10" t="n">
        <v>14.6279382858526</v>
      </c>
      <c r="J209" s="8" t="n">
        <v>2.17426077142591e-12</v>
      </c>
      <c r="K209" s="7" t="inlineStr">
        <is>
          <t>Denton-Cholette First-Difference Minimization</t>
        </is>
      </c>
      <c r="L209" s="7" t="inlineStr">
        <is>
          <t>mean(Q1..Q4) == Annual_Growth</t>
        </is>
      </c>
    </row>
    <row r="210" ht="19" customHeight="1">
      <c r="A210" s="6" t="inlineStr">
        <is>
          <t>Malaysia</t>
        </is>
      </c>
      <c r="B210" s="7" t="inlineStr">
        <is>
          <t>Money_Growth</t>
        </is>
      </c>
      <c r="C210" s="10" t="n">
        <v>2012</v>
      </c>
      <c r="D210" s="8" t="n">
        <v>8.846019728950751</v>
      </c>
      <c r="E210" s="8" t="n">
        <v>11.2708772696359</v>
      </c>
      <c r="F210" s="8" t="n">
        <v>9.144147023482679</v>
      </c>
      <c r="G210" s="8" t="n">
        <v>7.78265494626786</v>
      </c>
      <c r="H210" s="8" t="n">
        <v>7.18639967646048</v>
      </c>
      <c r="I210" s="10" t="n">
        <v>8.84601972896173</v>
      </c>
      <c r="J210" s="8" t="n">
        <v>1.09796616243329e-11</v>
      </c>
      <c r="K210" s="7" t="inlineStr">
        <is>
          <t>Denton-Cholette First-Difference Minimization</t>
        </is>
      </c>
      <c r="L210" s="7" t="inlineStr">
        <is>
          <t>mean(Q1..Q4) == Annual_Growth</t>
        </is>
      </c>
    </row>
    <row r="211" ht="19" customHeight="1">
      <c r="A211" s="6" t="inlineStr">
        <is>
          <t>Malaysia</t>
        </is>
      </c>
      <c r="B211" s="7" t="inlineStr">
        <is>
          <t>Money_Growth</t>
        </is>
      </c>
      <c r="C211" s="10" t="n">
        <v>2013</v>
      </c>
      <c r="D211" s="8" t="n">
        <v>7.39740068231736</v>
      </c>
      <c r="E211" s="8" t="n">
        <v>7.35538061784867</v>
      </c>
      <c r="F211" s="8" t="n">
        <v>7.43978098643436</v>
      </c>
      <c r="G211" s="8" t="n">
        <v>7.43960086667152</v>
      </c>
      <c r="H211" s="8" t="n">
        <v>7.35484025834089</v>
      </c>
      <c r="I211" s="10" t="n">
        <v>7.39740068232386</v>
      </c>
      <c r="J211" s="8" t="n">
        <v>6.497913318526119e-12</v>
      </c>
      <c r="K211" s="7" t="inlineStr">
        <is>
          <t>Denton-Cholette First-Difference Minimization</t>
        </is>
      </c>
      <c r="L211" s="7" t="inlineStr">
        <is>
          <t>mean(Q1..Q4) == Annual_Growth</t>
        </is>
      </c>
    </row>
    <row r="212" ht="19" customHeight="1">
      <c r="A212" s="6" t="inlineStr">
        <is>
          <t>Malaysia</t>
        </is>
      </c>
      <c r="B212" s="7" t="inlineStr">
        <is>
          <t>Money_Growth</t>
        </is>
      </c>
      <c r="C212" s="10" t="n">
        <v>2014</v>
      </c>
      <c r="D212" s="8" t="n">
        <v>6.30404808616764</v>
      </c>
      <c r="E212" s="8" t="n">
        <v>7.18549907669004</v>
      </c>
      <c r="F212" s="8" t="n">
        <v>6.76518244307459</v>
      </c>
      <c r="G212" s="8" t="n">
        <v>6.09388993717384</v>
      </c>
      <c r="H212" s="8" t="n">
        <v>5.17162088771972</v>
      </c>
      <c r="I212" s="10" t="n">
        <v>6.30404808616455</v>
      </c>
      <c r="J212" s="8" t="n">
        <v>-3.09174907897614e-12</v>
      </c>
      <c r="K212" s="7" t="inlineStr">
        <is>
          <t>Denton-Cholette First-Difference Minimization</t>
        </is>
      </c>
      <c r="L212" s="7" t="inlineStr">
        <is>
          <t>mean(Q1..Q4) == Annual_Growth</t>
        </is>
      </c>
    </row>
    <row r="213" ht="19" customHeight="1">
      <c r="A213" s="6" t="inlineStr">
        <is>
          <t>Malaysia</t>
        </is>
      </c>
      <c r="B213" s="7" t="inlineStr">
        <is>
          <t>Money_Growth</t>
        </is>
      </c>
      <c r="C213" s="10" t="n">
        <v>2015</v>
      </c>
      <c r="D213" s="8" t="n">
        <v>3.04353513238196</v>
      </c>
      <c r="E213" s="8" t="n">
        <v>3.99837437237156</v>
      </c>
      <c r="F213" s="8" t="n">
        <v>3.14714046368297</v>
      </c>
      <c r="G213" s="8" t="n">
        <v>2.61791831033497</v>
      </c>
      <c r="H213" s="8" t="n">
        <v>2.41070738311052</v>
      </c>
      <c r="I213" s="10" t="n">
        <v>3.043535132375</v>
      </c>
      <c r="J213" s="8" t="n">
        <v>-6.957989739930779e-12</v>
      </c>
      <c r="K213" s="7" t="inlineStr">
        <is>
          <t>Denton-Cholette First-Difference Minimization</t>
        </is>
      </c>
      <c r="L213" s="7" t="inlineStr">
        <is>
          <t>mean(Q1..Q4) == Annual_Growth</t>
        </is>
      </c>
    </row>
    <row r="214" ht="19" customHeight="1">
      <c r="A214" s="6" t="inlineStr">
        <is>
          <t>Malaysia</t>
        </is>
      </c>
      <c r="B214" s="7" t="inlineStr">
        <is>
          <t>Money_Growth</t>
        </is>
      </c>
      <c r="C214" s="10" t="n">
        <v>2016</v>
      </c>
      <c r="D214" s="8" t="n">
        <v>2.80113360263019</v>
      </c>
      <c r="E214" s="8" t="n">
        <v>2.52550747483262</v>
      </c>
      <c r="F214" s="8" t="n">
        <v>2.68167788041975</v>
      </c>
      <c r="G214" s="8" t="n">
        <v>2.87921875601842</v>
      </c>
      <c r="H214" s="8" t="n">
        <v>3.11813029921527</v>
      </c>
      <c r="I214" s="10" t="n">
        <v>2.80113360262152</v>
      </c>
      <c r="J214" s="8" t="n">
        <v>-8.67217408995202e-12</v>
      </c>
      <c r="K214" s="7" t="inlineStr">
        <is>
          <t>Denton-Cholette First-Difference Minimization</t>
        </is>
      </c>
      <c r="L214" s="7" t="inlineStr">
        <is>
          <t>mean(Q1..Q4) == Annual_Growth</t>
        </is>
      </c>
    </row>
    <row r="215" ht="19" customHeight="1">
      <c r="A215" s="6" t="inlineStr">
        <is>
          <t>Malaysia</t>
        </is>
      </c>
      <c r="B215" s="7" t="inlineStr">
        <is>
          <t>Money_Growth</t>
        </is>
      </c>
      <c r="C215" s="10" t="n">
        <v>2017</v>
      </c>
      <c r="D215" s="8" t="n">
        <v>4.64463909345224</v>
      </c>
      <c r="E215" s="8" t="n">
        <v>3.39841274886436</v>
      </c>
      <c r="F215" s="8" t="n">
        <v>4.00901592823968</v>
      </c>
      <c r="G215" s="8" t="n">
        <v>4.94994044791227</v>
      </c>
      <c r="H215" s="8" t="n">
        <v>6.22118724879111</v>
      </c>
      <c r="I215" s="10" t="n">
        <v>4.64463909345185</v>
      </c>
      <c r="J215" s="8" t="n">
        <v>-3.89022147828655e-13</v>
      </c>
      <c r="K215" s="7" t="inlineStr">
        <is>
          <t>Denton-Cholette First-Difference Minimization</t>
        </is>
      </c>
      <c r="L215" s="7" t="inlineStr">
        <is>
          <t>mean(Q1..Q4) == Annual_Growth</t>
        </is>
      </c>
    </row>
    <row r="216" ht="19" customHeight="1">
      <c r="A216" s="6" t="inlineStr">
        <is>
          <t>Malaysia</t>
        </is>
      </c>
      <c r="B216" s="7" t="inlineStr">
        <is>
          <t>Money_Growth</t>
        </is>
      </c>
      <c r="C216" s="10" t="n">
        <v>2018</v>
      </c>
      <c r="D216" s="8" t="n">
        <v>7.68802391999255</v>
      </c>
      <c r="E216" s="8" t="n">
        <v>7.82275760213973</v>
      </c>
      <c r="F216" s="8" t="n">
        <v>8.40949207876595</v>
      </c>
      <c r="G216" s="8" t="n">
        <v>7.9813912653337</v>
      </c>
      <c r="H216" s="8" t="n">
        <v>6.53845473379567</v>
      </c>
      <c r="I216" s="10" t="n">
        <v>7.68802392000876</v>
      </c>
      <c r="J216" s="8" t="n">
        <v>1.62110325163667e-11</v>
      </c>
      <c r="K216" s="7" t="inlineStr">
        <is>
          <t>Denton-Cholette First-Difference Minimization</t>
        </is>
      </c>
      <c r="L216" s="7" t="inlineStr">
        <is>
          <t>mean(Q1..Q4) == Annual_Growth</t>
        </is>
      </c>
    </row>
    <row r="217" ht="19" customHeight="1">
      <c r="A217" s="6" t="inlineStr">
        <is>
          <t>Malaysia</t>
        </is>
      </c>
      <c r="B217" s="7" t="inlineStr">
        <is>
          <t>Money_Growth</t>
        </is>
      </c>
      <c r="C217" s="10" t="n">
        <v>2019</v>
      </c>
      <c r="D217" s="8" t="n">
        <v>2.6747203213164</v>
      </c>
      <c r="E217" s="8" t="n">
        <v>4.0806810411968</v>
      </c>
      <c r="F217" s="8" t="n">
        <v>2.53518795772236</v>
      </c>
      <c r="G217" s="8" t="n">
        <v>1.90197393788587</v>
      </c>
      <c r="H217" s="8" t="n">
        <v>2.18103834847199</v>
      </c>
      <c r="I217" s="10" t="n">
        <v>2.67472032131926</v>
      </c>
      <c r="J217" s="8" t="n">
        <v>2.8572699761753e-12</v>
      </c>
      <c r="K217" s="7" t="inlineStr">
        <is>
          <t>Denton-Cholette First-Difference Minimization</t>
        </is>
      </c>
      <c r="L217" s="7" t="inlineStr">
        <is>
          <t>mean(Q1..Q4) == Annual_Growth</t>
        </is>
      </c>
    </row>
    <row r="218" ht="19" customHeight="1">
      <c r="A218" s="6" t="inlineStr">
        <is>
          <t>Malaysia</t>
        </is>
      </c>
      <c r="B218" s="7" t="inlineStr">
        <is>
          <t>Money_Growth</t>
        </is>
      </c>
      <c r="C218" s="10" t="n">
        <v>2020</v>
      </c>
      <c r="D218" s="8" t="n">
        <v>4.59324770584526</v>
      </c>
      <c r="E218" s="8" t="n">
        <v>3.37238146853838</v>
      </c>
      <c r="F218" s="8" t="n">
        <v>4.33726475171064</v>
      </c>
      <c r="G218" s="8" t="n">
        <v>5.07568916278353</v>
      </c>
      <c r="H218" s="8" t="n">
        <v>5.58765544034321</v>
      </c>
      <c r="I218" s="10" t="n">
        <v>4.59324770584394</v>
      </c>
      <c r="J218" s="8" t="n">
        <v>-1.32338584535319e-12</v>
      </c>
      <c r="K218" s="7" t="inlineStr">
        <is>
          <t>Denton-Cholette First-Difference Minimization</t>
        </is>
      </c>
      <c r="L218" s="7" t="inlineStr">
        <is>
          <t>mean(Q1..Q4) == Annual_Growth</t>
        </is>
      </c>
    </row>
    <row r="219" ht="19" customHeight="1">
      <c r="A219" s="6" t="inlineStr">
        <is>
          <t>Malaysia</t>
        </is>
      </c>
      <c r="B219" s="7" t="inlineStr">
        <is>
          <t>Money_Growth</t>
        </is>
      </c>
      <c r="C219" s="10" t="n">
        <v>2021</v>
      </c>
      <c r="D219" s="8" t="n">
        <v>5.55903409397077</v>
      </c>
      <c r="E219" s="8" t="n">
        <v>5.87316409622642</v>
      </c>
      <c r="F219" s="8" t="n">
        <v>5.86171559308929</v>
      </c>
      <c r="G219" s="8" t="n">
        <v>5.55330991951024</v>
      </c>
      <c r="H219" s="8" t="n">
        <v>4.94794676703945</v>
      </c>
      <c r="I219" s="10" t="n">
        <v>5.55903409396635</v>
      </c>
      <c r="J219" s="8" t="n">
        <v>-4.41691128116872e-12</v>
      </c>
      <c r="K219" s="7" t="inlineStr">
        <is>
          <t>Denton-Cholette First-Difference Minimization</t>
        </is>
      </c>
      <c r="L219" s="7" t="inlineStr">
        <is>
          <t>mean(Q1..Q4) == Annual_Growth</t>
        </is>
      </c>
    </row>
    <row r="220" ht="19" customHeight="1">
      <c r="A220" s="6" t="inlineStr">
        <is>
          <t>Malaysia</t>
        </is>
      </c>
      <c r="B220" s="7" t="inlineStr">
        <is>
          <t>Money_Growth</t>
        </is>
      </c>
      <c r="C220" s="10" t="n">
        <v>2022</v>
      </c>
      <c r="D220" s="8" t="n">
        <v>3.99701491521236</v>
      </c>
      <c r="E220" s="8" t="n">
        <v>4.04562553034242</v>
      </c>
      <c r="F220" s="8" t="n">
        <v>3.66525292758574</v>
      </c>
      <c r="G220" s="8" t="n">
        <v>3.80682857847977</v>
      </c>
      <c r="H220" s="8" t="n">
        <v>4.47035262455805</v>
      </c>
      <c r="I220" s="10" t="n">
        <v>3.99701491524149</v>
      </c>
      <c r="J220" s="8" t="n">
        <v>2.91358048798429e-11</v>
      </c>
      <c r="K220" s="7" t="inlineStr">
        <is>
          <t>Denton-Cholette First-Difference Minimization</t>
        </is>
      </c>
      <c r="L220" s="7" t="inlineStr">
        <is>
          <t>mean(Q1..Q4) == Annual_Growth</t>
        </is>
      </c>
    </row>
    <row r="221" ht="19" customHeight="1">
      <c r="A221" s="6" t="inlineStr">
        <is>
          <t>Malaysia</t>
        </is>
      </c>
      <c r="B221" s="7" t="inlineStr">
        <is>
          <t>Money_Growth</t>
        </is>
      </c>
      <c r="C221" s="10" t="n">
        <v>2023</v>
      </c>
      <c r="D221" s="8" t="n">
        <v>5.83120097060203</v>
      </c>
      <c r="E221" s="8" t="n">
        <v>5.65582572935345</v>
      </c>
      <c r="F221" s="8" t="n">
        <v>6.20016485971577</v>
      </c>
      <c r="G221" s="8" t="n">
        <v>6.10337055997564</v>
      </c>
      <c r="H221" s="8" t="n">
        <v>5.36544273336041</v>
      </c>
      <c r="I221" s="10" t="n">
        <v>5.83120097060132</v>
      </c>
      <c r="J221" s="8" t="n">
        <v>-7.16759984698001e-13</v>
      </c>
      <c r="K221" s="7" t="inlineStr">
        <is>
          <t>Denton-Cholette First-Difference Minimization</t>
        </is>
      </c>
      <c r="L221" s="7" t="inlineStr">
        <is>
          <t>mean(Q1..Q4) == Annual_Growth</t>
        </is>
      </c>
    </row>
    <row r="222" ht="19" customHeight="1">
      <c r="A222" s="6" t="inlineStr">
        <is>
          <t>Malaysia</t>
        </is>
      </c>
      <c r="B222" s="7" t="inlineStr">
        <is>
          <t>Money_Growth</t>
        </is>
      </c>
      <c r="C222" s="10" t="n">
        <v>2024</v>
      </c>
      <c r="D222" s="8" t="n">
        <v>3.27622539832493</v>
      </c>
      <c r="E222" s="8" t="n">
        <v>3.986380641945</v>
      </c>
      <c r="F222" s="8" t="n">
        <v>3.15069407141987</v>
      </c>
      <c r="G222" s="8" t="n">
        <v>2.85838218612209</v>
      </c>
      <c r="H222" s="8" t="n">
        <v>3.10944469376372</v>
      </c>
      <c r="I222" s="10" t="n">
        <v>3.27622539831267</v>
      </c>
      <c r="J222" s="8" t="n">
        <v>-1.22533094781829e-11</v>
      </c>
      <c r="K222" s="7" t="inlineStr">
        <is>
          <t>Denton-Cholette First-Difference Minimization</t>
        </is>
      </c>
      <c r="L222" s="7" t="inlineStr">
        <is>
          <t>mean(Q1..Q4) == Annual_Growth</t>
        </is>
      </c>
    </row>
    <row r="223" ht="19" customHeight="1">
      <c r="A223" s="6" t="inlineStr">
        <is>
          <t>Malaysia</t>
        </is>
      </c>
      <c r="B223" s="7" t="inlineStr">
        <is>
          <t>Money_Growth</t>
        </is>
      </c>
      <c r="C223" s="10" t="n">
        <v>2025</v>
      </c>
      <c r="D223" s="8" t="n">
        <v>4.59901331025084</v>
      </c>
      <c r="E223" s="8" t="n">
        <v>3.90388184531966</v>
      </c>
      <c r="F223" s="8" t="n">
        <v>4.49970901389798</v>
      </c>
      <c r="G223" s="8" t="n">
        <v>4.89692679523408</v>
      </c>
      <c r="H223" s="8" t="n">
        <v>5.09553558660853</v>
      </c>
      <c r="I223" s="10" t="n">
        <v>4.59901331026506</v>
      </c>
      <c r="J223" s="8" t="n">
        <v>1.42232892130778e-11</v>
      </c>
      <c r="K223" s="7" t="inlineStr">
        <is>
          <t>Denton-Cholette First-Difference Minimization</t>
        </is>
      </c>
      <c r="L223" s="7" t="inlineStr">
        <is>
          <t>mean(Q1..Q4) == Annual_Growth</t>
        </is>
      </c>
    </row>
    <row r="224" ht="19" customHeight="1">
      <c r="A224" s="6" t="inlineStr">
        <is>
          <t>Myanmar</t>
        </is>
      </c>
      <c r="B224" s="7" t="inlineStr">
        <is>
          <t>Money_Growth</t>
        </is>
      </c>
      <c r="C224" s="10" t="n">
        <v>2010</v>
      </c>
      <c r="D224" s="8" t="n">
        <v>42.4997268156954</v>
      </c>
      <c r="E224" s="8" t="n">
        <v>45.4435594495843</v>
      </c>
      <c r="F224" s="8" t="n">
        <v>44.266027102569</v>
      </c>
      <c r="G224" s="8" t="n">
        <v>41.910961231004</v>
      </c>
      <c r="H224" s="8" t="n">
        <v>38.3783594797089</v>
      </c>
      <c r="I224" s="10" t="n">
        <v>42.4997268157165</v>
      </c>
      <c r="J224" s="8" t="n">
        <v>2.1174173525651e-11</v>
      </c>
      <c r="K224" s="7" t="inlineStr">
        <is>
          <t>Denton-Cholette First-Difference Minimization</t>
        </is>
      </c>
      <c r="L224" s="7" t="inlineStr">
        <is>
          <t>mean(Q1..Q4) == Annual_Growth</t>
        </is>
      </c>
    </row>
    <row r="225" ht="19" customHeight="1">
      <c r="A225" s="6" t="inlineStr">
        <is>
          <t>Myanmar</t>
        </is>
      </c>
      <c r="B225" s="7" t="inlineStr">
        <is>
          <t>Money_Growth</t>
        </is>
      </c>
      <c r="C225" s="10" t="n">
        <v>2011</v>
      </c>
      <c r="D225" s="8" t="n">
        <v>30.6013401794564</v>
      </c>
      <c r="E225" s="8" t="n">
        <v>33.6682183163152</v>
      </c>
      <c r="F225" s="8" t="n">
        <v>30.5574119916602</v>
      </c>
      <c r="G225" s="8" t="n">
        <v>29.0459373950388</v>
      </c>
      <c r="H225" s="8" t="n">
        <v>29.1337930147978</v>
      </c>
      <c r="I225" s="10" t="n">
        <v>30.601340179453</v>
      </c>
      <c r="J225" s="8" t="n">
        <v>-3.34665628543007e-12</v>
      </c>
      <c r="K225" s="7" t="inlineStr">
        <is>
          <t>Denton-Cholette First-Difference Minimization</t>
        </is>
      </c>
      <c r="L225" s="7" t="inlineStr">
        <is>
          <t>mean(Q1..Q4) == Annual_Growth</t>
        </is>
      </c>
    </row>
    <row r="226" ht="19" customHeight="1">
      <c r="A226" s="6" t="inlineStr">
        <is>
          <t>Myanmar</t>
        </is>
      </c>
      <c r="B226" s="7" t="inlineStr">
        <is>
          <t>Money_Growth</t>
        </is>
      </c>
      <c r="C226" s="10" t="n">
        <v>2012</v>
      </c>
      <c r="D226" s="8" t="n">
        <v>32.5590169313472</v>
      </c>
      <c r="E226" s="8" t="n">
        <v>30.8209789389848</v>
      </c>
      <c r="F226" s="8" t="n">
        <v>32.1910678522354</v>
      </c>
      <c r="G226" s="8" t="n">
        <v>33.2440611248187</v>
      </c>
      <c r="H226" s="8" t="n">
        <v>33.9799598094624</v>
      </c>
      <c r="I226" s="10" t="n">
        <v>32.5590169313753</v>
      </c>
      <c r="J226" s="8" t="n">
        <v>2.8066438062524e-11</v>
      </c>
      <c r="K226" s="7" t="inlineStr">
        <is>
          <t>Denton-Cholette First-Difference Minimization</t>
        </is>
      </c>
      <c r="L226" s="7" t="inlineStr">
        <is>
          <t>mean(Q1..Q4) == Annual_Growth</t>
        </is>
      </c>
    </row>
    <row r="227" ht="19" customHeight="1">
      <c r="A227" s="6" t="inlineStr">
        <is>
          <t>Myanmar</t>
        </is>
      </c>
      <c r="B227" s="7" t="inlineStr">
        <is>
          <t>Money_Growth</t>
        </is>
      </c>
      <c r="C227" s="10" t="n">
        <v>2013</v>
      </c>
      <c r="D227" s="8" t="n">
        <v>31.4251476008941</v>
      </c>
      <c r="E227" s="8" t="n">
        <v>34.3987646423335</v>
      </c>
      <c r="F227" s="8" t="n">
        <v>33.3768404139153</v>
      </c>
      <c r="G227" s="8" t="n">
        <v>30.9141861022378</v>
      </c>
      <c r="H227" s="8" t="n">
        <v>27.0107992448688</v>
      </c>
      <c r="I227" s="10" t="n">
        <v>31.4251476008388</v>
      </c>
      <c r="J227" s="8" t="n">
        <v>-5.52518031327054e-11</v>
      </c>
      <c r="K227" s="7" t="inlineStr">
        <is>
          <t>Denton-Cholette First-Difference Minimization</t>
        </is>
      </c>
      <c r="L227" s="7" t="inlineStr">
        <is>
          <t>mean(Q1..Q4) == Annual_Growth</t>
        </is>
      </c>
    </row>
    <row r="228" ht="19" customHeight="1">
      <c r="A228" s="6" t="inlineStr">
        <is>
          <t>Myanmar</t>
        </is>
      </c>
      <c r="B228" s="7" t="inlineStr">
        <is>
          <t>Money_Growth</t>
        </is>
      </c>
      <c r="C228" s="10" t="n">
        <v>2014</v>
      </c>
      <c r="D228" s="8" t="n">
        <v>20.956889978489</v>
      </c>
      <c r="E228" s="8" t="n">
        <v>21.6666759382661</v>
      </c>
      <c r="F228" s="8" t="n">
        <v>19.2451131501825</v>
      </c>
      <c r="G228" s="8" t="n">
        <v>19.7461084591895</v>
      </c>
      <c r="H228" s="8" t="n">
        <v>23.169662366322</v>
      </c>
      <c r="I228" s="10" t="n">
        <v>20.95688997849</v>
      </c>
      <c r="J228" s="8" t="n">
        <v>1.01252339845814e-12</v>
      </c>
      <c r="K228" s="7" t="inlineStr">
        <is>
          <t>Denton-Cholette First-Difference Minimization</t>
        </is>
      </c>
      <c r="L228" s="7" t="inlineStr">
        <is>
          <t>mean(Q1..Q4) == Annual_Growth</t>
        </is>
      </c>
    </row>
    <row r="229" ht="19" customHeight="1">
      <c r="A229" s="6" t="inlineStr">
        <is>
          <t>Myanmar</t>
        </is>
      </c>
      <c r="B229" s="7" t="inlineStr">
        <is>
          <t>Money_Growth</t>
        </is>
      </c>
      <c r="C229" s="10" t="n">
        <v>2015</v>
      </c>
      <c r="D229" s="8" t="n">
        <v>30.6729173899543</v>
      </c>
      <c r="E229" s="8" t="n">
        <v>29.5157782950282</v>
      </c>
      <c r="F229" s="8" t="n">
        <v>32.5170791383287</v>
      </c>
      <c r="G229" s="8" t="n">
        <v>32.1735678974986</v>
      </c>
      <c r="H229" s="8" t="n">
        <v>28.4852442289553</v>
      </c>
      <c r="I229" s="10" t="n">
        <v>30.6729173899527</v>
      </c>
      <c r="J229" s="8" t="n">
        <v>-1.64135371960583e-12</v>
      </c>
      <c r="K229" s="7" t="inlineStr">
        <is>
          <t>Denton-Cholette First-Difference Minimization</t>
        </is>
      </c>
      <c r="L229" s="7" t="inlineStr">
        <is>
          <t>mean(Q1..Q4) == Annual_Growth</t>
        </is>
      </c>
    </row>
    <row r="230" ht="19" customHeight="1">
      <c r="A230" s="6" t="inlineStr">
        <is>
          <t>Myanmar</t>
        </is>
      </c>
      <c r="B230" s="7" t="inlineStr">
        <is>
          <t>Money_Growth</t>
        </is>
      </c>
      <c r="C230" s="10" t="n">
        <v>2016</v>
      </c>
      <c r="D230" s="8" t="n">
        <v>17.4488737254922</v>
      </c>
      <c r="E230" s="8" t="n">
        <v>21.4521044444896</v>
      </c>
      <c r="F230" s="8" t="n">
        <v>17.0375581885046</v>
      </c>
      <c r="G230" s="8" t="n">
        <v>15.2416010464976</v>
      </c>
      <c r="H230" s="8" t="n">
        <v>16.0642312223305</v>
      </c>
      <c r="I230" s="10" t="n">
        <v>17.4488737254556</v>
      </c>
      <c r="J230" s="8" t="n">
        <v>-3.6596503605324e-11</v>
      </c>
      <c r="K230" s="7" t="inlineStr">
        <is>
          <t>Denton-Cholette First-Difference Minimization</t>
        </is>
      </c>
      <c r="L230" s="7" t="inlineStr">
        <is>
          <t>mean(Q1..Q4) == Annual_Growth</t>
        </is>
      </c>
    </row>
    <row r="231" ht="19" customHeight="1">
      <c r="A231" s="6" t="inlineStr">
        <is>
          <t>Myanmar</t>
        </is>
      </c>
      <c r="B231" s="7" t="inlineStr">
        <is>
          <t>Money_Growth</t>
        </is>
      </c>
      <c r="C231" s="10" t="n">
        <v>2017</v>
      </c>
      <c r="D231" s="8" t="n">
        <v>20.5424223479744</v>
      </c>
      <c r="E231" s="8" t="n">
        <v>19.5054495389001</v>
      </c>
      <c r="F231" s="8" t="n">
        <v>21.2967252584684</v>
      </c>
      <c r="G231" s="8" t="n">
        <v>21.4380601725076</v>
      </c>
      <c r="H231" s="8" t="n">
        <v>19.9294544222562</v>
      </c>
      <c r="I231" s="10" t="n">
        <v>20.5424223480331</v>
      </c>
      <c r="J231" s="8" t="n">
        <v>5.869082997378429e-11</v>
      </c>
      <c r="K231" s="7" t="inlineStr">
        <is>
          <t>Denton-Cholette First-Difference Minimization</t>
        </is>
      </c>
      <c r="L231" s="7" t="inlineStr">
        <is>
          <t>mean(Q1..Q4) == Annual_Growth</t>
        </is>
      </c>
    </row>
    <row r="232" ht="19" customHeight="1">
      <c r="A232" s="6" t="inlineStr">
        <is>
          <t>Myanmar</t>
        </is>
      </c>
      <c r="B232" s="7" t="inlineStr">
        <is>
          <t>Money_Growth</t>
        </is>
      </c>
      <c r="C232" s="10" t="n">
        <v>2018</v>
      </c>
      <c r="D232" s="8" t="n">
        <v>14.5703142669963</v>
      </c>
      <c r="E232" s="8" t="n">
        <v>16.77090649898</v>
      </c>
      <c r="F232" s="8" t="n">
        <v>14.6272514072926</v>
      </c>
      <c r="G232" s="8" t="n">
        <v>13.4984870033038</v>
      </c>
      <c r="H232" s="8" t="n">
        <v>13.3846121583141</v>
      </c>
      <c r="I232" s="10" t="n">
        <v>14.5703142669726</v>
      </c>
      <c r="J232" s="8" t="n">
        <v>-2.36983765944387e-11</v>
      </c>
      <c r="K232" s="7" t="inlineStr">
        <is>
          <t>Denton-Cholette First-Difference Minimization</t>
        </is>
      </c>
      <c r="L232" s="7" t="inlineStr">
        <is>
          <t>mean(Q1..Q4) == Annual_Growth</t>
        </is>
      </c>
    </row>
    <row r="233" ht="19" customHeight="1">
      <c r="A233" s="6" t="inlineStr">
        <is>
          <t>Myanmar</t>
        </is>
      </c>
      <c r="B233" s="7" t="inlineStr">
        <is>
          <t>Money_Growth</t>
        </is>
      </c>
      <c r="C233" s="10" t="n">
        <v>2019</v>
      </c>
      <c r="D233" s="8" t="n">
        <v>15.5444260829973</v>
      </c>
      <c r="E233" s="8" t="n">
        <v>14.2856267585535</v>
      </c>
      <c r="F233" s="8" t="n">
        <v>15.1495519000372</v>
      </c>
      <c r="G233" s="8" t="n">
        <v>15.9763884470235</v>
      </c>
      <c r="H233" s="8" t="n">
        <v>16.7661372262562</v>
      </c>
      <c r="I233" s="10" t="n">
        <v>15.5444260829676</v>
      </c>
      <c r="J233" s="8" t="n">
        <v>-2.96793700726994e-11</v>
      </c>
      <c r="K233" s="7" t="inlineStr">
        <is>
          <t>Denton-Cholette First-Difference Minimization</t>
        </is>
      </c>
      <c r="L233" s="7" t="inlineStr">
        <is>
          <t>mean(Q1..Q4) == Annual_Growth</t>
        </is>
      </c>
    </row>
    <row r="234" ht="19" customHeight="1">
      <c r="A234" s="6" t="inlineStr">
        <is>
          <t>Myanmar</t>
        </is>
      </c>
      <c r="B234" s="7" t="inlineStr">
        <is>
          <t>Money_Growth</t>
        </is>
      </c>
      <c r="C234" s="10" t="n">
        <v>2020</v>
      </c>
      <c r="D234" s="8" t="n">
        <v>18.1773771157293</v>
      </c>
      <c r="E234" s="8" t="n">
        <v>17.5187990275012</v>
      </c>
      <c r="F234" s="8" t="n">
        <v>18.0832947199164</v>
      </c>
      <c r="G234" s="8" t="n">
        <v>18.4596248679033</v>
      </c>
      <c r="H234" s="8" t="n">
        <v>18.6477898477502</v>
      </c>
      <c r="I234" s="10" t="n">
        <v>18.1773771157678</v>
      </c>
      <c r="J234" s="8" t="n">
        <v>3.85504961286642e-11</v>
      </c>
      <c r="K234" s="7" t="inlineStr">
        <is>
          <t>Denton-Cholette First-Difference Minimization</t>
        </is>
      </c>
      <c r="L234" s="7" t="inlineStr">
        <is>
          <t>mean(Q1..Q4) == Annual_Growth</t>
        </is>
      </c>
    </row>
    <row r="235" ht="19" customHeight="1">
      <c r="A235" s="7" t="inlineStr">
        <is>
          <t>Philippines</t>
        </is>
      </c>
      <c r="B235" s="7" t="inlineStr">
        <is>
          <t>Money_Growth</t>
        </is>
      </c>
      <c r="C235" s="10" t="n">
        <v>2010</v>
      </c>
      <c r="D235" s="8" t="n">
        <v>10.8970827706007</v>
      </c>
      <c r="E235" s="8" t="n">
        <v>11.9740881021241</v>
      </c>
      <c r="F235" s="8" t="n">
        <v>11.5432862280476</v>
      </c>
      <c r="G235" s="8" t="n">
        <v>10.6816820489511</v>
      </c>
      <c r="H235" s="8" t="n">
        <v>9.38927470338521</v>
      </c>
      <c r="I235" s="10" t="n">
        <v>10.897082770627</v>
      </c>
      <c r="J235" s="8" t="n">
        <v>2.63344901441087e-11</v>
      </c>
      <c r="K235" s="7" t="inlineStr">
        <is>
          <t>Denton-Cholette First-Difference Minimization</t>
        </is>
      </c>
      <c r="L235" s="7" t="inlineStr">
        <is>
          <t>mean(Q1..Q4) == Annual_Growth</t>
        </is>
      </c>
    </row>
    <row r="236" ht="19" customHeight="1">
      <c r="A236" s="7" t="inlineStr">
        <is>
          <t>Philippines</t>
        </is>
      </c>
      <c r="B236" s="7" t="inlineStr">
        <is>
          <t>Money_Growth</t>
        </is>
      </c>
      <c r="C236" s="10" t="n">
        <v>2011</v>
      </c>
      <c r="D236" s="8" t="n">
        <v>5.30674976285661</v>
      </c>
      <c r="E236" s="8" t="n">
        <v>7.66606289883325</v>
      </c>
      <c r="F236" s="8" t="n">
        <v>6.03305373017807</v>
      </c>
      <c r="G236" s="8" t="n">
        <v>4.49024556412905</v>
      </c>
      <c r="H236" s="8" t="n">
        <v>3.03763685811319</v>
      </c>
      <c r="I236" s="10" t="n">
        <v>5.30674976281339</v>
      </c>
      <c r="J236" s="8" t="n">
        <v>-4.321876190260809e-11</v>
      </c>
      <c r="K236" s="7" t="inlineStr">
        <is>
          <t>Denton-Cholette First-Difference Minimization</t>
        </is>
      </c>
      <c r="L236" s="7" t="inlineStr">
        <is>
          <t>mean(Q1..Q4) == Annual_Growth</t>
        </is>
      </c>
    </row>
    <row r="237" ht="19" customHeight="1">
      <c r="A237" s="7" t="inlineStr">
        <is>
          <t>Philippines</t>
        </is>
      </c>
      <c r="B237" s="7" t="inlineStr">
        <is>
          <t>Money_Growth</t>
        </is>
      </c>
      <c r="C237" s="10" t="n">
        <v>2012</v>
      </c>
      <c r="D237" s="8" t="n">
        <v>6.977796231859</v>
      </c>
      <c r="E237" s="8" t="n">
        <v>1.67522615933651</v>
      </c>
      <c r="F237" s="8" t="n">
        <v>3.25128882703777</v>
      </c>
      <c r="G237" s="8" t="n">
        <v>7.7658264370602</v>
      </c>
      <c r="H237" s="8" t="n">
        <v>15.2188435038675</v>
      </c>
      <c r="I237" s="10" t="n">
        <v>6.97779623182551</v>
      </c>
      <c r="J237" s="8" t="n">
        <v>-3.34896554932129e-11</v>
      </c>
      <c r="K237" s="7" t="inlineStr">
        <is>
          <t>Denton-Cholette First-Difference Minimization</t>
        </is>
      </c>
      <c r="L237" s="7" t="inlineStr">
        <is>
          <t>mean(Q1..Q4) == Annual_Growth</t>
        </is>
      </c>
    </row>
    <row r="238" ht="19" customHeight="1">
      <c r="A238" s="7" t="inlineStr">
        <is>
          <t>Philippines</t>
        </is>
      </c>
      <c r="B238" s="7" t="inlineStr">
        <is>
          <t>Money_Growth</t>
        </is>
      </c>
      <c r="C238" s="10" t="n">
        <v>2013</v>
      </c>
      <c r="D238" s="8" t="n">
        <v>29.329502551069</v>
      </c>
      <c r="E238" s="8" t="n">
        <v>25.6103474807105</v>
      </c>
      <c r="F238" s="8" t="n">
        <v>31.2546087522171</v>
      </c>
      <c r="G238" s="8" t="n">
        <v>32.1516329624815</v>
      </c>
      <c r="H238" s="8" t="n">
        <v>28.3014210086835</v>
      </c>
      <c r="I238" s="10" t="n">
        <v>29.3295025510231</v>
      </c>
      <c r="J238" s="8" t="n">
        <v>-4.587263902067209e-11</v>
      </c>
      <c r="K238" s="7" t="inlineStr">
        <is>
          <t>Denton-Cholette First-Difference Minimization</t>
        </is>
      </c>
      <c r="L238" s="7" t="inlineStr">
        <is>
          <t>mean(Q1..Q4) == Annual_Growth</t>
        </is>
      </c>
    </row>
    <row r="239" ht="19" customHeight="1">
      <c r="A239" s="7" t="inlineStr">
        <is>
          <t>Philippines</t>
        </is>
      </c>
      <c r="B239" s="7" t="inlineStr">
        <is>
          <t>Money_Growth</t>
        </is>
      </c>
      <c r="C239" s="10" t="n">
        <v>2014</v>
      </c>
      <c r="D239" s="8" t="n">
        <v>12.437500484563</v>
      </c>
      <c r="E239" s="8" t="n">
        <v>19.7039690406712</v>
      </c>
      <c r="F239" s="8" t="n">
        <v>13.3584037785519</v>
      </c>
      <c r="G239" s="8" t="n">
        <v>9.26471887694813</v>
      </c>
      <c r="H239" s="8" t="n">
        <v>7.42291024209838</v>
      </c>
      <c r="I239" s="10" t="n">
        <v>12.4375004845674</v>
      </c>
      <c r="J239" s="8" t="n">
        <v>4.40536496171262e-12</v>
      </c>
      <c r="K239" s="7" t="inlineStr">
        <is>
          <t>Denton-Cholette First-Difference Minimization</t>
        </is>
      </c>
      <c r="L239" s="7" t="inlineStr">
        <is>
          <t>mean(Q1..Q4) == Annual_Growth</t>
        </is>
      </c>
    </row>
    <row r="240" ht="19" customHeight="1">
      <c r="A240" s="7" t="inlineStr">
        <is>
          <t>Philippines</t>
        </is>
      </c>
      <c r="B240" s="7" t="inlineStr">
        <is>
          <t>Money_Growth</t>
        </is>
      </c>
      <c r="C240" s="10" t="n">
        <v>2015</v>
      </c>
      <c r="D240" s="8" t="n">
        <v>9.195824605523921</v>
      </c>
      <c r="E240" s="8" t="n">
        <v>7.83297603206431</v>
      </c>
      <c r="F240" s="8" t="n">
        <v>8.542141393010031</v>
      </c>
      <c r="G240" s="8" t="n">
        <v>9.55040703390908</v>
      </c>
      <c r="H240" s="8" t="n">
        <v>10.8577739629605</v>
      </c>
      <c r="I240" s="10" t="n">
        <v>9.19582460548598</v>
      </c>
      <c r="J240" s="8" t="n">
        <v>-3.79341003053923e-11</v>
      </c>
      <c r="K240" s="7" t="inlineStr">
        <is>
          <t>Denton-Cholette First-Difference Minimization</t>
        </is>
      </c>
      <c r="L240" s="7" t="inlineStr">
        <is>
          <t>mean(Q1..Q4) == Annual_Growth</t>
        </is>
      </c>
    </row>
    <row r="241" ht="19" customHeight="1">
      <c r="A241" s="7" t="inlineStr">
        <is>
          <t>Philippines</t>
        </is>
      </c>
      <c r="B241" s="7" t="inlineStr">
        <is>
          <t>Money_Growth</t>
        </is>
      </c>
      <c r="C241" s="10" t="n">
        <v>2016</v>
      </c>
      <c r="D241" s="8" t="n">
        <v>13.3262730338008</v>
      </c>
      <c r="E241" s="8" t="n">
        <v>12.4642434874549</v>
      </c>
      <c r="F241" s="8" t="n">
        <v>13.4516426840826</v>
      </c>
      <c r="G241" s="8" t="n">
        <v>13.8199725400212</v>
      </c>
      <c r="H241" s="8" t="n">
        <v>13.569233423506</v>
      </c>
      <c r="I241" s="10" t="n">
        <v>13.3262730337662</v>
      </c>
      <c r="J241" s="8" t="n">
        <v>-3.46602746503777e-11</v>
      </c>
      <c r="K241" s="7" t="inlineStr">
        <is>
          <t>Denton-Cholette First-Difference Minimization</t>
        </is>
      </c>
      <c r="L241" s="7" t="inlineStr">
        <is>
          <t>mean(Q1..Q4) == Annual_Growth</t>
        </is>
      </c>
    </row>
    <row r="242" ht="19" customHeight="1">
      <c r="A242" s="7" t="inlineStr">
        <is>
          <t>Philippines</t>
        </is>
      </c>
      <c r="B242" s="7" t="inlineStr">
        <is>
          <t>Money_Growth</t>
        </is>
      </c>
      <c r="C242" s="10" t="n">
        <v>2017</v>
      </c>
      <c r="D242" s="8" t="n">
        <v>11.4231249478661</v>
      </c>
      <c r="E242" s="8" t="n">
        <v>12.6994250839868</v>
      </c>
      <c r="F242" s="8" t="n">
        <v>11.8409821218418</v>
      </c>
      <c r="G242" s="8" t="n">
        <v>10.9939036785922</v>
      </c>
      <c r="H242" s="8" t="n">
        <v>10.158188907206</v>
      </c>
      <c r="I242" s="10" t="n">
        <v>11.4231249479067</v>
      </c>
      <c r="J242" s="8" t="n">
        <v>4.05595557140259e-11</v>
      </c>
      <c r="K242" s="7" t="inlineStr">
        <is>
          <t>Denton-Cholette First-Difference Minimization</t>
        </is>
      </c>
      <c r="L242" s="7" t="inlineStr">
        <is>
          <t>mean(Q1..Q4) == Annual_Growth</t>
        </is>
      </c>
    </row>
    <row r="243" ht="19" customHeight="1">
      <c r="A243" s="7" t="inlineStr">
        <is>
          <t>Philippines</t>
        </is>
      </c>
      <c r="B243" s="7" t="inlineStr">
        <is>
          <t>Money_Growth</t>
        </is>
      </c>
      <c r="C243" s="10" t="n">
        <v>2018</v>
      </c>
      <c r="D243" s="8" t="n">
        <v>8.9991457447848</v>
      </c>
      <c r="E243" s="8" t="n">
        <v>9.33383697201984</v>
      </c>
      <c r="F243" s="8" t="n">
        <v>8.87021990274885</v>
      </c>
      <c r="G243" s="8" t="n">
        <v>8.76733723592757</v>
      </c>
      <c r="H243" s="8" t="n">
        <v>9.02518886846827</v>
      </c>
      <c r="I243" s="10" t="n">
        <v>8.99914574479113</v>
      </c>
      <c r="J243" s="8" t="n">
        <v>6.33448848930129e-12</v>
      </c>
      <c r="K243" s="7" t="inlineStr">
        <is>
          <t>Denton-Cholette First-Difference Minimization</t>
        </is>
      </c>
      <c r="L243" s="7" t="inlineStr">
        <is>
          <t>mean(Q1..Q4) == Annual_Growth</t>
        </is>
      </c>
    </row>
    <row r="244" ht="19" customHeight="1">
      <c r="A244" s="7" t="inlineStr">
        <is>
          <t>Philippines</t>
        </is>
      </c>
      <c r="B244" s="7" t="inlineStr">
        <is>
          <t>Money_Growth</t>
        </is>
      </c>
      <c r="C244" s="10" t="n">
        <v>2019</v>
      </c>
      <c r="D244" s="8" t="n">
        <v>9.84392163909669</v>
      </c>
      <c r="E244" s="8" t="n">
        <v>9.643775058428499</v>
      </c>
      <c r="F244" s="8" t="n">
        <v>9.97126803198849</v>
      </c>
      <c r="G244" s="8" t="n">
        <v>10.0076681167767</v>
      </c>
      <c r="H244" s="8" t="n">
        <v>9.75297534904505</v>
      </c>
      <c r="I244" s="10" t="n">
        <v>9.843921639059699</v>
      </c>
      <c r="J244" s="8" t="n">
        <v>-3.69926311805102e-11</v>
      </c>
      <c r="K244" s="7" t="inlineStr">
        <is>
          <t>Denton-Cholette First-Difference Minimization</t>
        </is>
      </c>
      <c r="L244" s="7" t="inlineStr">
        <is>
          <t>mean(Q1..Q4) == Annual_Growth</t>
        </is>
      </c>
    </row>
    <row r="245" ht="19" customHeight="1">
      <c r="A245" s="7" t="inlineStr">
        <is>
          <t>Philippines</t>
        </is>
      </c>
      <c r="B245" s="7" t="inlineStr">
        <is>
          <t>Money_Growth</t>
        </is>
      </c>
      <c r="C245" s="10" t="n">
        <v>2020</v>
      </c>
      <c r="D245" s="8" t="n">
        <v>8.65773205885667</v>
      </c>
      <c r="E245" s="8" t="n">
        <v>9.20718947413255</v>
      </c>
      <c r="F245" s="8" t="n">
        <v>8.76909236633</v>
      </c>
      <c r="G245" s="8" t="n">
        <v>8.43868358755595</v>
      </c>
      <c r="H245" s="8" t="n">
        <v>8.215962807245401</v>
      </c>
      <c r="I245" s="10" t="n">
        <v>8.657732058815981</v>
      </c>
      <c r="J245" s="8" t="n">
        <v>-4.06910061201415e-11</v>
      </c>
      <c r="K245" s="7" t="inlineStr">
        <is>
          <t>Denton-Cholette First-Difference Minimization</t>
        </is>
      </c>
      <c r="L245" s="7" t="inlineStr">
        <is>
          <t>mean(Q1..Q4) == Annual_Growth</t>
        </is>
      </c>
    </row>
    <row r="246" ht="19" customHeight="1">
      <c r="A246" s="7" t="inlineStr">
        <is>
          <t>Philippines</t>
        </is>
      </c>
      <c r="B246" s="7" t="inlineStr">
        <is>
          <t>Money_Growth</t>
        </is>
      </c>
      <c r="C246" s="10" t="n">
        <v>2021</v>
      </c>
      <c r="D246" s="8" t="n">
        <v>7.98026843394554</v>
      </c>
      <c r="E246" s="8" t="n">
        <v>8.10092980283471</v>
      </c>
      <c r="F246" s="8" t="n">
        <v>8.006652098537501</v>
      </c>
      <c r="G246" s="8" t="n">
        <v>7.93312960011009</v>
      </c>
      <c r="H246" s="8" t="n">
        <v>7.8803622342374</v>
      </c>
      <c r="I246" s="10" t="n">
        <v>7.98026843392993</v>
      </c>
      <c r="J246" s="8" t="n">
        <v>-1.56141766183282e-11</v>
      </c>
      <c r="K246" s="7" t="inlineStr">
        <is>
          <t>Denton-Cholette First-Difference Minimization</t>
        </is>
      </c>
      <c r="L246" s="7" t="inlineStr">
        <is>
          <t>mean(Q1..Q4) == Annual_Growth</t>
        </is>
      </c>
    </row>
    <row r="247" ht="19" customHeight="1">
      <c r="A247" s="7" t="inlineStr">
        <is>
          <t>Philippines</t>
        </is>
      </c>
      <c r="B247" s="7" t="inlineStr">
        <is>
          <t>Money_Growth</t>
        </is>
      </c>
      <c r="C247" s="10" t="n">
        <v>2022</v>
      </c>
      <c r="D247" s="8" t="n">
        <v>7.82033923932235</v>
      </c>
      <c r="E247" s="8" t="n">
        <v>7.84834994775523</v>
      </c>
      <c r="F247" s="8" t="n">
        <v>7.82434076098381</v>
      </c>
      <c r="G247" s="8" t="n">
        <v>7.80833464987448</v>
      </c>
      <c r="H247" s="8" t="n">
        <v>7.80033159829504</v>
      </c>
      <c r="I247" s="10" t="n">
        <v>7.82033923922714</v>
      </c>
      <c r="J247" s="8" t="n">
        <v>-9.521627930553219e-11</v>
      </c>
      <c r="K247" s="7" t="inlineStr">
        <is>
          <t>Denton-Cholette First-Difference Minimization</t>
        </is>
      </c>
      <c r="L247" s="7" t="inlineStr">
        <is>
          <t>mean(Q1..Q4) == Annual_Growth</t>
        </is>
      </c>
    </row>
    <row r="248" ht="19" customHeight="1">
      <c r="A248" s="6" t="inlineStr">
        <is>
          <t>Singapore</t>
        </is>
      </c>
      <c r="B248" s="7" t="inlineStr">
        <is>
          <t>Money_Growth</t>
        </is>
      </c>
      <c r="C248" s="10" t="n">
        <v>2010</v>
      </c>
      <c r="D248" s="8" t="n">
        <v>8.590320534147249</v>
      </c>
      <c r="E248" s="8" t="n">
        <v>8.134683296277061</v>
      </c>
      <c r="F248" s="8" t="n">
        <v>8.316938082074801</v>
      </c>
      <c r="G248" s="8" t="n">
        <v>8.681447835913909</v>
      </c>
      <c r="H248" s="8" t="n">
        <v>9.228212922324889</v>
      </c>
      <c r="I248" s="10" t="n">
        <v>8.59032053414767</v>
      </c>
      <c r="J248" s="8" t="n">
        <v>4.15667500419659e-13</v>
      </c>
      <c r="K248" s="7" t="inlineStr">
        <is>
          <t>Denton-Cholette First-Difference Minimization</t>
        </is>
      </c>
      <c r="L248" s="7" t="inlineStr">
        <is>
          <t>mean(Q1..Q4) == Annual_Growth</t>
        </is>
      </c>
    </row>
    <row r="249" ht="19" customHeight="1">
      <c r="A249" s="6" t="inlineStr">
        <is>
          <t>Singapore</t>
        </is>
      </c>
      <c r="B249" s="7" t="inlineStr">
        <is>
          <t>Money_Growth</t>
        </is>
      </c>
      <c r="C249" s="10" t="n">
        <v>2011</v>
      </c>
      <c r="D249" s="8" t="n">
        <v>9.98812939333385</v>
      </c>
      <c r="E249" s="8" t="n">
        <v>9.95723388802508</v>
      </c>
      <c r="F249" s="8" t="n">
        <v>10.2612003669535</v>
      </c>
      <c r="G249" s="8" t="n">
        <v>10.1401126630628</v>
      </c>
      <c r="H249" s="8" t="n">
        <v>9.593970655303041</v>
      </c>
      <c r="I249" s="10" t="n">
        <v>9.9881293933361</v>
      </c>
      <c r="J249" s="8" t="n">
        <v>2.24531504500192e-12</v>
      </c>
      <c r="K249" s="7" t="inlineStr">
        <is>
          <t>Denton-Cholette First-Difference Minimization</t>
        </is>
      </c>
      <c r="L249" s="7" t="inlineStr">
        <is>
          <t>mean(Q1..Q4) == Annual_Growth</t>
        </is>
      </c>
    </row>
    <row r="250" ht="19" customHeight="1">
      <c r="A250" s="6" t="inlineStr">
        <is>
          <t>Singapore</t>
        </is>
      </c>
      <c r="B250" s="7" t="inlineStr">
        <is>
          <t>Money_Growth</t>
        </is>
      </c>
      <c r="C250" s="10" t="n">
        <v>2012</v>
      </c>
      <c r="D250" s="8" t="n">
        <v>7.22530738682461</v>
      </c>
      <c r="E250" s="8" t="n">
        <v>8.622773797504509</v>
      </c>
      <c r="F250" s="8" t="n">
        <v>7.6753089614702</v>
      </c>
      <c r="G250" s="8" t="n">
        <v>6.75157519970182</v>
      </c>
      <c r="H250" s="8" t="n">
        <v>5.85157158854532</v>
      </c>
      <c r="I250" s="10" t="n">
        <v>7.22530738680546</v>
      </c>
      <c r="J250" s="8" t="n">
        <v>-1.91437976582165e-11</v>
      </c>
      <c r="K250" s="7" t="inlineStr">
        <is>
          <t>Denton-Cholette First-Difference Minimization</t>
        </is>
      </c>
      <c r="L250" s="7" t="inlineStr">
        <is>
          <t>mean(Q1..Q4) == Annual_Growth</t>
        </is>
      </c>
    </row>
    <row r="251" ht="19" customHeight="1">
      <c r="A251" s="6" t="inlineStr">
        <is>
          <t>Singapore</t>
        </is>
      </c>
      <c r="B251" s="7" t="inlineStr">
        <is>
          <t>Money_Growth</t>
        </is>
      </c>
      <c r="C251" s="10" t="n">
        <v>2013</v>
      </c>
      <c r="D251" s="8" t="n">
        <v>4.31565677441557</v>
      </c>
      <c r="E251" s="8" t="n">
        <v>4.9752972278821</v>
      </c>
      <c r="F251" s="8" t="n">
        <v>4.36093158324164</v>
      </c>
      <c r="G251" s="8" t="n">
        <v>4.00847404023723</v>
      </c>
      <c r="H251" s="8" t="n">
        <v>3.91792424635386</v>
      </c>
      <c r="I251" s="10" t="n">
        <v>4.31565677442871</v>
      </c>
      <c r="J251" s="8" t="n">
        <v>1.31361588273649e-11</v>
      </c>
      <c r="K251" s="7" t="inlineStr">
        <is>
          <t>Denton-Cholette First-Difference Minimization</t>
        </is>
      </c>
      <c r="L251" s="7" t="inlineStr">
        <is>
          <t>mean(Q1..Q4) == Annual_Growth</t>
        </is>
      </c>
    </row>
    <row r="252" ht="19" customHeight="1">
      <c r="A252" s="6" t="inlineStr">
        <is>
          <t>Singapore</t>
        </is>
      </c>
      <c r="B252" s="7" t="inlineStr">
        <is>
          <t>Money_Growth</t>
        </is>
      </c>
      <c r="C252" s="10" t="n">
        <v>2014</v>
      </c>
      <c r="D252" s="8" t="n">
        <v>3.3317228215038</v>
      </c>
      <c r="E252" s="8" t="n">
        <v>4.08928211110333</v>
      </c>
      <c r="F252" s="8" t="n">
        <v>3.85480169898665</v>
      </c>
      <c r="G252" s="8" t="n">
        <v>3.21448277555395</v>
      </c>
      <c r="H252" s="8" t="n">
        <v>2.16832470037293</v>
      </c>
      <c r="I252" s="10" t="n">
        <v>3.33172282150422</v>
      </c>
      <c r="J252" s="8" t="n">
        <v>4.14335232790108e-13</v>
      </c>
      <c r="K252" s="7" t="inlineStr">
        <is>
          <t>Denton-Cholette First-Difference Minimization</t>
        </is>
      </c>
      <c r="L252" s="7" t="inlineStr">
        <is>
          <t>mean(Q1..Q4) == Annual_Growth</t>
        </is>
      </c>
    </row>
    <row r="253" ht="19" customHeight="1">
      <c r="A253" s="6" t="inlineStr">
        <is>
          <t>Singapore</t>
        </is>
      </c>
      <c r="B253" s="7" t="inlineStr">
        <is>
          <t>Money_Growth</t>
        </is>
      </c>
      <c r="C253" s="10" t="n">
        <v>2015</v>
      </c>
      <c r="D253" s="8" t="n">
        <v>1.5239908444241</v>
      </c>
      <c r="E253" s="8" t="n">
        <v>0.716326427402953</v>
      </c>
      <c r="F253" s="8" t="n">
        <v>0.458592894437492</v>
      </c>
      <c r="G253" s="8" t="n">
        <v>1.39512384379276</v>
      </c>
      <c r="H253" s="8" t="n">
        <v>3.5259202119911</v>
      </c>
      <c r="I253" s="10" t="n">
        <v>1.52399084440607</v>
      </c>
      <c r="J253" s="8" t="n">
        <v>-1.80224724033451e-11</v>
      </c>
      <c r="K253" s="7" t="inlineStr">
        <is>
          <t>Denton-Cholette First-Difference Minimization</t>
        </is>
      </c>
      <c r="L253" s="7" t="inlineStr">
        <is>
          <t>mean(Q1..Q4) == Annual_Growth</t>
        </is>
      </c>
    </row>
    <row r="254" ht="19" customHeight="1">
      <c r="A254" s="6" t="inlineStr">
        <is>
          <t>Singapore</t>
        </is>
      </c>
      <c r="B254" s="7" t="inlineStr">
        <is>
          <t>Money_Growth</t>
        </is>
      </c>
      <c r="C254" s="10" t="n">
        <v>2016</v>
      </c>
      <c r="D254" s="8" t="n">
        <v>8.0439173974027</v>
      </c>
      <c r="E254" s="8" t="n">
        <v>6.85098412977097</v>
      </c>
      <c r="F254" s="8" t="n">
        <v>8.65818225211981</v>
      </c>
      <c r="G254" s="8" t="n">
        <v>8.94751638623562</v>
      </c>
      <c r="H254" s="8" t="n">
        <v>7.71898682147112</v>
      </c>
      <c r="I254" s="10" t="n">
        <v>8.04391739739938</v>
      </c>
      <c r="J254" s="8" t="n">
        <v>-3.32001093283907e-12</v>
      </c>
      <c r="K254" s="7" t="inlineStr">
        <is>
          <t>Denton-Cholette First-Difference Minimization</t>
        </is>
      </c>
      <c r="L254" s="7" t="inlineStr">
        <is>
          <t>mean(Q1..Q4) == Annual_Growth</t>
        </is>
      </c>
    </row>
    <row r="255" ht="19" customHeight="1">
      <c r="A255" s="6" t="inlineStr">
        <is>
          <t>Singapore</t>
        </is>
      </c>
      <c r="B255" s="7" t="inlineStr">
        <is>
          <t>Money_Growth</t>
        </is>
      </c>
      <c r="C255" s="10" t="n">
        <v>2017</v>
      </c>
      <c r="D255" s="8" t="n">
        <v>3.19855609797754</v>
      </c>
      <c r="E255" s="8" t="n">
        <v>4.97259232923329</v>
      </c>
      <c r="F255" s="8" t="n">
        <v>3.16442085011264</v>
      </c>
      <c r="G255" s="8" t="n">
        <v>2.29447057587654</v>
      </c>
      <c r="H255" s="8" t="n">
        <v>2.3627406365907</v>
      </c>
      <c r="I255" s="10" t="n">
        <v>3.19855609795329</v>
      </c>
      <c r="J255" s="8" t="n">
        <v>-2.42481590362331e-11</v>
      </c>
      <c r="K255" s="7" t="inlineStr">
        <is>
          <t>Denton-Cholette First-Difference Minimization</t>
        </is>
      </c>
      <c r="L255" s="7" t="inlineStr">
        <is>
          <t>mean(Q1..Q4) == Annual_Growth</t>
        </is>
      </c>
    </row>
    <row r="256" ht="19" customHeight="1">
      <c r="A256" s="6" t="inlineStr">
        <is>
          <t>Singapore</t>
        </is>
      </c>
      <c r="B256" s="7" t="inlineStr">
        <is>
          <t>Money_Growth</t>
        </is>
      </c>
      <c r="C256" s="10" t="n">
        <v>2018</v>
      </c>
      <c r="D256" s="8" t="n">
        <v>3.90187887013683</v>
      </c>
      <c r="E256" s="8" t="n">
        <v>3.36923110059288</v>
      </c>
      <c r="F256" s="8" t="n">
        <v>3.98488612521664</v>
      </c>
      <c r="G256" s="8" t="n">
        <v>4.20970632627731</v>
      </c>
      <c r="H256" s="8" t="n">
        <v>4.0436919284834</v>
      </c>
      <c r="I256" s="10" t="n">
        <v>3.90187887014256</v>
      </c>
      <c r="J256" s="8" t="n">
        <v>5.72564218259686e-12</v>
      </c>
      <c r="K256" s="7" t="inlineStr">
        <is>
          <t>Denton-Cholette First-Difference Minimization</t>
        </is>
      </c>
      <c r="L256" s="7" t="inlineStr">
        <is>
          <t>mean(Q1..Q4) == Annual_Growth</t>
        </is>
      </c>
    </row>
    <row r="257" ht="19" customHeight="1">
      <c r="A257" s="6" t="inlineStr">
        <is>
          <t>Singapore</t>
        </is>
      </c>
      <c r="B257" s="7" t="inlineStr">
        <is>
          <t>Money_Growth</t>
        </is>
      </c>
      <c r="C257" s="10" t="n">
        <v>2019</v>
      </c>
      <c r="D257" s="8" t="n">
        <v>4.95135060515991</v>
      </c>
      <c r="E257" s="8" t="n">
        <v>3.48684276581674</v>
      </c>
      <c r="F257" s="8" t="n">
        <v>3.84990596300593</v>
      </c>
      <c r="G257" s="8" t="n">
        <v>5.13288188298259</v>
      </c>
      <c r="H257" s="8" t="n">
        <v>7.33577180879458</v>
      </c>
      <c r="I257" s="10" t="n">
        <v>4.95135060514996</v>
      </c>
      <c r="J257" s="8" t="n">
        <v>-9.952039192739898e-12</v>
      </c>
      <c r="K257" s="7" t="inlineStr">
        <is>
          <t>Denton-Cholette First-Difference Minimization</t>
        </is>
      </c>
      <c r="L257" s="7" t="inlineStr">
        <is>
          <t>mean(Q1..Q4) == Annual_Growth</t>
        </is>
      </c>
    </row>
    <row r="258" ht="19" customHeight="1">
      <c r="A258" s="6" t="inlineStr">
        <is>
          <t>Singapore</t>
        </is>
      </c>
      <c r="B258" s="7" t="inlineStr">
        <is>
          <t>Money_Growth</t>
        </is>
      </c>
      <c r="C258" s="10" t="n">
        <v>2020</v>
      </c>
      <c r="D258" s="8" t="n">
        <v>13.1910292122895</v>
      </c>
      <c r="E258" s="8" t="n">
        <v>10.4585779432958</v>
      </c>
      <c r="F258" s="8" t="n">
        <v>12.8006798116737</v>
      </c>
      <c r="G258" s="8" t="n">
        <v>14.3620797561054</v>
      </c>
      <c r="H258" s="8" t="n">
        <v>15.1427793380136</v>
      </c>
      <c r="I258" s="10" t="n">
        <v>13.1910292122721</v>
      </c>
      <c r="J258" s="8" t="n">
        <v>-1.7353229964101e-11</v>
      </c>
      <c r="K258" s="7" t="inlineStr">
        <is>
          <t>Denton-Cholette First-Difference Minimization</t>
        </is>
      </c>
      <c r="L258" s="7" t="inlineStr">
        <is>
          <t>mean(Q1..Q4) == Annual_Growth</t>
        </is>
      </c>
    </row>
    <row r="259" ht="19" customHeight="1">
      <c r="A259" s="6" t="inlineStr">
        <is>
          <t>Thailand</t>
        </is>
      </c>
      <c r="B259" s="7" t="inlineStr">
        <is>
          <t>Money_Growth</t>
        </is>
      </c>
      <c r="C259" s="10" t="n">
        <v>2010</v>
      </c>
      <c r="D259" s="8" t="n">
        <v>10.9429050955698</v>
      </c>
      <c r="E259" s="8" t="n">
        <v>9.69780352899895</v>
      </c>
      <c r="F259" s="8" t="n">
        <v>10.1958438567985</v>
      </c>
      <c r="G259" s="8" t="n">
        <v>11.1919250104253</v>
      </c>
      <c r="H259" s="8" t="n">
        <v>12.6860479859855</v>
      </c>
      <c r="I259" s="10" t="n">
        <v>10.942905095552</v>
      </c>
      <c r="J259" s="8" t="n">
        <v>-1.77351466845721e-11</v>
      </c>
      <c r="K259" s="7" t="inlineStr">
        <is>
          <t>Denton-Cholette First-Difference Minimization</t>
        </is>
      </c>
      <c r="L259" s="7" t="inlineStr">
        <is>
          <t>mean(Q1..Q4) == Annual_Growth</t>
        </is>
      </c>
    </row>
    <row r="260" ht="19" customHeight="1">
      <c r="A260" s="6" t="inlineStr">
        <is>
          <t>Thailand</t>
        </is>
      </c>
      <c r="B260" s="7" t="inlineStr">
        <is>
          <t>Money_Growth</t>
        </is>
      </c>
      <c r="C260" s="10" t="n">
        <v>2011</v>
      </c>
      <c r="D260" s="8" t="n">
        <v>15.1209680158006</v>
      </c>
      <c r="E260" s="8" t="n">
        <v>14.6782142775673</v>
      </c>
      <c r="F260" s="8" t="n">
        <v>15.6521819043358</v>
      </c>
      <c r="G260" s="8" t="n">
        <v>15.6079518402495</v>
      </c>
      <c r="H260" s="8" t="n">
        <v>14.5455240410968</v>
      </c>
      <c r="I260" s="10" t="n">
        <v>15.1209680158124</v>
      </c>
      <c r="J260" s="8" t="n">
        <v>1.17879039862601e-11</v>
      </c>
      <c r="K260" s="7" t="inlineStr">
        <is>
          <t>Denton-Cholette First-Difference Minimization</t>
        </is>
      </c>
      <c r="L260" s="7" t="inlineStr">
        <is>
          <t>mean(Q1..Q4) == Annual_Growth</t>
        </is>
      </c>
    </row>
    <row r="261" ht="19" customHeight="1">
      <c r="A261" s="6" t="inlineStr">
        <is>
          <t>Thailand</t>
        </is>
      </c>
      <c r="B261" s="7" t="inlineStr">
        <is>
          <t>Money_Growth</t>
        </is>
      </c>
      <c r="C261" s="10" t="n">
        <v>2012</v>
      </c>
      <c r="D261" s="8" t="n">
        <v>10.3754478189973</v>
      </c>
      <c r="E261" s="8" t="n">
        <v>12.464897444435</v>
      </c>
      <c r="F261" s="8" t="n">
        <v>10.7968677483501</v>
      </c>
      <c r="G261" s="8" t="n">
        <v>9.541433284816209</v>
      </c>
      <c r="H261" s="8" t="n">
        <v>8.698592798380449</v>
      </c>
      <c r="I261" s="10" t="n">
        <v>10.3754478189954</v>
      </c>
      <c r="J261" s="8" t="n">
        <v>-1.88293824976427e-12</v>
      </c>
      <c r="K261" s="7" t="inlineStr">
        <is>
          <t>Denton-Cholette First-Difference Minimization</t>
        </is>
      </c>
      <c r="L261" s="7" t="inlineStr">
        <is>
          <t>mean(Q1..Q4) == Annual_Growth</t>
        </is>
      </c>
    </row>
    <row r="262" ht="19" customHeight="1">
      <c r="A262" s="6" t="inlineStr">
        <is>
          <t>Thailand</t>
        </is>
      </c>
      <c r="B262" s="7" t="inlineStr">
        <is>
          <t>Money_Growth</t>
        </is>
      </c>
      <c r="C262" s="10" t="n">
        <v>2013</v>
      </c>
      <c r="D262" s="8" t="n">
        <v>7.32085031482377</v>
      </c>
      <c r="E262" s="8" t="n">
        <v>8.26834544620862</v>
      </c>
      <c r="F262" s="8" t="n">
        <v>7.71724874041759</v>
      </c>
      <c r="G262" s="8" t="n">
        <v>7.04530212989888</v>
      </c>
      <c r="H262" s="8" t="n">
        <v>6.2525049427074</v>
      </c>
      <c r="I262" s="10" t="n">
        <v>7.32085031480812</v>
      </c>
      <c r="J262" s="8" t="n">
        <v>-1.56488155766965e-11</v>
      </c>
      <c r="K262" s="7" t="inlineStr">
        <is>
          <t>Denton-Cholette First-Difference Minimization</t>
        </is>
      </c>
      <c r="L262" s="7" t="inlineStr">
        <is>
          <t>mean(Q1..Q4) == Annual_Growth</t>
        </is>
      </c>
    </row>
    <row r="263" ht="19" customHeight="1">
      <c r="A263" s="6" t="inlineStr">
        <is>
          <t>Thailand</t>
        </is>
      </c>
      <c r="B263" s="7" t="inlineStr">
        <is>
          <t>Money_Growth</t>
        </is>
      </c>
      <c r="C263" s="10" t="n">
        <v>2014</v>
      </c>
      <c r="D263" s="8" t="n">
        <v>4.64784956646177</v>
      </c>
      <c r="E263" s="8" t="n">
        <v>5.33885638602955</v>
      </c>
      <c r="F263" s="8" t="n">
        <v>4.69699452929783</v>
      </c>
      <c r="G263" s="8" t="n">
        <v>4.32691873058616</v>
      </c>
      <c r="H263" s="8" t="n">
        <v>4.22862861989407</v>
      </c>
      <c r="I263" s="10" t="n">
        <v>4.6478495664519</v>
      </c>
      <c r="J263" s="8" t="n">
        <v>-9.865885886028989e-12</v>
      </c>
      <c r="K263" s="7" t="inlineStr">
        <is>
          <t>Denton-Cholette First-Difference Minimization</t>
        </is>
      </c>
      <c r="L263" s="7" t="inlineStr">
        <is>
          <t>mean(Q1..Q4) == Annual_Growth</t>
        </is>
      </c>
    </row>
    <row r="264" ht="19" customHeight="1">
      <c r="A264" s="6" t="inlineStr">
        <is>
          <t>Thailand</t>
        </is>
      </c>
      <c r="B264" s="7" t="inlineStr">
        <is>
          <t>Money_Growth</t>
        </is>
      </c>
      <c r="C264" s="10" t="n">
        <v>2015</v>
      </c>
      <c r="D264" s="8" t="n">
        <v>4.43563648660048</v>
      </c>
      <c r="E264" s="8" t="n">
        <v>4.40212409885864</v>
      </c>
      <c r="F264" s="8" t="n">
        <v>4.48492721321736</v>
      </c>
      <c r="G264" s="8" t="n">
        <v>4.47703804572955</v>
      </c>
      <c r="H264" s="8" t="n">
        <v>4.37845658851307</v>
      </c>
      <c r="I264" s="10" t="n">
        <v>4.43563648657966</v>
      </c>
      <c r="J264" s="8" t="n">
        <v>-2.08295602988073e-11</v>
      </c>
      <c r="K264" s="7" t="inlineStr">
        <is>
          <t>Denton-Cholette First-Difference Minimization</t>
        </is>
      </c>
      <c r="L264" s="7" t="inlineStr">
        <is>
          <t>mean(Q1..Q4) == Annual_Growth</t>
        </is>
      </c>
    </row>
    <row r="265" ht="19" customHeight="1">
      <c r="A265" s="6" t="inlineStr">
        <is>
          <t>Thailand</t>
        </is>
      </c>
      <c r="B265" s="7" t="inlineStr">
        <is>
          <t>Money_Growth</t>
        </is>
      </c>
      <c r="C265" s="10" t="n">
        <v>2016</v>
      </c>
      <c r="D265" s="8" t="n">
        <v>4.22178650304791</v>
      </c>
      <c r="E265" s="8" t="n">
        <v>4.18918274298891</v>
      </c>
      <c r="F265" s="8" t="n">
        <v>4.12651472747467</v>
      </c>
      <c r="G265" s="8" t="n">
        <v>4.19045247928746</v>
      </c>
      <c r="H265" s="8" t="n">
        <v>4.38099606240225</v>
      </c>
      <c r="I265" s="10" t="n">
        <v>4.22178650303832</v>
      </c>
      <c r="J265" s="8" t="n">
        <v>-9.592326932761349e-12</v>
      </c>
      <c r="K265" s="7" t="inlineStr">
        <is>
          <t>Denton-Cholette First-Difference Minimization</t>
        </is>
      </c>
      <c r="L265" s="7" t="inlineStr">
        <is>
          <t>mean(Q1..Q4) == Annual_Growth</t>
        </is>
      </c>
    </row>
    <row r="266" ht="19" customHeight="1">
      <c r="A266" s="6" t="inlineStr">
        <is>
          <t>Thailand</t>
        </is>
      </c>
      <c r="B266" s="7" t="inlineStr">
        <is>
          <t>Money_Growth</t>
        </is>
      </c>
      <c r="C266" s="10" t="n">
        <v>2017</v>
      </c>
      <c r="D266" s="8" t="n">
        <v>5.01277099942724</v>
      </c>
      <c r="E266" s="8" t="n">
        <v>4.69814566732828</v>
      </c>
      <c r="F266" s="8" t="n">
        <v>4.9508555222313</v>
      </c>
      <c r="G266" s="8" t="n">
        <v>5.13912587979719</v>
      </c>
      <c r="H266" s="8" t="n">
        <v>5.26295692832535</v>
      </c>
      <c r="I266" s="10" t="n">
        <v>5.01277099942053</v>
      </c>
      <c r="J266" s="8" t="n">
        <v>-6.71374067451325e-12</v>
      </c>
      <c r="K266" s="7" t="inlineStr">
        <is>
          <t>Denton-Cholette First-Difference Minimization</t>
        </is>
      </c>
      <c r="L266" s="7" t="inlineStr">
        <is>
          <t>mean(Q1..Q4) == Annual_Growth</t>
        </is>
      </c>
    </row>
    <row r="267" ht="19" customHeight="1">
      <c r="A267" s="6" t="inlineStr">
        <is>
          <t>Thailand</t>
        </is>
      </c>
      <c r="B267" s="7" t="inlineStr">
        <is>
          <t>Money_Growth</t>
        </is>
      </c>
      <c r="C267" s="10" t="n">
        <v>2018</v>
      </c>
      <c r="D267" s="8" t="n">
        <v>4.66754763850258</v>
      </c>
      <c r="E267" s="8" t="n">
        <v>5.32234879164889</v>
      </c>
      <c r="F267" s="8" t="n">
        <v>5.08418522454813</v>
      </c>
      <c r="G267" s="8" t="n">
        <v>4.54846598887601</v>
      </c>
      <c r="H267" s="8" t="n">
        <v>3.71519054892248</v>
      </c>
      <c r="I267" s="10" t="n">
        <v>4.66754763849888</v>
      </c>
      <c r="J267" s="8" t="n">
        <v>-3.70370401014952e-12</v>
      </c>
      <c r="K267" s="7" t="inlineStr">
        <is>
          <t>Denton-Cholette First-Difference Minimization</t>
        </is>
      </c>
      <c r="L267" s="7" t="inlineStr">
        <is>
          <t>mean(Q1..Q4) == Annual_Growth</t>
        </is>
      </c>
    </row>
    <row r="268" ht="19" customHeight="1">
      <c r="A268" s="6" t="inlineStr">
        <is>
          <t>Thailand</t>
        </is>
      </c>
      <c r="B268" s="7" t="inlineStr">
        <is>
          <t>Money_Growth</t>
        </is>
      </c>
      <c r="C268" s="10" t="n">
        <v>2019</v>
      </c>
      <c r="D268" s="8" t="n">
        <v>3.63689698519263</v>
      </c>
      <c r="E268" s="8" t="n">
        <v>2.58435807138634</v>
      </c>
      <c r="F268" s="8" t="n">
        <v>2.55304055160154</v>
      </c>
      <c r="G268" s="8" t="n">
        <v>3.62123795824499</v>
      </c>
      <c r="H268" s="8" t="n">
        <v>5.78895135953422</v>
      </c>
      <c r="I268" s="10" t="n">
        <v>3.63689698519177</v>
      </c>
      <c r="J268" s="8" t="n">
        <v>-8.5398355054167e-13</v>
      </c>
      <c r="K268" s="7" t="inlineStr">
        <is>
          <t>Denton-Cholette First-Difference Minimization</t>
        </is>
      </c>
      <c r="L268" s="7" t="inlineStr">
        <is>
          <t>mean(Q1..Q4) == Annual_Growth</t>
        </is>
      </c>
    </row>
    <row r="269" ht="19" customHeight="1">
      <c r="A269" s="6" t="inlineStr">
        <is>
          <t>Thailand</t>
        </is>
      </c>
      <c r="B269" s="7" t="inlineStr">
        <is>
          <t>Money_Growth</t>
        </is>
      </c>
      <c r="C269" s="10" t="n">
        <v>2020</v>
      </c>
      <c r="D269" s="8" t="n">
        <v>10.159916138524</v>
      </c>
      <c r="E269" s="8" t="n">
        <v>9.056182923130891</v>
      </c>
      <c r="F269" s="8" t="n">
        <v>10.8045681124474</v>
      </c>
      <c r="G269" s="8" t="n">
        <v>11.0341086757699</v>
      </c>
      <c r="H269" s="8" t="n">
        <v>9.74480484273284</v>
      </c>
      <c r="I269" s="10" t="n">
        <v>10.1599161385202</v>
      </c>
      <c r="J269" s="8" t="n">
        <v>-3.74100750377693e-12</v>
      </c>
      <c r="K269" s="7" t="inlineStr">
        <is>
          <t>Denton-Cholette First-Difference Minimization</t>
        </is>
      </c>
      <c r="L269" s="7" t="inlineStr">
        <is>
          <t>mean(Q1..Q4) == Annual_Growth</t>
        </is>
      </c>
    </row>
    <row r="270" ht="19" customHeight="1">
      <c r="A270" s="6" t="inlineStr">
        <is>
          <t>Thailand</t>
        </is>
      </c>
      <c r="B270" s="7" t="inlineStr">
        <is>
          <t>Money_Growth</t>
        </is>
      </c>
      <c r="C270" s="10" t="n">
        <v>2021</v>
      </c>
      <c r="D270" s="8" t="n">
        <v>4.80510932600993</v>
      </c>
      <c r="E270" s="8" t="n">
        <v>6.936655323994</v>
      </c>
      <c r="F270" s="8" t="n">
        <v>4.96077802200248</v>
      </c>
      <c r="G270" s="8" t="n">
        <v>3.81717096091404</v>
      </c>
      <c r="H270" s="8" t="n">
        <v>3.5058329970793</v>
      </c>
      <c r="I270" s="10" t="n">
        <v>4.80510932599746</v>
      </c>
      <c r="J270" s="8" t="n">
        <v>-1.24780186183671e-11</v>
      </c>
      <c r="K270" s="7" t="inlineStr">
        <is>
          <t>Denton-Cholette First-Difference Minimization</t>
        </is>
      </c>
      <c r="L270" s="7" t="inlineStr">
        <is>
          <t>mean(Q1..Q4) == Annual_Growth</t>
        </is>
      </c>
    </row>
    <row r="271" ht="19" customHeight="1">
      <c r="A271" s="6" t="inlineStr">
        <is>
          <t>Thailand</t>
        </is>
      </c>
      <c r="B271" s="7" t="inlineStr">
        <is>
          <t>Money_Growth</t>
        </is>
      </c>
      <c r="C271" s="10" t="n">
        <v>2022</v>
      </c>
      <c r="D271" s="8" t="n">
        <v>3.87577190401605</v>
      </c>
      <c r="E271" s="8" t="n">
        <v>4.02676381918634</v>
      </c>
      <c r="F271" s="8" t="n">
        <v>4.17473934525047</v>
      </c>
      <c r="G271" s="8" t="n">
        <v>3.94975972327847</v>
      </c>
      <c r="H271" s="8" t="n">
        <v>3.35182472832199</v>
      </c>
      <c r="I271" s="10" t="n">
        <v>3.87577190400932</v>
      </c>
      <c r="J271" s="8" t="n">
        <v>-6.731948332117099e-12</v>
      </c>
      <c r="K271" s="7" t="inlineStr">
        <is>
          <t>Denton-Cholette First-Difference Minimization</t>
        </is>
      </c>
      <c r="L271" s="7" t="inlineStr">
        <is>
          <t>mean(Q1..Q4) == Annual_Growth</t>
        </is>
      </c>
    </row>
    <row r="272" ht="19" customHeight="1">
      <c r="A272" s="6" t="inlineStr">
        <is>
          <t>Thailand</t>
        </is>
      </c>
      <c r="B272" s="7" t="inlineStr">
        <is>
          <t>Money_Growth</t>
        </is>
      </c>
      <c r="C272" s="10" t="n">
        <v>2023</v>
      </c>
      <c r="D272" s="8" t="n">
        <v>1.95048091318844</v>
      </c>
      <c r="E272" s="8" t="n">
        <v>2.38093376242368</v>
      </c>
      <c r="F272" s="8" t="n">
        <v>1.82039647558257</v>
      </c>
      <c r="G272" s="8" t="n">
        <v>1.67021230731114</v>
      </c>
      <c r="H272" s="8" t="n">
        <v>1.93038110741529</v>
      </c>
      <c r="I272" s="10" t="n">
        <v>1.95048091318317</v>
      </c>
      <c r="J272" s="8" t="n">
        <v>-5.27156096552517e-12</v>
      </c>
      <c r="K272" s="7" t="inlineStr">
        <is>
          <t>Denton-Cholette First-Difference Minimization</t>
        </is>
      </c>
      <c r="L272" s="7" t="inlineStr">
        <is>
          <t>mean(Q1..Q4) == Annual_Growth</t>
        </is>
      </c>
    </row>
    <row r="273" ht="19" customHeight="1">
      <c r="A273" s="6" t="inlineStr">
        <is>
          <t>Thailand</t>
        </is>
      </c>
      <c r="B273" s="7" t="inlineStr">
        <is>
          <t>Money_Growth</t>
        </is>
      </c>
      <c r="C273" s="10" t="n">
        <v>2024</v>
      </c>
      <c r="D273" s="8" t="n">
        <v>3.37137348349011</v>
      </c>
      <c r="E273" s="8" t="n">
        <v>2.60090313604888</v>
      </c>
      <c r="F273" s="8" t="n">
        <v>3.17729980768973</v>
      </c>
      <c r="G273" s="8" t="n">
        <v>3.65957169871016</v>
      </c>
      <c r="H273" s="8" t="n">
        <v>4.04771929142163</v>
      </c>
      <c r="I273" s="10" t="n">
        <v>3.3713734834676</v>
      </c>
      <c r="J273" s="8" t="n">
        <v>-2.25126584041391e-11</v>
      </c>
      <c r="K273" s="7" t="inlineStr">
        <is>
          <t>Denton-Cholette First-Difference Minimization</t>
        </is>
      </c>
      <c r="L273" s="7" t="inlineStr">
        <is>
          <t>mean(Q1..Q4) == Annual_Growth</t>
        </is>
      </c>
    </row>
    <row r="274" ht="19" customHeight="1">
      <c r="A274" s="6" t="inlineStr">
        <is>
          <t>Thailand</t>
        </is>
      </c>
      <c r="B274" s="7" t="inlineStr">
        <is>
          <t>Money_Growth</t>
        </is>
      </c>
      <c r="C274" s="10" t="n">
        <v>2025</v>
      </c>
      <c r="D274" s="8" t="n">
        <v>4.59901331025084</v>
      </c>
      <c r="E274" s="8" t="n">
        <v>4.34174297393989</v>
      </c>
      <c r="F274" s="8" t="n">
        <v>4.56226047857947</v>
      </c>
      <c r="G274" s="8" t="n">
        <v>4.70927202580223</v>
      </c>
      <c r="H274" s="8" t="n">
        <v>4.78277776265483</v>
      </c>
      <c r="I274" s="10" t="n">
        <v>4.59901331024411</v>
      </c>
      <c r="J274" s="8" t="n">
        <v>-6.733280599746649e-12</v>
      </c>
      <c r="K274" s="7" t="inlineStr">
        <is>
          <t>Denton-Cholette First-Difference Minimization</t>
        </is>
      </c>
      <c r="L274" s="7" t="inlineStr">
        <is>
          <t>mean(Q1..Q4) == Annual_Growth</t>
        </is>
      </c>
    </row>
    <row r="275" ht="19" customHeight="1">
      <c r="A275" s="6" t="inlineStr">
        <is>
          <t>Vietnam</t>
        </is>
      </c>
      <c r="B275" s="7" t="inlineStr">
        <is>
          <t>Money_Growth</t>
        </is>
      </c>
      <c r="C275" s="10" t="n">
        <v>2010</v>
      </c>
      <c r="D275" s="8" t="n">
        <v>29.7146068413459</v>
      </c>
      <c r="E275" s="8" t="n">
        <v>34.7582998228526</v>
      </c>
      <c r="F275" s="8" t="n">
        <v>32.7408238407176</v>
      </c>
      <c r="G275" s="8" t="n">
        <v>28.7058698589108</v>
      </c>
      <c r="H275" s="8" t="n">
        <v>22.6534338424805</v>
      </c>
      <c r="I275" s="10" t="n">
        <v>29.7146068412404</v>
      </c>
      <c r="J275" s="8" t="n">
        <v>-1.05519148974054e-10</v>
      </c>
      <c r="K275" s="7" t="inlineStr">
        <is>
          <t>Denton-Cholette First-Difference Minimization</t>
        </is>
      </c>
      <c r="L275" s="7" t="inlineStr">
        <is>
          <t>mean(Q1..Q4) == Annual_Growth</t>
        </is>
      </c>
    </row>
    <row r="276" ht="19" customHeight="1">
      <c r="A276" s="6" t="inlineStr">
        <is>
          <t>Vietnam</t>
        </is>
      </c>
      <c r="B276" s="7" t="inlineStr">
        <is>
          <t>Money_Growth</t>
        </is>
      </c>
      <c r="C276" s="10" t="n">
        <v>2011</v>
      </c>
      <c r="D276" s="8" t="n">
        <v>11.9424460401465</v>
      </c>
      <c r="E276" s="8" t="n">
        <v>14.5835097390397</v>
      </c>
      <c r="F276" s="8" t="n">
        <v>10.2991163817263</v>
      </c>
      <c r="G276" s="8" t="n">
        <v>9.800249486240951</v>
      </c>
      <c r="H276" s="8" t="n">
        <v>13.0869085536845</v>
      </c>
      <c r="I276" s="10" t="n">
        <v>11.9424460401729</v>
      </c>
      <c r="J276" s="8" t="n">
        <v>2.64090971313635e-11</v>
      </c>
      <c r="K276" s="7" t="inlineStr">
        <is>
          <t>Denton-Cholette First-Difference Minimization</t>
        </is>
      </c>
      <c r="L276" s="7" t="inlineStr">
        <is>
          <t>mean(Q1..Q4) == Annual_Growth</t>
        </is>
      </c>
    </row>
    <row r="277" ht="19" customHeight="1">
      <c r="A277" s="6" t="inlineStr">
        <is>
          <t>Vietnam</t>
        </is>
      </c>
      <c r="B277" s="7" t="inlineStr">
        <is>
          <t>Money_Growth</t>
        </is>
      </c>
      <c r="C277" s="10" t="n">
        <v>2012</v>
      </c>
      <c r="D277" s="8" t="n">
        <v>24.5447476994067</v>
      </c>
      <c r="E277" s="8" t="n">
        <v>20.1590968706612</v>
      </c>
      <c r="F277" s="8" t="n">
        <v>24.7422304862955</v>
      </c>
      <c r="G277" s="8" t="n">
        <v>26.836313983763</v>
      </c>
      <c r="H277" s="8" t="n">
        <v>26.4413494571709</v>
      </c>
      <c r="I277" s="10" t="n">
        <v>24.5447476994727</v>
      </c>
      <c r="J277" s="8" t="n">
        <v>6.59561294469313e-11</v>
      </c>
      <c r="K277" s="7" t="inlineStr">
        <is>
          <t>Denton-Cholette First-Difference Minimization</t>
        </is>
      </c>
      <c r="L277" s="7" t="inlineStr">
        <is>
          <t>mean(Q1..Q4) == Annual_Growth</t>
        </is>
      </c>
    </row>
    <row r="278" ht="19" customHeight="1">
      <c r="A278" s="6" t="inlineStr">
        <is>
          <t>Vietnam</t>
        </is>
      </c>
      <c r="B278" s="7" t="inlineStr">
        <is>
          <t>Money_Growth</t>
        </is>
      </c>
      <c r="C278" s="10" t="n">
        <v>2013</v>
      </c>
      <c r="D278" s="8" t="n">
        <v>21.3994701544947</v>
      </c>
      <c r="E278" s="8" t="n">
        <v>23.557336511545</v>
      </c>
      <c r="F278" s="8" t="n">
        <v>21.5405857120606</v>
      </c>
      <c r="G278" s="8" t="n">
        <v>20.3910950421512</v>
      </c>
      <c r="H278" s="8" t="n">
        <v>20.1088633522599</v>
      </c>
      <c r="I278" s="10" t="n">
        <v>21.3994701545041</v>
      </c>
      <c r="J278" s="8" t="n">
        <v>9.404033107784929e-12</v>
      </c>
      <c r="K278" s="7" t="inlineStr">
        <is>
          <t>Denton-Cholette First-Difference Minimization</t>
        </is>
      </c>
      <c r="L278" s="7" t="inlineStr">
        <is>
          <t>mean(Q1..Q4) == Annual_Growth</t>
        </is>
      </c>
    </row>
    <row r="279" ht="19" customHeight="1">
      <c r="A279" s="6" t="inlineStr">
        <is>
          <t>Vietnam</t>
        </is>
      </c>
      <c r="B279" s="7" t="inlineStr">
        <is>
          <t>Money_Growth</t>
        </is>
      </c>
      <c r="C279" s="10" t="n">
        <v>2014</v>
      </c>
      <c r="D279" s="8" t="n">
        <v>19.7400184853866</v>
      </c>
      <c r="E279" s="8" t="n">
        <v>20.6938903600443</v>
      </c>
      <c r="F279" s="8" t="n">
        <v>20.5463525603942</v>
      </c>
      <c r="G279" s="8" t="n">
        <v>19.66624980556</v>
      </c>
      <c r="H279" s="8" t="n">
        <v>18.0535812155297</v>
      </c>
      <c r="I279" s="10" t="n">
        <v>19.7400184853821</v>
      </c>
      <c r="J279" s="8" t="n">
        <v>-4.53326265414944e-12</v>
      </c>
      <c r="K279" s="7" t="inlineStr">
        <is>
          <t>Denton-Cholette First-Difference Minimization</t>
        </is>
      </c>
      <c r="L279" s="7" t="inlineStr">
        <is>
          <t>mean(Q1..Q4) == Annual_Growth</t>
        </is>
      </c>
    </row>
    <row r="280" ht="19" customHeight="1">
      <c r="A280" s="6" t="inlineStr">
        <is>
          <t>Vietnam</t>
        </is>
      </c>
      <c r="B280" s="7" t="inlineStr">
        <is>
          <t>Money_Growth</t>
        </is>
      </c>
      <c r="C280" s="10" t="n">
        <v>2015</v>
      </c>
      <c r="D280" s="8" t="n">
        <v>14.9084399187805</v>
      </c>
      <c r="E280" s="8" t="n">
        <v>15.708345177629</v>
      </c>
      <c r="F280" s="8" t="n">
        <v>14.4502891792296</v>
      </c>
      <c r="G280" s="8" t="n">
        <v>14.2794119623116</v>
      </c>
      <c r="H280" s="8" t="n">
        <v>15.1957133559261</v>
      </c>
      <c r="I280" s="10" t="n">
        <v>14.9084399187741</v>
      </c>
      <c r="J280" s="8" t="n">
        <v>-6.373568339768099e-12</v>
      </c>
      <c r="K280" s="7" t="inlineStr">
        <is>
          <t>Denton-Cholette First-Difference Minimization</t>
        </is>
      </c>
      <c r="L280" s="7" t="inlineStr">
        <is>
          <t>mean(Q1..Q4) == Annual_Growth</t>
        </is>
      </c>
    </row>
    <row r="281" ht="19" customHeight="1">
      <c r="A281" s="6" t="inlineStr">
        <is>
          <t>Vietnam</t>
        </is>
      </c>
      <c r="B281" s="7" t="inlineStr">
        <is>
          <t>Money_Growth</t>
        </is>
      </c>
      <c r="C281" s="10" t="n">
        <v>2016</v>
      </c>
      <c r="D281" s="8" t="n">
        <v>17.8803568555182</v>
      </c>
      <c r="E281" s="8" t="n">
        <v>17.1991942764666</v>
      </c>
      <c r="F281" s="8" t="n">
        <v>18.2730512323375</v>
      </c>
      <c r="G281" s="8" t="n">
        <v>18.4172852972656</v>
      </c>
      <c r="H281" s="8" t="n">
        <v>17.631896615859</v>
      </c>
      <c r="I281" s="10" t="n">
        <v>17.8803568554822</v>
      </c>
      <c r="J281" s="8" t="n">
        <v>-3.60209639893583e-11</v>
      </c>
      <c r="K281" s="7" t="inlineStr">
        <is>
          <t>Denton-Cholette First-Difference Minimization</t>
        </is>
      </c>
      <c r="L281" s="7" t="inlineStr">
        <is>
          <t>mean(Q1..Q4) == Annual_Growth</t>
        </is>
      </c>
    </row>
    <row r="282" ht="19" customHeight="1">
      <c r="A282" s="6" t="inlineStr">
        <is>
          <t>Vietnam</t>
        </is>
      </c>
      <c r="B282" s="7" t="inlineStr">
        <is>
          <t>Money_Growth</t>
        </is>
      </c>
      <c r="C282" s="10" t="n">
        <v>2017</v>
      </c>
      <c r="D282" s="8" t="n">
        <v>14.2563683115213</v>
      </c>
      <c r="E282" s="8" t="n">
        <v>15.9168844023337</v>
      </c>
      <c r="F282" s="8" t="n">
        <v>14.5666737192353</v>
      </c>
      <c r="G282" s="8" t="n">
        <v>13.5812632162491</v>
      </c>
      <c r="H282" s="8" t="n">
        <v>12.9606519081272</v>
      </c>
      <c r="I282" s="10" t="n">
        <v>14.2563683114863</v>
      </c>
      <c r="J282" s="8" t="n">
        <v>-3.498534795198789e-11</v>
      </c>
      <c r="K282" s="7" t="inlineStr">
        <is>
          <t>Denton-Cholette First-Difference Minimization</t>
        </is>
      </c>
      <c r="L282" s="7" t="inlineStr">
        <is>
          <t>mean(Q1..Q4) == Annual_Growth</t>
        </is>
      </c>
    </row>
    <row r="283" ht="19" customHeight="1">
      <c r="A283" s="6" t="inlineStr">
        <is>
          <t>Vietnam</t>
        </is>
      </c>
      <c r="B283" s="7" t="inlineStr">
        <is>
          <t>Money_Growth</t>
        </is>
      </c>
      <c r="C283" s="10" t="n">
        <v>2018</v>
      </c>
      <c r="D283" s="8" t="n">
        <v>12.6983839076477</v>
      </c>
      <c r="E283" s="8" t="n">
        <v>12.7048391740088</v>
      </c>
      <c r="F283" s="8" t="n">
        <v>12.5999320112181</v>
      </c>
      <c r="G283" s="8" t="n">
        <v>12.6459303147423</v>
      </c>
      <c r="H283" s="8" t="n">
        <v>12.842834130579</v>
      </c>
      <c r="I283" s="10" t="n">
        <v>12.698383907637</v>
      </c>
      <c r="J283" s="8" t="n">
        <v>-1.06048503312195e-11</v>
      </c>
      <c r="K283" s="7" t="inlineStr">
        <is>
          <t>Denton-Cholette First-Difference Minimization</t>
        </is>
      </c>
      <c r="L283" s="7" t="inlineStr">
        <is>
          <t>mean(Q1..Q4) == Annual_Growth</t>
        </is>
      </c>
    </row>
    <row r="284" ht="19" customHeight="1">
      <c r="A284" s="6" t="inlineStr">
        <is>
          <t>Vietnam</t>
        </is>
      </c>
      <c r="B284" s="7" t="inlineStr">
        <is>
          <t>Money_Growth</t>
        </is>
      </c>
      <c r="C284" s="10" t="n">
        <v>2019</v>
      </c>
      <c r="D284" s="8" t="n">
        <v>13.6213022976993</v>
      </c>
      <c r="E284" s="8" t="n">
        <v>13.190643655648</v>
      </c>
      <c r="F284" s="8" t="n">
        <v>13.5020307704849</v>
      </c>
      <c r="G284" s="8" t="n">
        <v>13.776995786344</v>
      </c>
      <c r="H284" s="8" t="n">
        <v>14.015538978154</v>
      </c>
      <c r="I284" s="10" t="n">
        <v>13.6213022976577</v>
      </c>
      <c r="J284" s="8" t="n">
        <v>-4.16076062492721e-11</v>
      </c>
      <c r="K284" s="7" t="inlineStr">
        <is>
          <t>Denton-Cholette First-Difference Minimization</t>
        </is>
      </c>
      <c r="L284" s="7" t="inlineStr">
        <is>
          <t>mean(Q1..Q4) == Annual_Growth</t>
        </is>
      </c>
    </row>
    <row r="285" ht="19" customHeight="1">
      <c r="A285" s="6" t="inlineStr">
        <is>
          <t>Vietnam</t>
        </is>
      </c>
      <c r="B285" s="7" t="inlineStr">
        <is>
          <t>Money_Growth</t>
        </is>
      </c>
      <c r="C285" s="10" t="n">
        <v>2020</v>
      </c>
      <c r="D285" s="8" t="n">
        <v>13.6334900036844</v>
      </c>
      <c r="E285" s="8" t="n">
        <v>14.2176605847407</v>
      </c>
      <c r="F285" s="8" t="n">
        <v>14.0648411067746</v>
      </c>
      <c r="G285" s="8" t="n">
        <v>13.5570803916512</v>
      </c>
      <c r="H285" s="8" t="n">
        <v>12.6943779315532</v>
      </c>
      <c r="I285" s="10" t="n">
        <v>13.6334900036799</v>
      </c>
      <c r="J285" s="8" t="n">
        <v>-4.50839365839784e-12</v>
      </c>
      <c r="K285" s="7" t="inlineStr">
        <is>
          <t>Denton-Cholette First-Difference Minimization</t>
        </is>
      </c>
      <c r="L285" s="7" t="inlineStr">
        <is>
          <t>mean(Q1..Q4) == Annual_Growth</t>
        </is>
      </c>
    </row>
    <row r="286" ht="19" customHeight="1">
      <c r="A286" s="6" t="inlineStr">
        <is>
          <t>Vietnam</t>
        </is>
      </c>
      <c r="B286" s="7" t="inlineStr">
        <is>
          <t>Money_Growth</t>
        </is>
      </c>
      <c r="C286" s="10" t="n">
        <v>2021</v>
      </c>
      <c r="D286" s="8" t="n">
        <v>9.675951414634181</v>
      </c>
      <c r="E286" s="8" t="n">
        <v>11.4767328637378</v>
      </c>
      <c r="F286" s="8" t="n">
        <v>10.2693628596679</v>
      </c>
      <c r="G286" s="8" t="n">
        <v>9.072266711906179</v>
      </c>
      <c r="H286" s="8" t="n">
        <v>7.88544322334365</v>
      </c>
      <c r="I286" s="10" t="n">
        <v>9.675951414663899</v>
      </c>
      <c r="J286" s="8" t="n">
        <v>2.9722002636845e-11</v>
      </c>
      <c r="K286" s="7" t="inlineStr">
        <is>
          <t>Denton-Cholette First-Difference Minimization</t>
        </is>
      </c>
      <c r="L286" s="7" t="inlineStr">
        <is>
          <t>mean(Q1..Q4) == Annual_Growth</t>
        </is>
      </c>
    </row>
    <row r="287" ht="19" customHeight="1">
      <c r="A287" s="6" t="inlineStr">
        <is>
          <t>Vietnam</t>
        </is>
      </c>
      <c r="B287" s="7" t="inlineStr">
        <is>
          <t>Money_Growth</t>
        </is>
      </c>
      <c r="C287" s="10" t="n">
        <v>2022</v>
      </c>
      <c r="D287" s="8" t="n">
        <v>5.67940973729915</v>
      </c>
      <c r="E287" s="8" t="n">
        <v>6.70889120722992</v>
      </c>
      <c r="F287" s="8" t="n">
        <v>5.82647822453807</v>
      </c>
      <c r="G287" s="8" t="n">
        <v>5.23820339301013</v>
      </c>
      <c r="H287" s="8" t="n">
        <v>4.94406612429404</v>
      </c>
      <c r="I287" s="10" t="n">
        <v>5.67940973726804</v>
      </c>
      <c r="J287" s="8" t="n">
        <v>-3.11137782205151e-11</v>
      </c>
      <c r="K287" s="7" t="inlineStr">
        <is>
          <t>Denton-Cholette First-Difference Minimization</t>
        </is>
      </c>
      <c r="L287" s="7" t="inlineStr">
        <is>
          <t>mean(Q1..Q4) == Annual_Growth</t>
        </is>
      </c>
    </row>
  </sheetData>
  <autoFilter ref="A1:L28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6" customHeight="1">
      <c r="A1" s="5" t="inlineStr">
        <is>
          <t>entity</t>
        </is>
      </c>
      <c r="B1" s="5" t="inlineStr">
        <is>
          <t>variable</t>
        </is>
      </c>
      <c r="C1" s="5" t="inlineStr">
        <is>
          <t>n_obs</t>
        </is>
      </c>
      <c r="D1" s="5" t="inlineStr">
        <is>
          <t>n_missing</t>
        </is>
      </c>
      <c r="E1" s="5" t="inlineStr">
        <is>
          <t>mean</t>
        </is>
      </c>
      <c r="F1" s="5" t="inlineStr">
        <is>
          <t>sd</t>
        </is>
      </c>
      <c r="G1" s="5" t="inlineStr">
        <is>
          <t>median</t>
        </is>
      </c>
      <c r="H1" s="5" t="inlineStr">
        <is>
          <t>min</t>
        </is>
      </c>
      <c r="I1" s="5" t="inlineStr">
        <is>
          <t>max</t>
        </is>
      </c>
      <c r="J1" s="5" t="inlineStr">
        <is>
          <t>skewness</t>
        </is>
      </c>
      <c r="K1" s="5" t="inlineStr">
        <is>
          <t>kurtosis</t>
        </is>
      </c>
    </row>
    <row r="2" ht="19" customHeight="1">
      <c r="A2" s="6" t="inlineStr">
        <is>
          <t>Brunei</t>
        </is>
      </c>
      <c r="B2" s="7" t="inlineStr">
        <is>
          <t>inflation_yoy</t>
        </is>
      </c>
      <c r="C2" s="10" t="n">
        <v>57</v>
      </c>
      <c r="D2" s="10" t="n">
        <v>4</v>
      </c>
      <c r="E2" s="8" t="n">
        <v>0.443</v>
      </c>
      <c r="F2" s="8" t="n">
        <v>1.254</v>
      </c>
      <c r="G2" s="8" t="n">
        <v>0.08799999999999999</v>
      </c>
      <c r="H2" s="8" t="n">
        <v>-1.41</v>
      </c>
      <c r="I2" s="8" t="n">
        <v>4.291</v>
      </c>
      <c r="J2" s="8" t="n">
        <v>1.249</v>
      </c>
      <c r="K2" s="8" t="n">
        <v>1.231</v>
      </c>
    </row>
    <row r="3" ht="19" customHeight="1">
      <c r="A3" s="6" t="inlineStr">
        <is>
          <t>Brunei</t>
        </is>
      </c>
      <c r="B3" s="7" t="inlineStr">
        <is>
          <t>inflation_qoq</t>
        </is>
      </c>
      <c r="C3" s="10" t="n">
        <v>60</v>
      </c>
      <c r="D3" s="10" t="n">
        <v>1</v>
      </c>
      <c r="E3" s="8" t="n">
        <v>0.1</v>
      </c>
      <c r="F3" s="8" t="n">
        <v>0.5</v>
      </c>
      <c r="G3" s="8" t="n">
        <v>0.079</v>
      </c>
      <c r="H3" s="8" t="n">
        <v>-1.399</v>
      </c>
      <c r="I3" s="8" t="n">
        <v>2.163</v>
      </c>
      <c r="J3" s="8" t="n">
        <v>0.773</v>
      </c>
      <c r="K3" s="8" t="n">
        <v>4.796</v>
      </c>
    </row>
    <row r="4" ht="19" customHeight="1">
      <c r="A4" s="6" t="inlineStr">
        <is>
          <t>Brunei</t>
        </is>
      </c>
      <c r="B4" s="6" t="inlineStr">
        <is>
          <t>gdp_growth</t>
        </is>
      </c>
      <c r="C4" s="10" t="n">
        <v>61</v>
      </c>
      <c r="D4" s="10" t="n">
        <v>0</v>
      </c>
      <c r="E4" s="8" t="n">
        <v>0.573</v>
      </c>
      <c r="F4" s="8" t="n">
        <v>2.345</v>
      </c>
      <c r="G4" s="8" t="n">
        <v>0.411</v>
      </c>
      <c r="H4" s="8" t="n">
        <v>-3.056</v>
      </c>
      <c r="I4" s="8" t="n">
        <v>4.464</v>
      </c>
      <c r="J4" s="8" t="n">
        <v>0.124</v>
      </c>
      <c r="K4" s="8" t="n">
        <v>-1.268</v>
      </c>
    </row>
    <row r="5" ht="19" customHeight="1">
      <c r="A5" s="6" t="inlineStr">
        <is>
          <t>Brunei</t>
        </is>
      </c>
      <c r="B5" s="7" t="inlineStr">
        <is>
          <t>money_growth</t>
        </is>
      </c>
      <c r="C5" s="10" t="n">
        <v>61</v>
      </c>
      <c r="D5" s="10" t="n">
        <v>0</v>
      </c>
      <c r="E5" s="8" t="n">
        <v>2.451</v>
      </c>
      <c r="F5" s="8" t="n">
        <v>2.865</v>
      </c>
      <c r="G5" s="8" t="n">
        <v>2.391</v>
      </c>
      <c r="H5" s="8" t="n">
        <v>-2.44</v>
      </c>
      <c r="I5" s="8" t="n">
        <v>11.269</v>
      </c>
      <c r="J5" s="8" t="n">
        <v>1.036</v>
      </c>
      <c r="K5" s="8" t="n">
        <v>1.571</v>
      </c>
    </row>
    <row r="6" ht="19" customHeight="1">
      <c r="A6" s="6" t="inlineStr">
        <is>
          <t>Brunei</t>
        </is>
      </c>
      <c r="B6" s="6" t="inlineStr">
        <is>
          <t>reer_yoy</t>
        </is>
      </c>
      <c r="C6" s="10" t="n">
        <v>57</v>
      </c>
      <c r="D6" s="10" t="n">
        <v>4</v>
      </c>
      <c r="E6" s="8" t="n">
        <v>-0.731</v>
      </c>
      <c r="F6" s="8" t="n">
        <v>1.382</v>
      </c>
      <c r="G6" s="8" t="n">
        <v>-0.867</v>
      </c>
      <c r="H6" s="8" t="n">
        <v>-3.146</v>
      </c>
      <c r="I6" s="8" t="n">
        <v>2.487</v>
      </c>
      <c r="J6" s="8" t="n">
        <v>0.301</v>
      </c>
      <c r="K6" s="8" t="n">
        <v>-0.627</v>
      </c>
    </row>
    <row r="7" ht="19" customHeight="1">
      <c r="A7" s="6" t="inlineStr">
        <is>
          <t>Brunei</t>
        </is>
      </c>
      <c r="B7" s="6" t="inlineStr">
        <is>
          <t>hcpi_q</t>
        </is>
      </c>
      <c r="C7" s="10" t="n">
        <v>61</v>
      </c>
      <c r="D7" s="10" t="n">
        <v>0</v>
      </c>
      <c r="E7" s="8" t="n">
        <v>101.454</v>
      </c>
      <c r="F7" s="8" t="n">
        <v>2.82</v>
      </c>
      <c r="G7" s="8" t="n">
        <v>100.186</v>
      </c>
      <c r="H7" s="8" t="n">
        <v>98.208</v>
      </c>
      <c r="I7" s="8" t="n">
        <v>107.114</v>
      </c>
      <c r="J7" s="8" t="n">
        <v>1.067</v>
      </c>
      <c r="K7" s="8" t="n">
        <v>-0.439</v>
      </c>
    </row>
    <row r="8" ht="19" customHeight="1">
      <c r="A8" s="6" t="inlineStr">
        <is>
          <t>Brunei</t>
        </is>
      </c>
      <c r="B8" s="6" t="inlineStr">
        <is>
          <t>reer_q</t>
        </is>
      </c>
      <c r="C8" s="10" t="n">
        <v>61</v>
      </c>
      <c r="D8" s="10" t="n">
        <v>0</v>
      </c>
      <c r="E8" s="8" t="n">
        <v>101.059</v>
      </c>
      <c r="F8" s="8" t="n">
        <v>3.285</v>
      </c>
      <c r="G8" s="8" t="n">
        <v>100.06</v>
      </c>
      <c r="H8" s="8" t="n">
        <v>94.02</v>
      </c>
      <c r="I8" s="8" t="n">
        <v>106.82</v>
      </c>
      <c r="J8" s="8" t="n">
        <v>0.114</v>
      </c>
      <c r="K8" s="8" t="n">
        <v>-0.853</v>
      </c>
    </row>
    <row r="9" ht="19" customHeight="1">
      <c r="A9" s="6" t="inlineStr">
        <is>
          <t>Cambodia</t>
        </is>
      </c>
      <c r="B9" s="7" t="inlineStr">
        <is>
          <t>inflation_yoy</t>
        </is>
      </c>
      <c r="C9" s="10" t="n">
        <v>57</v>
      </c>
      <c r="D9" s="10" t="n">
        <v>4</v>
      </c>
      <c r="E9" s="8" t="n">
        <v>2.867</v>
      </c>
      <c r="F9" s="8" t="n">
        <v>1.635</v>
      </c>
      <c r="G9" s="8" t="n">
        <v>2.726</v>
      </c>
      <c r="H9" s="8" t="n">
        <v>-0.376</v>
      </c>
      <c r="I9" s="8" t="n">
        <v>7.411</v>
      </c>
      <c r="J9" s="8" t="n">
        <v>0.5649999999999999</v>
      </c>
      <c r="K9" s="8" t="n">
        <v>0.475</v>
      </c>
    </row>
    <row r="10" ht="19" customHeight="1">
      <c r="A10" s="6" t="inlineStr">
        <is>
          <t>Cambodia</t>
        </is>
      </c>
      <c r="B10" s="7" t="inlineStr">
        <is>
          <t>inflation_qoq</t>
        </is>
      </c>
      <c r="C10" s="10" t="n">
        <v>60</v>
      </c>
      <c r="D10" s="10" t="n">
        <v>1</v>
      </c>
      <c r="E10" s="8" t="n">
        <v>0.702</v>
      </c>
      <c r="F10" s="8" t="n">
        <v>0.847</v>
      </c>
      <c r="G10" s="8" t="n">
        <v>0.656</v>
      </c>
      <c r="H10" s="8" t="n">
        <v>-2.362</v>
      </c>
      <c r="I10" s="8" t="n">
        <v>2.919</v>
      </c>
      <c r="J10" s="8" t="n">
        <v>-0.446</v>
      </c>
      <c r="K10" s="8" t="n">
        <v>2.278</v>
      </c>
    </row>
    <row r="11" ht="19" customHeight="1">
      <c r="A11" s="6" t="inlineStr">
        <is>
          <t>Cambodia</t>
        </is>
      </c>
      <c r="B11" s="6" t="inlineStr">
        <is>
          <t>gdp_growth</t>
        </is>
      </c>
      <c r="C11" s="10" t="n">
        <v>61</v>
      </c>
      <c r="D11" s="10" t="n">
        <v>0</v>
      </c>
      <c r="E11" s="8" t="n">
        <v>6.09</v>
      </c>
      <c r="F11" s="8" t="n">
        <v>3.146</v>
      </c>
      <c r="G11" s="8" t="n">
        <v>7.267</v>
      </c>
      <c r="H11" s="8" t="n">
        <v>-5.053</v>
      </c>
      <c r="I11" s="8" t="n">
        <v>10.431</v>
      </c>
      <c r="J11" s="8" t="n">
        <v>-2.028</v>
      </c>
      <c r="K11" s="8" t="n">
        <v>4.174</v>
      </c>
    </row>
    <row r="12" ht="19" customHeight="1">
      <c r="A12" s="6" t="inlineStr">
        <is>
          <t>Cambodia</t>
        </is>
      </c>
      <c r="B12" s="7" t="inlineStr">
        <is>
          <t>money_growth</t>
        </is>
      </c>
      <c r="C12" s="10" t="n">
        <v>61</v>
      </c>
      <c r="D12" s="10" t="n">
        <v>0</v>
      </c>
      <c r="E12" s="8" t="n">
        <v>18.422</v>
      </c>
      <c r="F12" s="8" t="n">
        <v>7.672</v>
      </c>
      <c r="G12" s="8" t="n">
        <v>18.89</v>
      </c>
      <c r="H12" s="8" t="n">
        <v>0.537</v>
      </c>
      <c r="I12" s="8" t="n">
        <v>33.744</v>
      </c>
      <c r="J12" s="8" t="n">
        <v>-0.505</v>
      </c>
      <c r="K12" s="8" t="n">
        <v>-0.278</v>
      </c>
    </row>
    <row r="13" ht="19" customHeight="1">
      <c r="A13" s="6" t="inlineStr">
        <is>
          <t>Cambodia</t>
        </is>
      </c>
      <c r="B13" s="6" t="inlineStr">
        <is>
          <t>reer_yoy</t>
        </is>
      </c>
      <c r="C13" s="10" t="n">
        <v>57</v>
      </c>
      <c r="D13" s="10" t="n">
        <v>4</v>
      </c>
      <c r="E13" s="8" t="n">
        <v>1.868</v>
      </c>
      <c r="F13" s="8" t="n">
        <v>2.865</v>
      </c>
      <c r="G13" s="8" t="n">
        <v>1.982</v>
      </c>
      <c r="H13" s="8" t="n">
        <v>-5.252</v>
      </c>
      <c r="I13" s="8" t="n">
        <v>8.380000000000001</v>
      </c>
      <c r="J13" s="8" t="n">
        <v>-0.111</v>
      </c>
      <c r="K13" s="8" t="n">
        <v>0.022</v>
      </c>
    </row>
    <row r="14" ht="19" customHeight="1">
      <c r="A14" s="6" t="inlineStr">
        <is>
          <t>Cambodia</t>
        </is>
      </c>
      <c r="B14" s="6" t="inlineStr">
        <is>
          <t>hcpi_q</t>
        </is>
      </c>
      <c r="C14" s="10" t="n">
        <v>61</v>
      </c>
      <c r="D14" s="10" t="n">
        <v>0</v>
      </c>
      <c r="E14" s="8" t="n">
        <v>171.138</v>
      </c>
      <c r="F14" s="8" t="n">
        <v>20.992</v>
      </c>
      <c r="G14" s="8" t="n">
        <v>170.437</v>
      </c>
      <c r="H14" s="8" t="n">
        <v>134.564</v>
      </c>
      <c r="I14" s="8" t="n">
        <v>204.265</v>
      </c>
      <c r="J14" s="8" t="n">
        <v>0.076</v>
      </c>
      <c r="K14" s="8" t="n">
        <v>-1.11</v>
      </c>
    </row>
    <row r="15" ht="19" customHeight="1">
      <c r="A15" s="6" t="inlineStr">
        <is>
          <t>Cambodia</t>
        </is>
      </c>
      <c r="B15" s="6" t="inlineStr">
        <is>
          <t>reer_q</t>
        </is>
      </c>
      <c r="C15" s="10" t="n">
        <v>61</v>
      </c>
      <c r="D15" s="10" t="n">
        <v>0</v>
      </c>
      <c r="E15" s="8" t="n">
        <v>125.514</v>
      </c>
      <c r="F15" s="8" t="n">
        <v>10.703</v>
      </c>
      <c r="G15" s="8" t="n">
        <v>129.954</v>
      </c>
      <c r="H15" s="8" t="n">
        <v>104.888</v>
      </c>
      <c r="I15" s="8" t="n">
        <v>140.747</v>
      </c>
      <c r="J15" s="8" t="n">
        <v>-0.621</v>
      </c>
      <c r="K15" s="8" t="n">
        <v>-1.098</v>
      </c>
    </row>
    <row r="16" ht="19" customHeight="1">
      <c r="A16" s="6" t="inlineStr">
        <is>
          <t>Indonesia</t>
        </is>
      </c>
      <c r="B16" s="7" t="inlineStr">
        <is>
          <t>inflation_yoy</t>
        </is>
      </c>
      <c r="C16" s="10" t="n">
        <v>57</v>
      </c>
      <c r="D16" s="10" t="n">
        <v>4</v>
      </c>
      <c r="E16" s="8" t="n">
        <v>3.938</v>
      </c>
      <c r="F16" s="8" t="n">
        <v>1.835</v>
      </c>
      <c r="G16" s="8" t="n">
        <v>3.645</v>
      </c>
      <c r="H16" s="8" t="n">
        <v>0.5649999999999999</v>
      </c>
      <c r="I16" s="8" t="n">
        <v>7.872</v>
      </c>
      <c r="J16" s="8" t="n">
        <v>0.49</v>
      </c>
      <c r="K16" s="8" t="n">
        <v>-0.466</v>
      </c>
    </row>
    <row r="17" ht="19" customHeight="1">
      <c r="A17" s="6" t="inlineStr">
        <is>
          <t>Indonesia</t>
        </is>
      </c>
      <c r="B17" s="7" t="inlineStr">
        <is>
          <t>inflation_qoq</t>
        </is>
      </c>
      <c r="C17" s="10" t="n">
        <v>60</v>
      </c>
      <c r="D17" s="10" t="n">
        <v>1</v>
      </c>
      <c r="E17" s="8" t="n">
        <v>0.959</v>
      </c>
      <c r="F17" s="8" t="n">
        <v>0.791</v>
      </c>
      <c r="G17" s="8" t="n">
        <v>0.787</v>
      </c>
      <c r="H17" s="8" t="n">
        <v>-0.304</v>
      </c>
      <c r="I17" s="8" t="n">
        <v>4.349</v>
      </c>
      <c r="J17" s="8" t="n">
        <v>1.615</v>
      </c>
      <c r="K17" s="8" t="n">
        <v>4.529</v>
      </c>
    </row>
    <row r="18" ht="19" customHeight="1">
      <c r="A18" s="6" t="inlineStr">
        <is>
          <t>Indonesia</t>
        </is>
      </c>
      <c r="B18" s="6" t="inlineStr">
        <is>
          <t>gdp_growth</t>
        </is>
      </c>
      <c r="C18" s="10" t="n">
        <v>61</v>
      </c>
      <c r="D18" s="10" t="n">
        <v>0</v>
      </c>
      <c r="E18" s="8" t="n">
        <v>4.751</v>
      </c>
      <c r="F18" s="8" t="n">
        <v>2.017</v>
      </c>
      <c r="G18" s="8" t="n">
        <v>5.085</v>
      </c>
      <c r="H18" s="8" t="n">
        <v>-2.981</v>
      </c>
      <c r="I18" s="8" t="n">
        <v>6.49</v>
      </c>
      <c r="J18" s="8" t="n">
        <v>-2.734</v>
      </c>
      <c r="K18" s="8" t="n">
        <v>6.876</v>
      </c>
    </row>
    <row r="19" ht="19" customHeight="1">
      <c r="A19" s="6" t="inlineStr">
        <is>
          <t>Indonesia</t>
        </is>
      </c>
      <c r="B19" s="7" t="inlineStr">
        <is>
          <t>money_growth</t>
        </is>
      </c>
      <c r="C19" s="10" t="n">
        <v>61</v>
      </c>
      <c r="D19" s="10" t="n">
        <v>0</v>
      </c>
      <c r="E19" s="8" t="n">
        <v>10.277</v>
      </c>
      <c r="F19" s="8" t="n">
        <v>4.011</v>
      </c>
      <c r="G19" s="8" t="n">
        <v>10.193</v>
      </c>
      <c r="H19" s="8" t="n">
        <v>2.953</v>
      </c>
      <c r="I19" s="8" t="n">
        <v>16.551</v>
      </c>
      <c r="J19" s="8" t="n">
        <v>-0.103</v>
      </c>
      <c r="K19" s="8" t="n">
        <v>-1.132</v>
      </c>
    </row>
    <row r="20" ht="19" customHeight="1">
      <c r="A20" s="6" t="inlineStr">
        <is>
          <t>Indonesia</t>
        </is>
      </c>
      <c r="B20" s="6" t="inlineStr">
        <is>
          <t>reer_yoy</t>
        </is>
      </c>
      <c r="C20" s="10" t="n">
        <v>57</v>
      </c>
      <c r="D20" s="10" t="n">
        <v>4</v>
      </c>
      <c r="E20" s="8" t="n">
        <v>-0.53</v>
      </c>
      <c r="F20" s="8" t="n">
        <v>4.453</v>
      </c>
      <c r="G20" s="8" t="n">
        <v>-0.578</v>
      </c>
      <c r="H20" s="8" t="n">
        <v>-11.9</v>
      </c>
      <c r="I20" s="8" t="n">
        <v>7.293</v>
      </c>
      <c r="J20" s="8" t="n">
        <v>-0.321</v>
      </c>
      <c r="K20" s="8" t="n">
        <v>-0.162</v>
      </c>
    </row>
    <row r="21" ht="19" customHeight="1">
      <c r="A21" s="6" t="inlineStr">
        <is>
          <t>Indonesia</t>
        </is>
      </c>
      <c r="B21" s="6" t="inlineStr">
        <is>
          <t>hcpi_q</t>
        </is>
      </c>
      <c r="C21" s="10" t="n">
        <v>61</v>
      </c>
      <c r="D21" s="10" t="n">
        <v>0</v>
      </c>
      <c r="E21" s="8" t="n">
        <v>105.301</v>
      </c>
      <c r="F21" s="8" t="n">
        <v>17.4</v>
      </c>
      <c r="G21" s="8" t="n">
        <v>107.951</v>
      </c>
      <c r="H21" s="8" t="n">
        <v>73.851</v>
      </c>
      <c r="I21" s="8" t="n">
        <v>130.915</v>
      </c>
      <c r="J21" s="8" t="n">
        <v>-0.245</v>
      </c>
      <c r="K21" s="8" t="n">
        <v>-1.136</v>
      </c>
    </row>
    <row r="22" ht="19" customHeight="1">
      <c r="A22" s="6" t="inlineStr">
        <is>
          <t>Indonesia</t>
        </is>
      </c>
      <c r="B22" s="6" t="inlineStr">
        <is>
          <t>reer_q</t>
        </is>
      </c>
      <c r="C22" s="10" t="n">
        <v>61</v>
      </c>
      <c r="D22" s="10" t="n">
        <v>0</v>
      </c>
      <c r="E22" s="8" t="n">
        <v>109.377</v>
      </c>
      <c r="F22" s="8" t="n">
        <v>4.178</v>
      </c>
      <c r="G22" s="8" t="n">
        <v>108.968</v>
      </c>
      <c r="H22" s="8" t="n">
        <v>100.422</v>
      </c>
      <c r="I22" s="8" t="n">
        <v>117.734</v>
      </c>
      <c r="J22" s="8" t="n">
        <v>0.091</v>
      </c>
      <c r="K22" s="8" t="n">
        <v>-0.636</v>
      </c>
    </row>
    <row r="23" ht="19" customHeight="1">
      <c r="A23" s="6" t="inlineStr">
        <is>
          <t>Laos</t>
        </is>
      </c>
      <c r="B23" s="7" t="inlineStr">
        <is>
          <t>inflation_yoy</t>
        </is>
      </c>
      <c r="C23" s="10" t="n">
        <v>57</v>
      </c>
      <c r="D23" s="10" t="n">
        <v>4</v>
      </c>
      <c r="E23" s="8" t="n">
        <v>8.532</v>
      </c>
      <c r="F23" s="8" t="n">
        <v>10.3</v>
      </c>
      <c r="G23" s="8" t="n">
        <v>4.743</v>
      </c>
      <c r="H23" s="8" t="n">
        <v>0.146</v>
      </c>
      <c r="I23" s="8" t="n">
        <v>40.847</v>
      </c>
      <c r="J23" s="8" t="n">
        <v>1.746</v>
      </c>
      <c r="K23" s="8" t="n">
        <v>1.943</v>
      </c>
    </row>
    <row r="24" ht="19" customHeight="1">
      <c r="A24" s="6" t="inlineStr">
        <is>
          <t>Laos</t>
        </is>
      </c>
      <c r="B24" s="7" t="inlineStr">
        <is>
          <t>inflation_qoq</t>
        </is>
      </c>
      <c r="C24" s="10" t="n">
        <v>60</v>
      </c>
      <c r="D24" s="10" t="n">
        <v>1</v>
      </c>
      <c r="E24" s="8" t="n">
        <v>1.982</v>
      </c>
      <c r="F24" s="8" t="n">
        <v>2.839</v>
      </c>
      <c r="G24" s="8" t="n">
        <v>1.094</v>
      </c>
      <c r="H24" s="8" t="n">
        <v>-1.14</v>
      </c>
      <c r="I24" s="8" t="n">
        <v>15.223</v>
      </c>
      <c r="J24" s="8" t="n">
        <v>2.386</v>
      </c>
      <c r="K24" s="8" t="n">
        <v>6.983</v>
      </c>
    </row>
    <row r="25" ht="19" customHeight="1">
      <c r="A25" s="6" t="inlineStr">
        <is>
          <t>Laos</t>
        </is>
      </c>
      <c r="B25" s="6" t="inlineStr">
        <is>
          <t>gdp_growth</t>
        </is>
      </c>
      <c r="C25" s="10" t="n">
        <v>61</v>
      </c>
      <c r="D25" s="10" t="n">
        <v>0</v>
      </c>
      <c r="E25" s="8" t="n">
        <v>5.76</v>
      </c>
      <c r="F25" s="8" t="n">
        <v>2.432</v>
      </c>
      <c r="G25" s="8" t="n">
        <v>6.87</v>
      </c>
      <c r="H25" s="8" t="n">
        <v>-0.144</v>
      </c>
      <c r="I25" s="8" t="n">
        <v>8.641999999999999</v>
      </c>
      <c r="J25" s="8" t="n">
        <v>-0.76</v>
      </c>
      <c r="K25" s="8" t="n">
        <v>-0.599</v>
      </c>
    </row>
    <row r="26" ht="19" customHeight="1">
      <c r="A26" s="6" t="inlineStr">
        <is>
          <t>Laos</t>
        </is>
      </c>
      <c r="B26" s="7" t="inlineStr">
        <is>
          <t>money_growth</t>
        </is>
      </c>
      <c r="C26" s="10" t="n">
        <v>61</v>
      </c>
      <c r="D26" s="10" t="n">
        <v>0</v>
      </c>
      <c r="E26" s="8" t="n">
        <v>39.129</v>
      </c>
      <c r="F26" s="8" t="n">
        <v>0</v>
      </c>
      <c r="G26" s="8" t="n">
        <v>39.129</v>
      </c>
      <c r="H26" s="8" t="n">
        <v>39.129</v>
      </c>
      <c r="I26" s="8" t="n">
        <v>39.129</v>
      </c>
      <c r="J26" s="8" t="n">
        <v>0</v>
      </c>
      <c r="K26" s="8" t="n">
        <v>0</v>
      </c>
    </row>
    <row r="27" ht="19" customHeight="1">
      <c r="A27" s="6" t="inlineStr">
        <is>
          <t>Laos</t>
        </is>
      </c>
      <c r="B27" s="6" t="inlineStr">
        <is>
          <t>reer_yoy</t>
        </is>
      </c>
      <c r="C27" s="10" t="n">
        <v>57</v>
      </c>
      <c r="D27" s="10" t="n">
        <v>4</v>
      </c>
      <c r="E27" s="8" t="n">
        <v>0.947</v>
      </c>
      <c r="F27" s="8" t="n">
        <v>6.305</v>
      </c>
      <c r="G27" s="8" t="n">
        <v>1.263</v>
      </c>
      <c r="H27" s="8" t="n">
        <v>-14.86</v>
      </c>
      <c r="I27" s="8" t="n">
        <v>12.54</v>
      </c>
      <c r="J27" s="8" t="n">
        <v>-0.575</v>
      </c>
      <c r="K27" s="8" t="n">
        <v>-0.216</v>
      </c>
    </row>
    <row r="28" ht="19" customHeight="1">
      <c r="A28" s="6" t="inlineStr">
        <is>
          <t>Laos</t>
        </is>
      </c>
      <c r="B28" s="6" t="inlineStr">
        <is>
          <t>hcpi_q</t>
        </is>
      </c>
      <c r="C28" s="10" t="n">
        <v>61</v>
      </c>
      <c r="D28" s="10" t="n">
        <v>0</v>
      </c>
      <c r="E28" s="8" t="n">
        <v>119.359</v>
      </c>
      <c r="F28" s="8" t="n">
        <v>44.127</v>
      </c>
      <c r="G28" s="8" t="n">
        <v>102.421</v>
      </c>
      <c r="H28" s="8" t="n">
        <v>76.736</v>
      </c>
      <c r="I28" s="8" t="n">
        <v>246.466</v>
      </c>
      <c r="J28" s="8" t="n">
        <v>1.759</v>
      </c>
      <c r="K28" s="8" t="n">
        <v>1.949</v>
      </c>
    </row>
    <row r="29" ht="19" customHeight="1">
      <c r="A29" s="6" t="inlineStr">
        <is>
          <t>Laos</t>
        </is>
      </c>
      <c r="B29" s="6" t="inlineStr">
        <is>
          <t>reer_q</t>
        </is>
      </c>
      <c r="C29" s="10" t="n">
        <v>61</v>
      </c>
      <c r="D29" s="10" t="n">
        <v>0</v>
      </c>
      <c r="E29" s="8" t="n">
        <v>139.501</v>
      </c>
      <c r="F29" s="8" t="n">
        <v>13.589</v>
      </c>
      <c r="G29" s="8" t="n">
        <v>140.324</v>
      </c>
      <c r="H29" s="8" t="n">
        <v>116.073</v>
      </c>
      <c r="I29" s="8" t="n">
        <v>164.31</v>
      </c>
      <c r="J29" s="8" t="n">
        <v>0.106</v>
      </c>
      <c r="K29" s="8" t="n">
        <v>-1.154</v>
      </c>
    </row>
    <row r="30" ht="19" customHeight="1">
      <c r="A30" s="6" t="inlineStr">
        <is>
          <t>Malaysia</t>
        </is>
      </c>
      <c r="B30" s="7" t="inlineStr">
        <is>
          <t>inflation_yoy</t>
        </is>
      </c>
      <c r="C30" s="10" t="n">
        <v>57</v>
      </c>
      <c r="D30" s="10" t="n">
        <v>4</v>
      </c>
      <c r="E30" s="8" t="n">
        <v>2.045</v>
      </c>
      <c r="F30" s="8" t="n">
        <v>1.446</v>
      </c>
      <c r="G30" s="8" t="n">
        <v>1.977</v>
      </c>
      <c r="H30" s="8" t="n">
        <v>-2.556</v>
      </c>
      <c r="I30" s="8" t="n">
        <v>4.513</v>
      </c>
      <c r="J30" s="8" t="n">
        <v>-0.832</v>
      </c>
      <c r="K30" s="8" t="n">
        <v>1.005</v>
      </c>
    </row>
    <row r="31" ht="19" customHeight="1">
      <c r="A31" s="6" t="inlineStr">
        <is>
          <t>Malaysia</t>
        </is>
      </c>
      <c r="B31" s="7" t="inlineStr">
        <is>
          <t>inflation_qoq</t>
        </is>
      </c>
      <c r="C31" s="10" t="n">
        <v>60</v>
      </c>
      <c r="D31" s="10" t="n">
        <v>1</v>
      </c>
      <c r="E31" s="8" t="n">
        <v>0.5</v>
      </c>
      <c r="F31" s="8" t="n">
        <v>0.741</v>
      </c>
      <c r="G31" s="8" t="n">
        <v>0.49</v>
      </c>
      <c r="H31" s="8" t="n">
        <v>-3.035</v>
      </c>
      <c r="I31" s="8" t="n">
        <v>2.289</v>
      </c>
      <c r="J31" s="8" t="n">
        <v>-1.586</v>
      </c>
      <c r="K31" s="8" t="n">
        <v>7.542</v>
      </c>
    </row>
    <row r="32" ht="19" customHeight="1">
      <c r="A32" s="6" t="inlineStr">
        <is>
          <t>Malaysia</t>
        </is>
      </c>
      <c r="B32" s="6" t="inlineStr">
        <is>
          <t>gdp_growth</t>
        </is>
      </c>
      <c r="C32" s="10" t="n">
        <v>61</v>
      </c>
      <c r="D32" s="10" t="n">
        <v>0</v>
      </c>
      <c r="E32" s="8" t="n">
        <v>4.615</v>
      </c>
      <c r="F32" s="8" t="n">
        <v>3.222</v>
      </c>
      <c r="G32" s="8" t="n">
        <v>5.25</v>
      </c>
      <c r="H32" s="8" t="n">
        <v>-6.743</v>
      </c>
      <c r="I32" s="8" t="n">
        <v>9.815</v>
      </c>
      <c r="J32" s="8" t="n">
        <v>-2.009</v>
      </c>
      <c r="K32" s="8" t="n">
        <v>4.544</v>
      </c>
    </row>
    <row r="33" ht="19" customHeight="1">
      <c r="A33" s="6" t="inlineStr">
        <is>
          <t>Malaysia</t>
        </is>
      </c>
      <c r="B33" s="7" t="inlineStr">
        <is>
          <t>money_growth</t>
        </is>
      </c>
      <c r="C33" s="10" t="n">
        <v>61</v>
      </c>
      <c r="D33" s="10" t="n">
        <v>0</v>
      </c>
      <c r="E33" s="8" t="n">
        <v>5.876</v>
      </c>
      <c r="F33" s="8" t="n">
        <v>3.129</v>
      </c>
      <c r="G33" s="8" t="n">
        <v>5.365</v>
      </c>
      <c r="H33" s="8" t="n">
        <v>1.902</v>
      </c>
      <c r="I33" s="8" t="n">
        <v>15.506</v>
      </c>
      <c r="J33" s="8" t="n">
        <v>1.403</v>
      </c>
      <c r="K33" s="8" t="n">
        <v>1.905</v>
      </c>
    </row>
    <row r="34" ht="19" customHeight="1">
      <c r="A34" s="6" t="inlineStr">
        <is>
          <t>Malaysia</t>
        </is>
      </c>
      <c r="B34" s="6" t="inlineStr">
        <is>
          <t>reer_yoy</t>
        </is>
      </c>
      <c r="C34" s="10" t="n">
        <v>57</v>
      </c>
      <c r="D34" s="10" t="n">
        <v>4</v>
      </c>
      <c r="E34" s="8" t="n">
        <v>-1.043</v>
      </c>
      <c r="F34" s="8" t="n">
        <v>4.175</v>
      </c>
      <c r="G34" s="8" t="n">
        <v>-1.447</v>
      </c>
      <c r="H34" s="8" t="n">
        <v>-14.296</v>
      </c>
      <c r="I34" s="8" t="n">
        <v>7.441</v>
      </c>
      <c r="J34" s="8" t="n">
        <v>-0.316</v>
      </c>
      <c r="K34" s="8" t="n">
        <v>1.181</v>
      </c>
    </row>
    <row r="35" ht="19" customHeight="1">
      <c r="A35" s="6" t="inlineStr">
        <is>
          <t>Malaysia</t>
        </is>
      </c>
      <c r="B35" s="6" t="inlineStr">
        <is>
          <t>hcpi_q</t>
        </is>
      </c>
      <c r="C35" s="10" t="n">
        <v>61</v>
      </c>
      <c r="D35" s="10" t="n">
        <v>0</v>
      </c>
      <c r="E35" s="8" t="n">
        <v>116.888</v>
      </c>
      <c r="F35" s="8" t="n">
        <v>9.962999999999999</v>
      </c>
      <c r="G35" s="8" t="n">
        <v>119.167</v>
      </c>
      <c r="H35" s="8" t="n">
        <v>99.40000000000001</v>
      </c>
      <c r="I35" s="8" t="n">
        <v>133.85</v>
      </c>
      <c r="J35" s="8" t="n">
        <v>-0.075</v>
      </c>
      <c r="K35" s="8" t="n">
        <v>-1.046</v>
      </c>
    </row>
    <row r="36" ht="19" customHeight="1">
      <c r="A36" s="6" t="inlineStr">
        <is>
          <t>Malaysia</t>
        </is>
      </c>
      <c r="B36" s="6" t="inlineStr">
        <is>
          <t>reer_q</t>
        </is>
      </c>
      <c r="C36" s="10" t="n">
        <v>61</v>
      </c>
      <c r="D36" s="10" t="n">
        <v>0</v>
      </c>
      <c r="E36" s="8" t="n">
        <v>96.444</v>
      </c>
      <c r="F36" s="8" t="n">
        <v>7.249</v>
      </c>
      <c r="G36" s="8" t="n">
        <v>94.667</v>
      </c>
      <c r="H36" s="8" t="n">
        <v>83.755</v>
      </c>
      <c r="I36" s="8" t="n">
        <v>109.485</v>
      </c>
      <c r="J36" s="8" t="n">
        <v>0.197</v>
      </c>
      <c r="K36" s="8" t="n">
        <v>-1.281</v>
      </c>
    </row>
    <row r="37" ht="19" customHeight="1">
      <c r="A37" s="6" t="inlineStr">
        <is>
          <t>Myanmar</t>
        </is>
      </c>
      <c r="B37" s="7" t="inlineStr">
        <is>
          <t>inflation_yoy</t>
        </is>
      </c>
      <c r="C37" s="10" t="n">
        <v>57</v>
      </c>
      <c r="D37" s="10" t="n">
        <v>4</v>
      </c>
      <c r="E37" s="8" t="n">
        <v>4.404</v>
      </c>
      <c r="F37" s="8" t="n">
        <v>3.344</v>
      </c>
      <c r="G37" s="8" t="n">
        <v>4.345</v>
      </c>
      <c r="H37" s="8" t="n">
        <v>-1.501</v>
      </c>
      <c r="I37" s="8" t="n">
        <v>13.06</v>
      </c>
      <c r="J37" s="8" t="n">
        <v>0.447</v>
      </c>
      <c r="K37" s="8" t="n">
        <v>-0.622</v>
      </c>
    </row>
    <row r="38" ht="19" customHeight="1">
      <c r="A38" s="6" t="inlineStr">
        <is>
          <t>Myanmar</t>
        </is>
      </c>
      <c r="B38" s="7" t="inlineStr">
        <is>
          <t>inflation_qoq</t>
        </is>
      </c>
      <c r="C38" s="10" t="n">
        <v>60</v>
      </c>
      <c r="D38" s="10" t="n">
        <v>1</v>
      </c>
      <c r="E38" s="8" t="n">
        <v>1.097</v>
      </c>
      <c r="F38" s="8" t="n">
        <v>1.364</v>
      </c>
      <c r="G38" s="8" t="n">
        <v>0.826</v>
      </c>
      <c r="H38" s="8" t="n">
        <v>-2.221</v>
      </c>
      <c r="I38" s="8" t="n">
        <v>5.501</v>
      </c>
      <c r="J38" s="8" t="n">
        <v>0.554</v>
      </c>
      <c r="K38" s="8" t="n">
        <v>0.878</v>
      </c>
    </row>
    <row r="39" ht="19" customHeight="1">
      <c r="A39" s="6" t="inlineStr">
        <is>
          <t>Myanmar</t>
        </is>
      </c>
      <c r="B39" s="6" t="inlineStr">
        <is>
          <t>gdp_growth</t>
        </is>
      </c>
      <c r="C39" s="10" t="n">
        <v>61</v>
      </c>
      <c r="D39" s="10" t="n">
        <v>0</v>
      </c>
      <c r="E39" s="8" t="n">
        <v>3.51</v>
      </c>
      <c r="F39" s="8" t="n">
        <v>6.429</v>
      </c>
      <c r="G39" s="8" t="n">
        <v>6.043</v>
      </c>
      <c r="H39" s="8" t="n">
        <v>-15.081</v>
      </c>
      <c r="I39" s="8" t="n">
        <v>10.692</v>
      </c>
      <c r="J39" s="8" t="n">
        <v>-1.568</v>
      </c>
      <c r="K39" s="8" t="n">
        <v>1.575</v>
      </c>
    </row>
    <row r="40" ht="19" customHeight="1">
      <c r="A40" s="6" t="inlineStr">
        <is>
          <t>Myanmar</t>
        </is>
      </c>
      <c r="B40" s="7" t="inlineStr">
        <is>
          <t>money_growth</t>
        </is>
      </c>
      <c r="C40" s="10" t="n">
        <v>61</v>
      </c>
      <c r="D40" s="10" t="n">
        <v>0</v>
      </c>
      <c r="E40" s="8" t="n">
        <v>22.732</v>
      </c>
      <c r="F40" s="8" t="n">
        <v>8.343999999999999</v>
      </c>
      <c r="G40" s="8" t="n">
        <v>18.46</v>
      </c>
      <c r="H40" s="8" t="n">
        <v>13.385</v>
      </c>
      <c r="I40" s="8" t="n">
        <v>45.444</v>
      </c>
      <c r="J40" s="8" t="n">
        <v>1.035</v>
      </c>
      <c r="K40" s="8" t="n">
        <v>-0.008999999999999999</v>
      </c>
    </row>
    <row r="41" ht="19" customHeight="1">
      <c r="A41" s="6" t="inlineStr">
        <is>
          <t>Myanmar</t>
        </is>
      </c>
      <c r="B41" s="6" t="inlineStr">
        <is>
          <t>reer_yoy</t>
        </is>
      </c>
      <c r="C41" s="10" t="n">
        <v>57</v>
      </c>
      <c r="D41" s="10" t="n">
        <v>4</v>
      </c>
      <c r="E41" s="8" t="n">
        <v>3.164</v>
      </c>
      <c r="F41" s="8" t="n">
        <v>10.724</v>
      </c>
      <c r="G41" s="8" t="n">
        <v>0</v>
      </c>
      <c r="H41" s="8" t="n">
        <v>-17.694</v>
      </c>
      <c r="I41" s="8" t="n">
        <v>28.529</v>
      </c>
      <c r="J41" s="8" t="n">
        <v>0.702</v>
      </c>
      <c r="K41" s="8" t="n">
        <v>-0.008999999999999999</v>
      </c>
    </row>
    <row r="42" ht="19" customHeight="1">
      <c r="A42" s="6" t="inlineStr">
        <is>
          <t>Myanmar</t>
        </is>
      </c>
      <c r="B42" s="6" t="inlineStr">
        <is>
          <t>hcpi_q</t>
        </is>
      </c>
      <c r="C42" s="10" t="n">
        <v>61</v>
      </c>
      <c r="D42" s="10" t="n">
        <v>0</v>
      </c>
      <c r="E42" s="8" t="n">
        <v>134.629</v>
      </c>
      <c r="F42" s="8" t="n">
        <v>28.369</v>
      </c>
      <c r="G42" s="8" t="n">
        <v>133.518</v>
      </c>
      <c r="H42" s="8" t="n">
        <v>89.048</v>
      </c>
      <c r="I42" s="8" t="n">
        <v>170.479</v>
      </c>
      <c r="J42" s="8" t="n">
        <v>-0.143</v>
      </c>
      <c r="K42" s="8" t="n">
        <v>-1.557</v>
      </c>
    </row>
    <row r="43" ht="19" customHeight="1">
      <c r="A43" s="6" t="inlineStr">
        <is>
          <t>Myanmar</t>
        </is>
      </c>
      <c r="B43" s="6" t="inlineStr">
        <is>
          <t>reer_q</t>
        </is>
      </c>
      <c r="C43" s="10" t="n">
        <v>61</v>
      </c>
      <c r="D43" s="10" t="n">
        <v>0</v>
      </c>
      <c r="E43" s="8" t="n">
        <v>98.366</v>
      </c>
      <c r="F43" s="8" t="n">
        <v>14.637</v>
      </c>
      <c r="G43" s="8" t="n">
        <v>96.053</v>
      </c>
      <c r="H43" s="8" t="n">
        <v>82.423</v>
      </c>
      <c r="I43" s="8" t="n">
        <v>156.978</v>
      </c>
      <c r="J43" s="8" t="n">
        <v>2.328</v>
      </c>
      <c r="K43" s="8" t="n">
        <v>5.578</v>
      </c>
    </row>
    <row r="44" ht="19" customHeight="1">
      <c r="A44" s="7" t="inlineStr">
        <is>
          <t>Philippines</t>
        </is>
      </c>
      <c r="B44" s="7" t="inlineStr">
        <is>
          <t>inflation_yoy</t>
        </is>
      </c>
      <c r="C44" s="10" t="n">
        <v>57</v>
      </c>
      <c r="D44" s="10" t="n">
        <v>4</v>
      </c>
      <c r="E44" s="8" t="n">
        <v>3.392</v>
      </c>
      <c r="F44" s="8" t="n">
        <v>1.741</v>
      </c>
      <c r="G44" s="8" t="n">
        <v>3.169</v>
      </c>
      <c r="H44" s="8" t="n">
        <v>-0.062</v>
      </c>
      <c r="I44" s="8" t="n">
        <v>8.304</v>
      </c>
      <c r="J44" s="8" t="n">
        <v>0.592</v>
      </c>
      <c r="K44" s="8" t="n">
        <v>0.536</v>
      </c>
    </row>
    <row r="45" ht="19" customHeight="1">
      <c r="A45" s="7" t="inlineStr">
        <is>
          <t>Philippines</t>
        </is>
      </c>
      <c r="B45" s="7" t="inlineStr">
        <is>
          <t>inflation_qoq</t>
        </is>
      </c>
      <c r="C45" s="10" t="n">
        <v>60</v>
      </c>
      <c r="D45" s="10" t="n">
        <v>1</v>
      </c>
      <c r="E45" s="8" t="n">
        <v>0.832</v>
      </c>
      <c r="F45" s="8" t="n">
        <v>0.636</v>
      </c>
      <c r="G45" s="8" t="n">
        <v>0.789</v>
      </c>
      <c r="H45" s="8" t="n">
        <v>-0.294</v>
      </c>
      <c r="I45" s="8" t="n">
        <v>2.133</v>
      </c>
      <c r="J45" s="8" t="n">
        <v>0.375</v>
      </c>
      <c r="K45" s="8" t="n">
        <v>-0.382</v>
      </c>
    </row>
    <row r="46" ht="19" customHeight="1">
      <c r="A46" s="7" t="inlineStr">
        <is>
          <t>Philippines</t>
        </is>
      </c>
      <c r="B46" s="6" t="inlineStr">
        <is>
          <t>gdp_growth</t>
        </is>
      </c>
      <c r="C46" s="10" t="n">
        <v>61</v>
      </c>
      <c r="D46" s="10" t="n">
        <v>0</v>
      </c>
      <c r="E46" s="8" t="n">
        <v>5.266</v>
      </c>
      <c r="F46" s="8" t="n">
        <v>4.323</v>
      </c>
      <c r="G46" s="8" t="n">
        <v>6.364</v>
      </c>
      <c r="H46" s="8" t="n">
        <v>-11.508</v>
      </c>
      <c r="I46" s="8" t="n">
        <v>9.635999999999999</v>
      </c>
      <c r="J46" s="8" t="n">
        <v>-2.79</v>
      </c>
      <c r="K46" s="8" t="n">
        <v>7.361</v>
      </c>
    </row>
    <row r="47" ht="19" customHeight="1">
      <c r="A47" s="7" t="inlineStr">
        <is>
          <t>Philippines</t>
        </is>
      </c>
      <c r="B47" s="7" t="inlineStr">
        <is>
          <t>money_growth</t>
        </is>
      </c>
      <c r="C47" s="10" t="n">
        <v>61</v>
      </c>
      <c r="D47" s="10" t="n">
        <v>0</v>
      </c>
      <c r="E47" s="8" t="n">
        <v>10.49</v>
      </c>
      <c r="F47" s="8" t="n">
        <v>5.81</v>
      </c>
      <c r="G47" s="8" t="n">
        <v>8.769</v>
      </c>
      <c r="H47" s="8" t="n">
        <v>1.675</v>
      </c>
      <c r="I47" s="8" t="n">
        <v>32.152</v>
      </c>
      <c r="J47" s="8" t="n">
        <v>2.316</v>
      </c>
      <c r="K47" s="8" t="n">
        <v>5.653</v>
      </c>
    </row>
    <row r="48" ht="19" customHeight="1">
      <c r="A48" s="7" t="inlineStr">
        <is>
          <t>Philippines</t>
        </is>
      </c>
      <c r="B48" s="6" t="inlineStr">
        <is>
          <t>reer_yoy</t>
        </is>
      </c>
      <c r="C48" s="10" t="n">
        <v>57</v>
      </c>
      <c r="D48" s="10" t="n">
        <v>4</v>
      </c>
      <c r="E48" s="8" t="n">
        <v>1.06</v>
      </c>
      <c r="F48" s="8" t="n">
        <v>4.337</v>
      </c>
      <c r="G48" s="8" t="n">
        <v>1.424</v>
      </c>
      <c r="H48" s="8" t="n">
        <v>-6.454</v>
      </c>
      <c r="I48" s="8" t="n">
        <v>10.415</v>
      </c>
      <c r="J48" s="8" t="n">
        <v>0.162</v>
      </c>
      <c r="K48" s="8" t="n">
        <v>-0.885</v>
      </c>
    </row>
    <row r="49" ht="19" customHeight="1">
      <c r="A49" s="7" t="inlineStr">
        <is>
          <t>Philippines</t>
        </is>
      </c>
      <c r="B49" s="6" t="inlineStr">
        <is>
          <t>hcpi_q</t>
        </is>
      </c>
      <c r="C49" s="10" t="n">
        <v>61</v>
      </c>
      <c r="D49" s="10" t="n">
        <v>0</v>
      </c>
      <c r="E49" s="8" t="n">
        <v>99.343</v>
      </c>
      <c r="F49" s="8" t="n">
        <v>14.359</v>
      </c>
      <c r="G49" s="8" t="n">
        <v>94.95699999999999</v>
      </c>
      <c r="H49" s="8" t="n">
        <v>78.00700000000001</v>
      </c>
      <c r="I49" s="8" t="n">
        <v>128.1</v>
      </c>
      <c r="J49" s="8" t="n">
        <v>0.528</v>
      </c>
      <c r="K49" s="8" t="n">
        <v>-0.8120000000000001</v>
      </c>
    </row>
    <row r="50" ht="19" customHeight="1">
      <c r="A50" s="7" t="inlineStr">
        <is>
          <t>Philippines</t>
        </is>
      </c>
      <c r="B50" s="6" t="inlineStr">
        <is>
          <t>reer_q</t>
        </is>
      </c>
      <c r="C50" s="10" t="n">
        <v>61</v>
      </c>
      <c r="D50" s="10" t="n">
        <v>0</v>
      </c>
      <c r="E50" s="8" t="n">
        <v>111.023</v>
      </c>
      <c r="F50" s="8" t="n">
        <v>5.68</v>
      </c>
      <c r="G50" s="8" t="n">
        <v>112.248</v>
      </c>
      <c r="H50" s="8" t="n">
        <v>97.88500000000001</v>
      </c>
      <c r="I50" s="8" t="n">
        <v>119.573</v>
      </c>
      <c r="J50" s="8" t="n">
        <v>-0.544</v>
      </c>
      <c r="K50" s="8" t="n">
        <v>-0.775</v>
      </c>
    </row>
    <row r="51" ht="19" customHeight="1">
      <c r="A51" s="6" t="inlineStr">
        <is>
          <t>Singapore</t>
        </is>
      </c>
      <c r="B51" s="7" t="inlineStr">
        <is>
          <t>inflation_yoy</t>
        </is>
      </c>
      <c r="C51" s="10" t="n">
        <v>57</v>
      </c>
      <c r="D51" s="10" t="n">
        <v>4</v>
      </c>
      <c r="E51" s="8" t="n">
        <v>2.08</v>
      </c>
      <c r="F51" s="8" t="n">
        <v>2.282</v>
      </c>
      <c r="G51" s="8" t="n">
        <v>1.558</v>
      </c>
      <c r="H51" s="8" t="n">
        <v>-0.922</v>
      </c>
      <c r="I51" s="8" t="n">
        <v>7.332</v>
      </c>
      <c r="J51" s="8" t="n">
        <v>0.572</v>
      </c>
      <c r="K51" s="8" t="n">
        <v>-0.922</v>
      </c>
    </row>
    <row r="52" ht="19" customHeight="1">
      <c r="A52" s="6" t="inlineStr">
        <is>
          <t>Singapore</t>
        </is>
      </c>
      <c r="B52" s="7" t="inlineStr">
        <is>
          <t>inflation_qoq</t>
        </is>
      </c>
      <c r="C52" s="10" t="n">
        <v>60</v>
      </c>
      <c r="D52" s="10" t="n">
        <v>1</v>
      </c>
      <c r="E52" s="8" t="n">
        <v>0.523</v>
      </c>
      <c r="F52" s="8" t="n">
        <v>0.673</v>
      </c>
      <c r="G52" s="8" t="n">
        <v>0.384</v>
      </c>
      <c r="H52" s="8" t="n">
        <v>-1.209</v>
      </c>
      <c r="I52" s="8" t="n">
        <v>1.982</v>
      </c>
      <c r="J52" s="8" t="n">
        <v>0.231</v>
      </c>
      <c r="K52" s="8" t="n">
        <v>-0.073</v>
      </c>
    </row>
    <row r="53" ht="19" customHeight="1">
      <c r="A53" s="6" t="inlineStr">
        <is>
          <t>Singapore</t>
        </is>
      </c>
      <c r="B53" s="6" t="inlineStr">
        <is>
          <t>gdp_growth</t>
        </is>
      </c>
      <c r="C53" s="10" t="n">
        <v>61</v>
      </c>
      <c r="D53" s="10" t="n">
        <v>0</v>
      </c>
      <c r="E53" s="8" t="n">
        <v>4.471</v>
      </c>
      <c r="F53" s="8" t="n">
        <v>4.104</v>
      </c>
      <c r="G53" s="8" t="n">
        <v>4.303</v>
      </c>
      <c r="H53" s="8" t="n">
        <v>-5.665</v>
      </c>
      <c r="I53" s="8" t="n">
        <v>16.406</v>
      </c>
      <c r="J53" s="8" t="n">
        <v>0.609</v>
      </c>
      <c r="K53" s="8" t="n">
        <v>1.833</v>
      </c>
    </row>
    <row r="54" ht="19" customHeight="1">
      <c r="A54" s="6" t="inlineStr">
        <is>
          <t>Singapore</t>
        </is>
      </c>
      <c r="B54" s="7" t="inlineStr">
        <is>
          <t>money_growth</t>
        </is>
      </c>
      <c r="C54" s="10" t="n">
        <v>61</v>
      </c>
      <c r="D54" s="10" t="n">
        <v>0</v>
      </c>
      <c r="E54" s="8" t="n">
        <v>7.004</v>
      </c>
      <c r="F54" s="8" t="n">
        <v>3.255</v>
      </c>
      <c r="G54" s="8" t="n">
        <v>8.317</v>
      </c>
      <c r="H54" s="8" t="n">
        <v>0.459</v>
      </c>
      <c r="I54" s="8" t="n">
        <v>15.143</v>
      </c>
      <c r="J54" s="8" t="n">
        <v>-0.03</v>
      </c>
      <c r="K54" s="8" t="n">
        <v>-0.458</v>
      </c>
    </row>
    <row r="55" ht="19" customHeight="1">
      <c r="A55" s="6" t="inlineStr">
        <is>
          <t>Singapore</t>
        </is>
      </c>
      <c r="B55" s="6" t="inlineStr">
        <is>
          <t>reer_yoy</t>
        </is>
      </c>
      <c r="C55" s="10" t="n">
        <v>57</v>
      </c>
      <c r="D55" s="10" t="n">
        <v>4</v>
      </c>
      <c r="E55" s="8" t="n">
        <v>1.62</v>
      </c>
      <c r="F55" s="8" t="n">
        <v>3.18</v>
      </c>
      <c r="G55" s="8" t="n">
        <v>0.569</v>
      </c>
      <c r="H55" s="8" t="n">
        <v>-2.854</v>
      </c>
      <c r="I55" s="8" t="n">
        <v>8.478999999999999</v>
      </c>
      <c r="J55" s="8" t="n">
        <v>0.733</v>
      </c>
      <c r="K55" s="8" t="n">
        <v>-0.538</v>
      </c>
    </row>
    <row r="56" ht="19" customHeight="1">
      <c r="A56" s="6" t="inlineStr">
        <is>
          <t>Singapore</t>
        </is>
      </c>
      <c r="B56" s="6" t="inlineStr">
        <is>
          <t>hcpi_q</t>
        </is>
      </c>
      <c r="C56" s="10" t="n">
        <v>61</v>
      </c>
      <c r="D56" s="10" t="n">
        <v>0</v>
      </c>
      <c r="E56" s="8" t="n">
        <v>100.914</v>
      </c>
      <c r="F56" s="8" t="n">
        <v>7.497</v>
      </c>
      <c r="G56" s="8" t="n">
        <v>99.34099999999999</v>
      </c>
      <c r="H56" s="8" t="n">
        <v>85.94799999999999</v>
      </c>
      <c r="I56" s="8" t="n">
        <v>117.368</v>
      </c>
      <c r="J56" s="8" t="n">
        <v>0.625</v>
      </c>
      <c r="K56" s="8" t="n">
        <v>0.189</v>
      </c>
    </row>
    <row r="57" ht="19" customHeight="1">
      <c r="A57" s="6" t="inlineStr">
        <is>
          <t>Singapore</t>
        </is>
      </c>
      <c r="B57" s="6" t="inlineStr">
        <is>
          <t>reer_q</t>
        </is>
      </c>
      <c r="C57" s="10" t="n">
        <v>61</v>
      </c>
      <c r="D57" s="10" t="n">
        <v>0</v>
      </c>
      <c r="E57" s="8" t="n">
        <v>122.632</v>
      </c>
      <c r="F57" s="8" t="n">
        <v>6.639</v>
      </c>
      <c r="G57" s="8" t="n">
        <v>121.519</v>
      </c>
      <c r="H57" s="8" t="n">
        <v>104.805</v>
      </c>
      <c r="I57" s="8" t="n">
        <v>136.015</v>
      </c>
      <c r="J57" s="8" t="n">
        <v>0.007</v>
      </c>
      <c r="K57" s="8" t="n">
        <v>0.344</v>
      </c>
    </row>
    <row r="58" ht="19" customHeight="1">
      <c r="A58" s="6" t="inlineStr">
        <is>
          <t>Thailand</t>
        </is>
      </c>
      <c r="B58" s="7" t="inlineStr">
        <is>
          <t>inflation_yoy</t>
        </is>
      </c>
      <c r="C58" s="10" t="n">
        <v>57</v>
      </c>
      <c r="D58" s="10" t="n">
        <v>4</v>
      </c>
      <c r="E58" s="8" t="n">
        <v>1.571</v>
      </c>
      <c r="F58" s="8" t="n">
        <v>1.959</v>
      </c>
      <c r="G58" s="8" t="n">
        <v>1.251</v>
      </c>
      <c r="H58" s="8" t="n">
        <v>-2.666</v>
      </c>
      <c r="I58" s="8" t="n">
        <v>7.291</v>
      </c>
      <c r="J58" s="8" t="n">
        <v>0.675</v>
      </c>
      <c r="K58" s="8" t="n">
        <v>0.556</v>
      </c>
    </row>
    <row r="59" ht="19" customHeight="1">
      <c r="A59" s="6" t="inlineStr">
        <is>
          <t>Thailand</t>
        </is>
      </c>
      <c r="B59" s="7" t="inlineStr">
        <is>
          <t>inflation_qoq</t>
        </is>
      </c>
      <c r="C59" s="10" t="n">
        <v>60</v>
      </c>
      <c r="D59" s="10" t="n">
        <v>1</v>
      </c>
      <c r="E59" s="8" t="n">
        <v>0.395</v>
      </c>
      <c r="F59" s="8" t="n">
        <v>0.8</v>
      </c>
      <c r="G59" s="8" t="n">
        <v>0.342</v>
      </c>
      <c r="H59" s="8" t="n">
        <v>-2.105</v>
      </c>
      <c r="I59" s="8" t="n">
        <v>2.464</v>
      </c>
      <c r="J59" s="8" t="n">
        <v>0.364</v>
      </c>
      <c r="K59" s="8" t="n">
        <v>1.39</v>
      </c>
    </row>
    <row r="60" ht="19" customHeight="1">
      <c r="A60" s="6" t="inlineStr">
        <is>
          <t>Thailand</t>
        </is>
      </c>
      <c r="B60" s="6" t="inlineStr">
        <is>
          <t>gdp_growth</t>
        </is>
      </c>
      <c r="C60" s="10" t="n">
        <v>61</v>
      </c>
      <c r="D60" s="10" t="n">
        <v>0</v>
      </c>
      <c r="E60" s="8" t="n">
        <v>2.644</v>
      </c>
      <c r="F60" s="8" t="n">
        <v>3.183</v>
      </c>
      <c r="G60" s="8" t="n">
        <v>3.004</v>
      </c>
      <c r="H60" s="8" t="n">
        <v>-7.074</v>
      </c>
      <c r="I60" s="8" t="n">
        <v>9.544</v>
      </c>
      <c r="J60" s="8" t="n">
        <v>-0.945</v>
      </c>
      <c r="K60" s="8" t="n">
        <v>2.291</v>
      </c>
    </row>
    <row r="61" ht="19" customHeight="1">
      <c r="A61" s="6" t="inlineStr">
        <is>
          <t>Thailand</t>
        </is>
      </c>
      <c r="B61" s="7" t="inlineStr">
        <is>
          <t>money_growth</t>
        </is>
      </c>
      <c r="C61" s="10" t="n">
        <v>61</v>
      </c>
      <c r="D61" s="10" t="n">
        <v>0</v>
      </c>
      <c r="E61" s="8" t="n">
        <v>6.271</v>
      </c>
      <c r="F61" s="8" t="n">
        <v>3.65</v>
      </c>
      <c r="G61" s="8" t="n">
        <v>4.697</v>
      </c>
      <c r="H61" s="8" t="n">
        <v>1.67</v>
      </c>
      <c r="I61" s="8" t="n">
        <v>15.652</v>
      </c>
      <c r="J61" s="8" t="n">
        <v>1.096</v>
      </c>
      <c r="K61" s="8" t="n">
        <v>0.205</v>
      </c>
    </row>
    <row r="62" ht="19" customHeight="1">
      <c r="A62" s="6" t="inlineStr">
        <is>
          <t>Thailand</t>
        </is>
      </c>
      <c r="B62" s="6" t="inlineStr">
        <is>
          <t>reer_yoy</t>
        </is>
      </c>
      <c r="C62" s="10" t="n">
        <v>57</v>
      </c>
      <c r="D62" s="10" t="n">
        <v>4</v>
      </c>
      <c r="E62" s="8" t="n">
        <v>0.451</v>
      </c>
      <c r="F62" s="8" t="n">
        <v>4.304</v>
      </c>
      <c r="G62" s="8" t="n">
        <v>0.505</v>
      </c>
      <c r="H62" s="8" t="n">
        <v>-7.566</v>
      </c>
      <c r="I62" s="8" t="n">
        <v>9.83</v>
      </c>
      <c r="J62" s="8" t="n">
        <v>0.005</v>
      </c>
      <c r="K62" s="8" t="n">
        <v>-0.556</v>
      </c>
    </row>
    <row r="63" ht="19" customHeight="1">
      <c r="A63" s="6" t="inlineStr">
        <is>
          <t>Thailand</t>
        </is>
      </c>
      <c r="B63" s="6" t="inlineStr">
        <is>
          <t>hcpi_q</t>
        </is>
      </c>
      <c r="C63" s="10" t="n">
        <v>61</v>
      </c>
      <c r="D63" s="10" t="n">
        <v>0</v>
      </c>
      <c r="E63" s="8" t="n">
        <v>99.161</v>
      </c>
      <c r="F63" s="8" t="n">
        <v>5.666</v>
      </c>
      <c r="G63" s="8" t="n">
        <v>98.592</v>
      </c>
      <c r="H63" s="8" t="n">
        <v>87.30800000000001</v>
      </c>
      <c r="I63" s="8" t="n">
        <v>110.408</v>
      </c>
      <c r="J63" s="8" t="n">
        <v>0.213</v>
      </c>
      <c r="K63" s="8" t="n">
        <v>-0.215</v>
      </c>
    </row>
    <row r="64" ht="19" customHeight="1">
      <c r="A64" s="6" t="inlineStr">
        <is>
          <t>Thailand</t>
        </is>
      </c>
      <c r="B64" s="6" t="inlineStr">
        <is>
          <t>reer_q</t>
        </is>
      </c>
      <c r="C64" s="10" t="n">
        <v>61</v>
      </c>
      <c r="D64" s="10" t="n">
        <v>0</v>
      </c>
      <c r="E64" s="8" t="n">
        <v>110.488</v>
      </c>
      <c r="F64" s="8" t="n">
        <v>4.503</v>
      </c>
      <c r="G64" s="8" t="n">
        <v>109.708</v>
      </c>
      <c r="H64" s="8" t="n">
        <v>101.555</v>
      </c>
      <c r="I64" s="8" t="n">
        <v>122.428</v>
      </c>
      <c r="J64" s="8" t="n">
        <v>0.5620000000000001</v>
      </c>
      <c r="K64" s="8" t="n">
        <v>-0.177</v>
      </c>
    </row>
    <row r="65" ht="19" customHeight="1">
      <c r="A65" s="6" t="inlineStr">
        <is>
          <t>Vietnam</t>
        </is>
      </c>
      <c r="B65" s="7" t="inlineStr">
        <is>
          <t>inflation_yoy</t>
        </is>
      </c>
      <c r="C65" s="10" t="n">
        <v>57</v>
      </c>
      <c r="D65" s="10" t="n">
        <v>4</v>
      </c>
      <c r="E65" s="8" t="n">
        <v>4.75</v>
      </c>
      <c r="F65" s="8" t="n">
        <v>4.625</v>
      </c>
      <c r="G65" s="8" t="n">
        <v>3.34</v>
      </c>
      <c r="H65" s="8" t="n">
        <v>0.292</v>
      </c>
      <c r="I65" s="8" t="n">
        <v>22.534</v>
      </c>
      <c r="J65" s="8" t="n">
        <v>2.462</v>
      </c>
      <c r="K65" s="8" t="n">
        <v>5.732</v>
      </c>
    </row>
    <row r="66" ht="19" customHeight="1">
      <c r="A66" s="6" t="inlineStr">
        <is>
          <t>Vietnam</t>
        </is>
      </c>
      <c r="B66" s="7" t="inlineStr">
        <is>
          <t>inflation_qoq</t>
        </is>
      </c>
      <c r="C66" s="10" t="n">
        <v>60</v>
      </c>
      <c r="D66" s="10" t="n">
        <v>1</v>
      </c>
      <c r="E66" s="8" t="n">
        <v>1.166</v>
      </c>
      <c r="F66" s="8" t="n">
        <v>1.397</v>
      </c>
      <c r="G66" s="8" t="n">
        <v>0.879</v>
      </c>
      <c r="H66" s="8" t="n">
        <v>-1.874</v>
      </c>
      <c r="I66" s="8" t="n">
        <v>7.465</v>
      </c>
      <c r="J66" s="8" t="n">
        <v>2.219</v>
      </c>
      <c r="K66" s="8" t="n">
        <v>7.435</v>
      </c>
    </row>
    <row r="67" ht="19" customHeight="1">
      <c r="A67" s="6" t="inlineStr">
        <is>
          <t>Vietnam</t>
        </is>
      </c>
      <c r="B67" s="6" t="inlineStr">
        <is>
          <t>gdp_growth</t>
        </is>
      </c>
      <c r="C67" s="10" t="n">
        <v>61</v>
      </c>
      <c r="D67" s="10" t="n">
        <v>0</v>
      </c>
      <c r="E67" s="8" t="n">
        <v>6.146</v>
      </c>
      <c r="F67" s="8" t="n">
        <v>1.708</v>
      </c>
      <c r="G67" s="8" t="n">
        <v>6.537</v>
      </c>
      <c r="H67" s="8" t="n">
        <v>1.154</v>
      </c>
      <c r="I67" s="8" t="n">
        <v>9.298</v>
      </c>
      <c r="J67" s="8" t="n">
        <v>-1.192</v>
      </c>
      <c r="K67" s="8" t="n">
        <v>1.496</v>
      </c>
    </row>
    <row r="68" ht="19" customHeight="1">
      <c r="A68" s="6" t="inlineStr">
        <is>
          <t>Vietnam</t>
        </is>
      </c>
      <c r="B68" s="7" t="inlineStr">
        <is>
          <t>money_growth</t>
        </is>
      </c>
      <c r="C68" s="10" t="n">
        <v>61</v>
      </c>
      <c r="D68" s="10" t="n">
        <v>0</v>
      </c>
      <c r="E68" s="8" t="n">
        <v>14.883</v>
      </c>
      <c r="F68" s="8" t="n">
        <v>6.702</v>
      </c>
      <c r="G68" s="8" t="n">
        <v>13.777</v>
      </c>
      <c r="H68" s="8" t="n">
        <v>4.944</v>
      </c>
      <c r="I68" s="8" t="n">
        <v>34.758</v>
      </c>
      <c r="J68" s="8" t="n">
        <v>0.859</v>
      </c>
      <c r="K68" s="8" t="n">
        <v>0.512</v>
      </c>
    </row>
    <row r="69" ht="19" customHeight="1">
      <c r="A69" s="6" t="inlineStr">
        <is>
          <t>Vietnam</t>
        </is>
      </c>
      <c r="B69" s="6" t="inlineStr">
        <is>
          <t>reer_yoy</t>
        </is>
      </c>
      <c r="C69" s="10" t="n">
        <v>57</v>
      </c>
      <c r="D69" s="10" t="n">
        <v>4</v>
      </c>
      <c r="E69" s="8" t="n">
        <v>2.23</v>
      </c>
      <c r="F69" s="8" t="n">
        <v>4.356</v>
      </c>
      <c r="G69" s="8" t="n">
        <v>2.209</v>
      </c>
      <c r="H69" s="8" t="n">
        <v>-6.928</v>
      </c>
      <c r="I69" s="8" t="n">
        <v>10.764</v>
      </c>
      <c r="J69" s="8" t="n">
        <v>0.092</v>
      </c>
      <c r="K69" s="8" t="n">
        <v>-0.763</v>
      </c>
    </row>
    <row r="70" ht="19" customHeight="1">
      <c r="A70" s="6" t="inlineStr">
        <is>
          <t>Vietnam</t>
        </is>
      </c>
      <c r="B70" s="6" t="inlineStr">
        <is>
          <t>hcpi_q</t>
        </is>
      </c>
      <c r="C70" s="10" t="n">
        <v>61</v>
      </c>
      <c r="D70" s="10" t="n">
        <v>0</v>
      </c>
      <c r="E70" s="8" t="n">
        <v>93.556</v>
      </c>
      <c r="F70" s="8" t="n">
        <v>14.974</v>
      </c>
      <c r="G70" s="8" t="n">
        <v>93.69</v>
      </c>
      <c r="H70" s="8" t="n">
        <v>59.456</v>
      </c>
      <c r="I70" s="8" t="n">
        <v>118.543</v>
      </c>
      <c r="J70" s="8" t="n">
        <v>-0.45</v>
      </c>
      <c r="K70" s="8" t="n">
        <v>-0.368</v>
      </c>
    </row>
    <row r="71" ht="19" customHeight="1">
      <c r="A71" s="6" t="inlineStr">
        <is>
          <t>Vietnam</t>
        </is>
      </c>
      <c r="B71" s="6" t="inlineStr">
        <is>
          <t>reer_q</t>
        </is>
      </c>
      <c r="C71" s="10" t="n">
        <v>61</v>
      </c>
      <c r="D71" s="10" t="n">
        <v>0</v>
      </c>
      <c r="E71" s="8" t="n">
        <v>138.743</v>
      </c>
      <c r="F71" s="8" t="n">
        <v>14.426</v>
      </c>
      <c r="G71" s="8" t="n">
        <v>144.003</v>
      </c>
      <c r="H71" s="8" t="n">
        <v>107.455</v>
      </c>
      <c r="I71" s="8" t="n">
        <v>159.769</v>
      </c>
      <c r="J71" s="8" t="n">
        <v>-0.859</v>
      </c>
      <c r="K71" s="8" t="n">
        <v>-0.508</v>
      </c>
    </row>
    <row r="72" ht="19" customHeight="1">
      <c r="A72" s="7" t="inlineStr">
        <is>
          <t>Global/External</t>
        </is>
      </c>
      <c r="B72" s="6" t="inlineStr">
        <is>
          <t>fao_q</t>
        </is>
      </c>
      <c r="C72" s="10" t="n">
        <v>61</v>
      </c>
      <c r="D72" s="10" t="n">
        <v>0</v>
      </c>
      <c r="E72" s="8" t="n">
        <v>106.019</v>
      </c>
      <c r="F72" s="8" t="n">
        <v>9.755000000000001</v>
      </c>
      <c r="G72" s="8" t="n">
        <v>106.377</v>
      </c>
      <c r="H72" s="8" t="n">
        <v>90.301</v>
      </c>
      <c r="I72" s="8" t="n">
        <v>134.351</v>
      </c>
      <c r="J72" s="8" t="n">
        <v>0.519</v>
      </c>
      <c r="K72" s="8" t="n">
        <v>-0.157</v>
      </c>
    </row>
    <row r="73" ht="19" customHeight="1">
      <c r="A73" s="7" t="inlineStr">
        <is>
          <t>Global/External</t>
        </is>
      </c>
      <c r="B73" s="6" t="inlineStr">
        <is>
          <t>fao_yoy</t>
        </is>
      </c>
      <c r="C73" s="10" t="n">
        <v>57</v>
      </c>
      <c r="D73" s="10" t="n">
        <v>4</v>
      </c>
      <c r="E73" s="8" t="n">
        <v>0.535</v>
      </c>
      <c r="F73" s="8" t="n">
        <v>9.878</v>
      </c>
      <c r="G73" s="8" t="n">
        <v>-1.024</v>
      </c>
      <c r="H73" s="8" t="n">
        <v>-18.231</v>
      </c>
      <c r="I73" s="8" t="n">
        <v>26.428</v>
      </c>
      <c r="J73" s="8" t="n">
        <v>0.702</v>
      </c>
      <c r="K73" s="8" t="n">
        <v>-0.056</v>
      </c>
    </row>
    <row r="74" ht="19" customHeight="1">
      <c r="A74" s="7" t="inlineStr">
        <is>
          <t>Global/External</t>
        </is>
      </c>
      <c r="B74" s="6" t="inlineStr">
        <is>
          <t>ffr_q</t>
        </is>
      </c>
      <c r="C74" s="10" t="n">
        <v>61</v>
      </c>
      <c r="D74" s="10" t="n">
        <v>0</v>
      </c>
      <c r="E74" s="8" t="n">
        <v>1.28</v>
      </c>
      <c r="F74" s="8" t="n">
        <v>1.754</v>
      </c>
      <c r="G74" s="8" t="n">
        <v>0.187</v>
      </c>
      <c r="H74" s="8" t="n">
        <v>0.06</v>
      </c>
      <c r="I74" s="8" t="n">
        <v>5.33</v>
      </c>
      <c r="J74" s="8" t="n">
        <v>1.376</v>
      </c>
      <c r="K74" s="8" t="n">
        <v>0.442</v>
      </c>
    </row>
    <row r="75" ht="19" customHeight="1">
      <c r="A75" s="7" t="inlineStr">
        <is>
          <t>Global/External</t>
        </is>
      </c>
      <c r="B75" s="6" t="inlineStr">
        <is>
          <t>ffr_change</t>
        </is>
      </c>
      <c r="C75" s="10" t="n">
        <v>60</v>
      </c>
      <c r="D75" s="10" t="n">
        <v>1</v>
      </c>
      <c r="E75" s="8" t="n">
        <v>0.07000000000000001</v>
      </c>
      <c r="F75" s="8" t="n">
        <v>0.375</v>
      </c>
      <c r="G75" s="8" t="n">
        <v>0.013</v>
      </c>
      <c r="H75" s="8" t="n">
        <v>-1.2</v>
      </c>
      <c r="I75" s="8" t="n">
        <v>1.463</v>
      </c>
      <c r="J75" s="8" t="n">
        <v>1.037</v>
      </c>
      <c r="K75" s="8" t="n">
        <v>6.348</v>
      </c>
    </row>
    <row r="76" ht="19" customHeight="1">
      <c r="A76" s="7" t="inlineStr">
        <is>
          <t>Global/External</t>
        </is>
      </c>
      <c r="B76" s="6" t="inlineStr">
        <is>
          <t>oil_q</t>
        </is>
      </c>
      <c r="C76" s="10" t="n">
        <v>61</v>
      </c>
      <c r="D76" s="10" t="n">
        <v>0</v>
      </c>
      <c r="E76" s="8" t="n">
        <v>78.087</v>
      </c>
      <c r="F76" s="8" t="n">
        <v>24.156</v>
      </c>
      <c r="G76" s="8" t="n">
        <v>76.40300000000001</v>
      </c>
      <c r="H76" s="8" t="n">
        <v>29.343</v>
      </c>
      <c r="I76" s="8" t="n">
        <v>118.49</v>
      </c>
      <c r="J76" s="8" t="n">
        <v>0.017</v>
      </c>
      <c r="K76" s="8" t="n">
        <v>-1.055</v>
      </c>
    </row>
    <row r="77" ht="19" customHeight="1">
      <c r="A77" s="7" t="inlineStr">
        <is>
          <t>Global/External</t>
        </is>
      </c>
      <c r="B77" s="6" t="inlineStr">
        <is>
          <t>oil_yoy</t>
        </is>
      </c>
      <c r="C77" s="10" t="n">
        <v>57</v>
      </c>
      <c r="D77" s="10" t="n">
        <v>4</v>
      </c>
      <c r="E77" s="8" t="n">
        <v>5.784</v>
      </c>
      <c r="F77" s="8" t="n">
        <v>36.531</v>
      </c>
      <c r="G77" s="8" t="n">
        <v>-3.288</v>
      </c>
      <c r="H77" s="8" t="n">
        <v>-57.426</v>
      </c>
      <c r="I77" s="8" t="n">
        <v>134.579</v>
      </c>
      <c r="J77" s="8" t="n">
        <v>0.9399999999999999</v>
      </c>
      <c r="K77" s="8" t="n">
        <v>1.406</v>
      </c>
    </row>
  </sheetData>
  <autoFilter ref="A1:K7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26" customWidth="1" min="4" max="4"/>
    <col width="38" customWidth="1" min="5" max="5"/>
    <col width="29" customWidth="1" min="6" max="6"/>
    <col width="37" customWidth="1" min="7" max="7"/>
    <col width="22" customWidth="1" min="8" max="8"/>
    <col width="21" customWidth="1" min="9" max="9"/>
    <col width="27" customWidth="1" min="10" max="10"/>
    <col width="17" customWidth="1" min="11" max="11"/>
    <col width="17" customWidth="1" min="12" max="12"/>
    <col width="18" customWidth="1" min="13" max="13"/>
    <col width="18" customWidth="1" min="14" max="14"/>
    <col width="16" customWidth="1" min="15" max="15"/>
    <col width="16" customWidth="1" min="16" max="16"/>
    <col width="38" customWidth="1" min="17" max="17"/>
  </cols>
  <sheetData>
    <row r="1" ht="26" customHeight="1">
      <c r="A1" s="5" t="inlineStr">
        <is>
          <t>variable</t>
        </is>
      </c>
      <c r="B1" s="5" t="inlineStr">
        <is>
          <t>test_name</t>
        </is>
      </c>
      <c r="C1" s="5" t="inlineStr">
        <is>
          <t>statistic</t>
        </is>
      </c>
      <c r="D1" s="5" t="inlineStr">
        <is>
          <t>p_value</t>
        </is>
      </c>
      <c r="E1" s="5" t="inlineStr">
        <is>
          <t>conclusion</t>
        </is>
      </c>
      <c r="F1" s="5" t="inlineStr">
        <is>
          <t>category</t>
        </is>
      </c>
      <c r="G1" s="5" t="inlineStr">
        <is>
          <t>test_type</t>
        </is>
      </c>
      <c r="H1" s="5" t="inlineStr">
        <is>
          <t>transformation</t>
        </is>
      </c>
      <c r="I1" s="5" t="inlineStr">
        <is>
          <t>stationary</t>
        </is>
      </c>
      <c r="J1" s="5" t="inlineStr">
        <is>
          <t>scope</t>
        </is>
      </c>
      <c r="K1" s="5" t="inlineStr">
        <is>
          <t>adf_level_stat</t>
        </is>
      </c>
      <c r="L1" s="5" t="inlineStr">
        <is>
          <t>adf_level_pval</t>
        </is>
      </c>
      <c r="M1" s="5" t="inlineStr">
        <is>
          <t>kpss_level_stat</t>
        </is>
      </c>
      <c r="N1" s="5" t="inlineStr">
        <is>
          <t>kpss_level_pval</t>
        </is>
      </c>
      <c r="O1" s="5" t="inlineStr">
        <is>
          <t>adf_diff_stat</t>
        </is>
      </c>
      <c r="P1" s="5" t="inlineStr">
        <is>
          <t>adf_diff_pval</t>
        </is>
      </c>
      <c r="Q1" s="5" t="inlineStr">
        <is>
          <t>integration_order</t>
        </is>
      </c>
    </row>
    <row r="2" ht="19" customHeight="1">
      <c r="A2" s="7" t="inlineStr">
        <is>
          <t>inflation_yoy</t>
        </is>
      </c>
      <c r="B2" s="7" t="inlineStr">
        <is>
          <t>Pesaran CD (2004)</t>
        </is>
      </c>
      <c r="C2" s="8" t="n">
        <v>10.0285</v>
      </c>
      <c r="D2" s="14" t="n">
        <v>1.14228403193879e-23</v>
      </c>
      <c r="E2" s="7" t="inlineStr">
        <is>
          <t>Tolak H0: Terdapat Cross-Sectional Dependence Signifikan</t>
        </is>
      </c>
      <c r="F2" s="7" t="inlineStr">
        <is>
          <t>Cross-Sectional Dependence</t>
        </is>
      </c>
      <c r="G2" s="9" t="inlineStr"/>
      <c r="H2" s="9" t="inlineStr"/>
      <c r="I2" s="9" t="inlineStr"/>
      <c r="J2" s="9" t="inlineStr"/>
      <c r="K2" s="9" t="inlineStr"/>
      <c r="L2" s="9" t="inlineStr"/>
      <c r="M2" s="9" t="inlineStr"/>
      <c r="N2" s="9" t="inlineStr"/>
      <c r="O2" s="9" t="inlineStr"/>
      <c r="P2" s="9" t="inlineStr"/>
      <c r="Q2" s="9" t="inlineStr"/>
    </row>
    <row r="3" ht="19" customHeight="1">
      <c r="A3" s="6" t="inlineStr">
        <is>
          <t>gdp_growth</t>
        </is>
      </c>
      <c r="B3" s="7" t="inlineStr">
        <is>
          <t>Pesaran CD (2004)</t>
        </is>
      </c>
      <c r="C3" s="8" t="n">
        <v>25.5815</v>
      </c>
      <c r="D3" s="14" t="n">
        <v>2.44857810618464e-144</v>
      </c>
      <c r="E3" s="7" t="inlineStr">
        <is>
          <t>Tolak H0: Terdapat Cross-Sectional Dependence Signifikan</t>
        </is>
      </c>
      <c r="F3" s="7" t="inlineStr">
        <is>
          <t>Cross-Sectional Dependence</t>
        </is>
      </c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  <c r="P3" s="9" t="inlineStr"/>
      <c r="Q3" s="9" t="inlineStr"/>
    </row>
    <row r="4" ht="19" customHeight="1">
      <c r="A4" s="7" t="inlineStr">
        <is>
          <t>money_growth</t>
        </is>
      </c>
      <c r="B4" s="7" t="inlineStr">
        <is>
          <t>Pesaran CD (2004)</t>
        </is>
      </c>
      <c r="C4" s="8" t="n">
        <v>9.2713</v>
      </c>
      <c r="D4" s="14" t="n">
        <v>1.83933140036049e-20</v>
      </c>
      <c r="E4" s="7" t="inlineStr">
        <is>
          <t>Tolak H0: Terdapat Cross-Sectional Dependence Signifikan</t>
        </is>
      </c>
      <c r="F4" s="7" t="inlineStr">
        <is>
          <t>Cross-Sectional Dependence</t>
        </is>
      </c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  <c r="P4" s="9" t="inlineStr"/>
      <c r="Q4" s="9" t="inlineStr"/>
    </row>
    <row r="5" ht="19" customHeight="1">
      <c r="A5" s="6" t="inlineStr">
        <is>
          <t>reer_yoy</t>
        </is>
      </c>
      <c r="B5" s="7" t="inlineStr">
        <is>
          <t>Pesaran CD (2004)</t>
        </is>
      </c>
      <c r="C5" s="8" t="n">
        <v>6.1221</v>
      </c>
      <c r="D5" s="14" t="n">
        <v>9.236984968130601e-10</v>
      </c>
      <c r="E5" s="7" t="inlineStr">
        <is>
          <t>Tolak H0: Terdapat Cross-Sectional Dependence Signifikan</t>
        </is>
      </c>
      <c r="F5" s="7" t="inlineStr">
        <is>
          <t>Cross-Sectional Dependence</t>
        </is>
      </c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</row>
    <row r="6" ht="19" customHeight="1">
      <c r="A6" s="6" t="inlineStr">
        <is>
          <t>hcpi_q</t>
        </is>
      </c>
      <c r="B6" s="7" t="inlineStr">
        <is>
          <t>Pesaran CD (2004)</t>
        </is>
      </c>
      <c r="C6" s="8" t="n">
        <v>44.7767</v>
      </c>
      <c r="D6" s="14" t="n">
        <v>0</v>
      </c>
      <c r="E6" s="7" t="inlineStr">
        <is>
          <t>Tolak H0: Terdapat Cross-Sectional Dependence Signifikan</t>
        </is>
      </c>
      <c r="F6" s="7" t="inlineStr">
        <is>
          <t>Cross-Sectional Dependence</t>
        </is>
      </c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</row>
    <row r="7" ht="19" customHeight="1">
      <c r="A7" s="6" t="inlineStr">
        <is>
          <t>reer_q</t>
        </is>
      </c>
      <c r="B7" s="7" t="inlineStr">
        <is>
          <t>Pesaran CD (2004)</t>
        </is>
      </c>
      <c r="C7" s="8" t="n">
        <v>-1.3183</v>
      </c>
      <c r="D7" s="14" t="n">
        <v>0.187411261176636</v>
      </c>
      <c r="E7" s="7" t="inlineStr">
        <is>
          <t>Gagal Tolak H0: Tidak Ada Bukti CD</t>
        </is>
      </c>
      <c r="F7" s="7" t="inlineStr">
        <is>
          <t>Cross-Sectional Dependence</t>
        </is>
      </c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</row>
    <row r="8" ht="19" customHeight="1">
      <c r="A8" s="7" t="inlineStr">
        <is>
          <t>inflation_yoy</t>
        </is>
      </c>
      <c r="B8" s="9" t="inlineStr"/>
      <c r="C8" s="8" t="n">
        <v>-1.4393</v>
      </c>
      <c r="D8" s="14" t="n">
        <v>0.075</v>
      </c>
      <c r="E8" s="9" t="inlineStr"/>
      <c r="F8" s="7" t="inlineStr">
        <is>
          <t>Panel Unit Root</t>
        </is>
      </c>
      <c r="G8" s="7" t="inlineStr">
        <is>
          <t>Levin-Lin-Chu Panel Unit Root</t>
        </is>
      </c>
      <c r="H8" s="7" t="inlineStr">
        <is>
          <t>Level / Growth Form</t>
        </is>
      </c>
      <c r="I8" s="7" t="inlineStr">
        <is>
          <t>Non-Stasioner I(1)</t>
        </is>
      </c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</row>
    <row r="9" ht="19" customHeight="1">
      <c r="A9" s="7" t="inlineStr">
        <is>
          <t>inflation_yoy</t>
        </is>
      </c>
      <c r="B9" s="9" t="inlineStr"/>
      <c r="C9" s="8" t="n">
        <v>62.3571</v>
      </c>
      <c r="D9" s="14" t="n">
        <v>0</v>
      </c>
      <c r="E9" s="9" t="inlineStr"/>
      <c r="F9" s="7" t="inlineStr">
        <is>
          <t>Panel Unit Root</t>
        </is>
      </c>
      <c r="G9" s="7" t="inlineStr">
        <is>
          <t>Fisher-type Panel ADF (Maddala-Wu)</t>
        </is>
      </c>
      <c r="H9" s="7" t="inlineStr">
        <is>
          <t>Level / Growth Form</t>
        </is>
      </c>
      <c r="I9" s="7" t="inlineStr">
        <is>
          <t>Stasioner I(0)</t>
        </is>
      </c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</row>
    <row r="10" ht="19" customHeight="1">
      <c r="A10" s="6" t="inlineStr">
        <is>
          <t>gdp_growth</t>
        </is>
      </c>
      <c r="B10" s="9" t="inlineStr"/>
      <c r="C10" s="8" t="n">
        <v>-1.5904</v>
      </c>
      <c r="D10" s="14" t="n">
        <v>0.0559</v>
      </c>
      <c r="E10" s="9" t="inlineStr"/>
      <c r="F10" s="7" t="inlineStr">
        <is>
          <t>Panel Unit Root</t>
        </is>
      </c>
      <c r="G10" s="7" t="inlineStr">
        <is>
          <t>Levin-Lin-Chu Panel Unit Root</t>
        </is>
      </c>
      <c r="H10" s="7" t="inlineStr">
        <is>
          <t>Level / Growth Form</t>
        </is>
      </c>
      <c r="I10" s="7" t="inlineStr">
        <is>
          <t>Non-Stasioner I(1)</t>
        </is>
      </c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</row>
    <row r="11" ht="19" customHeight="1">
      <c r="A11" s="6" t="inlineStr">
        <is>
          <t>gdp_growth</t>
        </is>
      </c>
      <c r="B11" s="9" t="inlineStr"/>
      <c r="C11" s="8" t="n">
        <v>51.189</v>
      </c>
      <c r="D11" s="14" t="n">
        <v>0.0001</v>
      </c>
      <c r="E11" s="9" t="inlineStr"/>
      <c r="F11" s="7" t="inlineStr">
        <is>
          <t>Panel Unit Root</t>
        </is>
      </c>
      <c r="G11" s="7" t="inlineStr">
        <is>
          <t>Fisher-type Panel ADF (Maddala-Wu)</t>
        </is>
      </c>
      <c r="H11" s="7" t="inlineStr">
        <is>
          <t>Level / Growth Form</t>
        </is>
      </c>
      <c r="I11" s="7" t="inlineStr">
        <is>
          <t>Stasioner I(0)</t>
        </is>
      </c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</row>
    <row r="12" ht="19" customHeight="1">
      <c r="A12" s="6" t="inlineStr">
        <is>
          <t>reer_yoy</t>
        </is>
      </c>
      <c r="B12" s="9" t="inlineStr"/>
      <c r="C12" s="8" t="n">
        <v>-3.0009</v>
      </c>
      <c r="D12" s="14" t="n">
        <v>0.0013</v>
      </c>
      <c r="E12" s="9" t="inlineStr"/>
      <c r="F12" s="7" t="inlineStr">
        <is>
          <t>Panel Unit Root</t>
        </is>
      </c>
      <c r="G12" s="7" t="inlineStr">
        <is>
          <t>Levin-Lin-Chu Panel Unit Root</t>
        </is>
      </c>
      <c r="H12" s="7" t="inlineStr">
        <is>
          <t>Level / Growth Form</t>
        </is>
      </c>
      <c r="I12" s="7" t="inlineStr">
        <is>
          <t>Stasioner I(0)</t>
        </is>
      </c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</row>
    <row r="13" ht="19" customHeight="1">
      <c r="A13" s="6" t="inlineStr">
        <is>
          <t>reer_yoy</t>
        </is>
      </c>
      <c r="B13" s="9" t="inlineStr"/>
      <c r="C13" s="8" t="n">
        <v>86.6992</v>
      </c>
      <c r="D13" s="14" t="n">
        <v>0</v>
      </c>
      <c r="E13" s="9" t="inlineStr"/>
      <c r="F13" s="7" t="inlineStr">
        <is>
          <t>Panel Unit Root</t>
        </is>
      </c>
      <c r="G13" s="7" t="inlineStr">
        <is>
          <t>Fisher-type Panel ADF (Maddala-Wu)</t>
        </is>
      </c>
      <c r="H13" s="7" t="inlineStr">
        <is>
          <t>Level / Growth Form</t>
        </is>
      </c>
      <c r="I13" s="7" t="inlineStr">
        <is>
          <t>Stasioner I(0)</t>
        </is>
      </c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</row>
    <row r="14" ht="19" customHeight="1">
      <c r="A14" s="7" t="inlineStr">
        <is>
          <t>inflation_yoy</t>
        </is>
      </c>
      <c r="B14" s="9" t="inlineStr"/>
      <c r="C14" s="9" t="inlineStr"/>
      <c r="D14" s="9" t="inlineStr"/>
      <c r="E14" s="9" t="inlineStr"/>
      <c r="F14" s="7" t="inlineStr">
        <is>
          <t>Time Series Unit Root</t>
        </is>
      </c>
      <c r="G14" s="9" t="inlineStr"/>
      <c r="H14" s="9" t="inlineStr"/>
      <c r="I14" s="9" t="inlineStr"/>
      <c r="J14" s="7" t="inlineStr">
        <is>
          <t>ASEAN Regional Aggregate</t>
        </is>
      </c>
      <c r="K14" s="10" t="n">
        <v>-2.782</v>
      </c>
      <c r="L14" s="10" t="n">
        <v>0.2593</v>
      </c>
      <c r="M14" s="8" t="n">
        <v>0.234</v>
      </c>
      <c r="N14" s="14" t="n">
        <v>0.1</v>
      </c>
      <c r="O14" s="10" t="n">
        <v>-4.747</v>
      </c>
      <c r="P14" s="10" t="n">
        <v>0.01</v>
      </c>
      <c r="Q14" s="7" t="inlineStr">
        <is>
          <t>I(0) - Stasioner pada Bentuk Transformasi</t>
        </is>
      </c>
    </row>
    <row r="15" ht="19" customHeight="1">
      <c r="A15" s="6" t="inlineStr">
        <is>
          <t>gdp_growth</t>
        </is>
      </c>
      <c r="B15" s="9" t="inlineStr"/>
      <c r="C15" s="9" t="inlineStr"/>
      <c r="D15" s="9" t="inlineStr"/>
      <c r="E15" s="9" t="inlineStr"/>
      <c r="F15" s="7" t="inlineStr">
        <is>
          <t>Time Series Unit Root</t>
        </is>
      </c>
      <c r="G15" s="9" t="inlineStr"/>
      <c r="H15" s="9" t="inlineStr"/>
      <c r="I15" s="9" t="inlineStr"/>
      <c r="J15" s="7" t="inlineStr">
        <is>
          <t>ASEAN Regional Aggregate</t>
        </is>
      </c>
      <c r="K15" s="10" t="n">
        <v>-2.076</v>
      </c>
      <c r="L15" s="10" t="n">
        <v>0.5439000000000001</v>
      </c>
      <c r="M15" s="8" t="n">
        <v>0.37</v>
      </c>
      <c r="N15" s="14" t="n">
        <v>0.09</v>
      </c>
      <c r="O15" s="10" t="n">
        <v>-4.296</v>
      </c>
      <c r="P15" s="10" t="n">
        <v>0.01</v>
      </c>
      <c r="Q15" s="7" t="inlineStr">
        <is>
          <t>I(0) - Stasioner pada Bentuk Transformasi</t>
        </is>
      </c>
    </row>
    <row r="16" ht="19" customHeight="1">
      <c r="A16" s="7" t="inlineStr">
        <is>
          <t>money_growth</t>
        </is>
      </c>
      <c r="B16" s="9" t="inlineStr"/>
      <c r="C16" s="9" t="inlineStr"/>
      <c r="D16" s="9" t="inlineStr"/>
      <c r="E16" s="9" t="inlineStr"/>
      <c r="F16" s="7" t="inlineStr">
        <is>
          <t>Time Series Unit Root</t>
        </is>
      </c>
      <c r="G16" s="9" t="inlineStr"/>
      <c r="H16" s="9" t="inlineStr"/>
      <c r="I16" s="9" t="inlineStr"/>
      <c r="J16" s="7" t="inlineStr">
        <is>
          <t>ASEAN Regional Aggregate</t>
        </is>
      </c>
      <c r="K16" s="10" t="n">
        <v>-1.866</v>
      </c>
      <c r="L16" s="10" t="n">
        <v>0.6289</v>
      </c>
      <c r="M16" s="8" t="n">
        <v>0.728</v>
      </c>
      <c r="N16" s="14" t="n">
        <v>0.011</v>
      </c>
      <c r="O16" s="10" t="n">
        <v>-4.877</v>
      </c>
      <c r="P16" s="10" t="n">
        <v>0.01</v>
      </c>
      <c r="Q16" s="7" t="inlineStr">
        <is>
          <t>I(1) - Stasioner pada First Difference</t>
        </is>
      </c>
    </row>
    <row r="17" ht="19" customHeight="1">
      <c r="A17" s="6" t="inlineStr">
        <is>
          <t>reer_yoy</t>
        </is>
      </c>
      <c r="B17" s="9" t="inlineStr"/>
      <c r="C17" s="9" t="inlineStr"/>
      <c r="D17" s="9" t="inlineStr"/>
      <c r="E17" s="9" t="inlineStr"/>
      <c r="F17" s="7" t="inlineStr">
        <is>
          <t>Time Series Unit Root</t>
        </is>
      </c>
      <c r="G17" s="9" t="inlineStr"/>
      <c r="H17" s="9" t="inlineStr"/>
      <c r="I17" s="9" t="inlineStr"/>
      <c r="J17" s="7" t="inlineStr">
        <is>
          <t>ASEAN Regional Aggregate</t>
        </is>
      </c>
      <c r="K17" s="10" t="n">
        <v>-2.481</v>
      </c>
      <c r="L17" s="10" t="n">
        <v>0.3805</v>
      </c>
      <c r="M17" s="8" t="n">
        <v>0.137</v>
      </c>
      <c r="N17" s="14" t="n">
        <v>0.1</v>
      </c>
      <c r="O17" s="10" t="n">
        <v>-6.544</v>
      </c>
      <c r="P17" s="10" t="n">
        <v>0.01</v>
      </c>
      <c r="Q17" s="7" t="inlineStr">
        <is>
          <t>I(0) - Stasioner pada Bentuk Transformasi</t>
        </is>
      </c>
    </row>
    <row r="18" ht="19" customHeight="1">
      <c r="A18" s="6" t="inlineStr">
        <is>
          <t>fao_yoy</t>
        </is>
      </c>
      <c r="B18" s="9" t="inlineStr"/>
      <c r="C18" s="9" t="inlineStr"/>
      <c r="D18" s="9" t="inlineStr"/>
      <c r="E18" s="9" t="inlineStr"/>
      <c r="F18" s="7" t="inlineStr">
        <is>
          <t>Time Series Unit Root</t>
        </is>
      </c>
      <c r="G18" s="9" t="inlineStr"/>
      <c r="H18" s="9" t="inlineStr"/>
      <c r="I18" s="9" t="inlineStr"/>
      <c r="J18" s="7" t="inlineStr">
        <is>
          <t>Global / External</t>
        </is>
      </c>
      <c r="K18" s="10" t="n">
        <v>-3.818</v>
      </c>
      <c r="L18" s="10" t="n">
        <v>0.0238</v>
      </c>
      <c r="M18" s="8" t="n">
        <v>0.08799999999999999</v>
      </c>
      <c r="N18" s="14" t="n">
        <v>0.1</v>
      </c>
      <c r="O18" s="10" t="n">
        <v>-4.657</v>
      </c>
      <c r="P18" s="10" t="n">
        <v>0.01</v>
      </c>
      <c r="Q18" s="7" t="inlineStr">
        <is>
          <t>I(0) - Stasioner pada Bentuk Transformasi</t>
        </is>
      </c>
    </row>
    <row r="19" ht="19" customHeight="1">
      <c r="A19" s="6" t="inlineStr">
        <is>
          <t>ffr_change</t>
        </is>
      </c>
      <c r="B19" s="9" t="inlineStr"/>
      <c r="C19" s="9" t="inlineStr"/>
      <c r="D19" s="9" t="inlineStr"/>
      <c r="E19" s="9" t="inlineStr"/>
      <c r="F19" s="7" t="inlineStr">
        <is>
          <t>Time Series Unit Root</t>
        </is>
      </c>
      <c r="G19" s="9" t="inlineStr"/>
      <c r="H19" s="9" t="inlineStr"/>
      <c r="I19" s="9" t="inlineStr"/>
      <c r="J19" s="7" t="inlineStr">
        <is>
          <t>Global / External</t>
        </is>
      </c>
      <c r="K19" s="10" t="n">
        <v>-2.796</v>
      </c>
      <c r="L19" s="10" t="n">
        <v>0.2534</v>
      </c>
      <c r="M19" s="8" t="n">
        <v>0.108</v>
      </c>
      <c r="N19" s="14" t="n">
        <v>0.1</v>
      </c>
      <c r="O19" s="10" t="n">
        <v>-4.247</v>
      </c>
      <c r="P19" s="10" t="n">
        <v>0.01</v>
      </c>
      <c r="Q19" s="7" t="inlineStr">
        <is>
          <t>I(0) - Stasioner pada Bentuk Transformasi</t>
        </is>
      </c>
    </row>
    <row r="20" ht="19" customHeight="1">
      <c r="A20" s="6" t="inlineStr">
        <is>
          <t>oil_yoy</t>
        </is>
      </c>
      <c r="B20" s="9" t="inlineStr"/>
      <c r="C20" s="9" t="inlineStr"/>
      <c r="D20" s="9" t="inlineStr"/>
      <c r="E20" s="9" t="inlineStr"/>
      <c r="F20" s="7" t="inlineStr">
        <is>
          <t>Time Series Unit Root</t>
        </is>
      </c>
      <c r="G20" s="9" t="inlineStr"/>
      <c r="H20" s="9" t="inlineStr"/>
      <c r="I20" s="9" t="inlineStr"/>
      <c r="J20" s="7" t="inlineStr">
        <is>
          <t>Global / External</t>
        </is>
      </c>
      <c r="K20" s="10" t="n">
        <v>-3.57</v>
      </c>
      <c r="L20" s="10" t="n">
        <v>0.0436</v>
      </c>
      <c r="M20" s="8" t="n">
        <v>0.101</v>
      </c>
      <c r="N20" s="14" t="n">
        <v>0.1</v>
      </c>
      <c r="O20" s="10" t="n">
        <v>-4.376</v>
      </c>
      <c r="P20" s="10" t="n">
        <v>0.01</v>
      </c>
      <c r="Q20" s="7" t="inlineStr">
        <is>
          <t>I(0) - Stasioner pada Bentuk Transformasi</t>
        </is>
      </c>
    </row>
  </sheetData>
  <autoFilter ref="A1:Q2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 ht="26" customHeight="1">
      <c r="A1" s="5" t="inlineStr">
        <is>
          <t>lag</t>
        </is>
      </c>
      <c r="B1" s="5" t="inlineStr">
        <is>
          <t>aic</t>
        </is>
      </c>
      <c r="C1" s="5" t="inlineStr">
        <is>
          <t>hq</t>
        </is>
      </c>
      <c r="D1" s="5" t="inlineStr">
        <is>
          <t>sc</t>
        </is>
      </c>
      <c r="E1" s="5" t="inlineStr">
        <is>
          <t>fpe</t>
        </is>
      </c>
    </row>
    <row r="2" ht="19" customHeight="1">
      <c r="A2" s="8" t="n">
        <v>1</v>
      </c>
      <c r="B2" s="8" t="n">
        <v>-3.0532</v>
      </c>
      <c r="C2" s="8" t="n">
        <v>-2.5958</v>
      </c>
      <c r="D2" s="8" t="n">
        <v>-1.8636</v>
      </c>
      <c r="E2" s="8" t="n">
        <v>0.047646</v>
      </c>
    </row>
    <row r="3" ht="19" customHeight="1">
      <c r="A3" s="8" t="n">
        <v>2</v>
      </c>
      <c r="B3" s="8" t="n">
        <v>-5.5966</v>
      </c>
      <c r="C3" s="8" t="n">
        <v>-4.9104</v>
      </c>
      <c r="D3" s="8" t="n">
        <v>-3.8122</v>
      </c>
      <c r="E3" s="8" t="n">
        <v>0.003831</v>
      </c>
    </row>
    <row r="4" ht="19" customHeight="1">
      <c r="A4" s="8" t="n">
        <v>3</v>
      </c>
      <c r="B4" s="8" t="n">
        <v>-5.8843</v>
      </c>
      <c r="C4" s="8" t="n">
        <v>-4.9693</v>
      </c>
      <c r="D4" s="8" t="n">
        <v>-3.505</v>
      </c>
      <c r="E4" s="8" t="n">
        <v>0.003008</v>
      </c>
    </row>
    <row r="5" ht="19" customHeight="1">
      <c r="A5" s="8" t="n">
        <v>4</v>
      </c>
      <c r="B5" s="8" t="n">
        <v>-5.8637</v>
      </c>
      <c r="C5" s="8" t="n">
        <v>-4.7201</v>
      </c>
      <c r="D5" s="8" t="n">
        <v>-2.8897</v>
      </c>
      <c r="E5" s="8" t="n">
        <v>0.003323</v>
      </c>
    </row>
  </sheetData>
  <autoFilter ref="A1:E5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9" customWidth="1" min="3" max="3"/>
    <col width="22" customWidth="1" min="4" max="4"/>
    <col width="21" customWidth="1" min="5" max="5"/>
    <col width="22" customWidth="1" min="6" max="6"/>
    <col width="25" customWidth="1" min="7" max="7"/>
    <col width="20" customWidth="1" min="8" max="8"/>
    <col width="20" customWidth="1" min="9" max="9"/>
  </cols>
  <sheetData>
    <row r="1" ht="26" customHeight="1">
      <c r="A1" s="5" t="inlineStr">
        <is>
          <t>model_type</t>
        </is>
      </c>
      <c r="B1" s="5" t="inlineStr">
        <is>
          <t>dependent_var</t>
        </is>
      </c>
      <c r="C1" s="5" t="inlineStr">
        <is>
          <t>regressor</t>
        </is>
      </c>
      <c r="D1" s="5" t="inlineStr">
        <is>
          <t>estimate</t>
        </is>
      </c>
      <c r="E1" s="5" t="inlineStr">
        <is>
          <t>std_error</t>
        </is>
      </c>
      <c r="F1" s="5" t="inlineStr">
        <is>
          <t>t_stat</t>
        </is>
      </c>
      <c r="G1" s="5" t="inlineStr">
        <is>
          <t>p_value</t>
        </is>
      </c>
      <c r="H1" s="5" t="inlineStr">
        <is>
          <t>r_squared</t>
        </is>
      </c>
      <c r="I1" s="5" t="inlineStr">
        <is>
          <t>adj_r_squared</t>
        </is>
      </c>
    </row>
    <row r="2" ht="19" customHeight="1">
      <c r="A2" s="7" t="inlineStr">
        <is>
          <t>Regional VARX(2)</t>
        </is>
      </c>
      <c r="B2" s="7" t="inlineStr">
        <is>
          <t>inflation_yoy</t>
        </is>
      </c>
      <c r="C2" s="7" t="inlineStr">
        <is>
          <t>inflation_yoy.l1</t>
        </is>
      </c>
      <c r="D2" s="8" t="n">
        <v>0.774608133284956</v>
      </c>
      <c r="E2" s="8" t="n">
        <v>0.109872909420711</v>
      </c>
      <c r="F2" s="8" t="n">
        <v>7.05003751487938</v>
      </c>
      <c r="G2" s="14" t="n">
        <v>1.08915829192867e-08</v>
      </c>
      <c r="H2" s="8" t="n">
        <v>0.940180576060476</v>
      </c>
      <c r="I2" s="8" t="n">
        <v>0.9248779327271091</v>
      </c>
    </row>
    <row r="3" ht="19" customHeight="1">
      <c r="A3" s="7" t="inlineStr">
        <is>
          <t>Regional VARX(2)</t>
        </is>
      </c>
      <c r="B3" s="7" t="inlineStr">
        <is>
          <t>inflation_yoy</t>
        </is>
      </c>
      <c r="C3" s="7" t="inlineStr">
        <is>
          <t>gdp_growth.l1</t>
        </is>
      </c>
      <c r="D3" s="8" t="n">
        <v>-0.176712394985858</v>
      </c>
      <c r="E3" s="8" t="n">
        <v>0.0883595070443987</v>
      </c>
      <c r="F3" s="8" t="n">
        <v>-1.99992508895578</v>
      </c>
      <c r="G3" s="14" t="n">
        <v>0.0518504310952225</v>
      </c>
      <c r="H3" s="8" t="n">
        <v>0.940180576060476</v>
      </c>
      <c r="I3" s="8" t="n">
        <v>0.9248779327271091</v>
      </c>
    </row>
    <row r="4" ht="19" customHeight="1">
      <c r="A4" s="7" t="inlineStr">
        <is>
          <t>Regional VARX(2)</t>
        </is>
      </c>
      <c r="B4" s="7" t="inlineStr">
        <is>
          <t>inflation_yoy</t>
        </is>
      </c>
      <c r="C4" s="7" t="inlineStr">
        <is>
          <t>money_growth.l1</t>
        </is>
      </c>
      <c r="D4" s="8" t="n">
        <v>-0.111646543061132</v>
      </c>
      <c r="E4" s="8" t="n">
        <v>0.149686163740727</v>
      </c>
      <c r="F4" s="8" t="n">
        <v>-0.745870829147011</v>
      </c>
      <c r="G4" s="14" t="n">
        <v>0.45980367087747</v>
      </c>
      <c r="H4" s="8" t="n">
        <v>0.940180576060476</v>
      </c>
      <c r="I4" s="8" t="n">
        <v>0.9248779327271091</v>
      </c>
    </row>
    <row r="5" ht="19" customHeight="1">
      <c r="A5" s="7" t="inlineStr">
        <is>
          <t>Regional VARX(2)</t>
        </is>
      </c>
      <c r="B5" s="7" t="inlineStr">
        <is>
          <t>inflation_yoy</t>
        </is>
      </c>
      <c r="C5" s="7" t="inlineStr">
        <is>
          <t>reer_yoy.l1</t>
        </is>
      </c>
      <c r="D5" s="8" t="n">
        <v>0.142621694755314</v>
      </c>
      <c r="E5" s="8" t="n">
        <v>0.0562463637563156</v>
      </c>
      <c r="F5" s="8" t="n">
        <v>2.53566071174333</v>
      </c>
      <c r="G5" s="14" t="n">
        <v>0.0149398857950965</v>
      </c>
      <c r="H5" s="8" t="n">
        <v>0.940180576060476</v>
      </c>
      <c r="I5" s="8" t="n">
        <v>0.9248779327271091</v>
      </c>
    </row>
    <row r="6" ht="19" customHeight="1">
      <c r="A6" s="7" t="inlineStr">
        <is>
          <t>Regional VARX(2)</t>
        </is>
      </c>
      <c r="B6" s="7" t="inlineStr">
        <is>
          <t>inflation_yoy</t>
        </is>
      </c>
      <c r="C6" s="7" t="inlineStr">
        <is>
          <t>inflation_yoy.l2</t>
        </is>
      </c>
      <c r="D6" s="8" t="n">
        <v>-0.0492388036012084</v>
      </c>
      <c r="E6" s="8" t="n">
        <v>0.101974916001851</v>
      </c>
      <c r="F6" s="8" t="n">
        <v>-0.482852112379427</v>
      </c>
      <c r="G6" s="14" t="n">
        <v>0.631650045760169</v>
      </c>
      <c r="H6" s="8" t="n">
        <v>0.940180576060476</v>
      </c>
      <c r="I6" s="8" t="n">
        <v>0.9248779327271091</v>
      </c>
    </row>
    <row r="7" ht="19" customHeight="1">
      <c r="A7" s="7" t="inlineStr">
        <is>
          <t>Regional VARX(2)</t>
        </is>
      </c>
      <c r="B7" s="7" t="inlineStr">
        <is>
          <t>inflation_yoy</t>
        </is>
      </c>
      <c r="C7" s="7" t="inlineStr">
        <is>
          <t>gdp_growth.l2</t>
        </is>
      </c>
      <c r="D7" s="8" t="n">
        <v>0.227477639814917</v>
      </c>
      <c r="E7" s="8" t="n">
        <v>0.0912722347684994</v>
      </c>
      <c r="F7" s="8" t="n">
        <v>2.49229834671941</v>
      </c>
      <c r="G7" s="14" t="n">
        <v>0.0166243327307632</v>
      </c>
      <c r="H7" s="8" t="n">
        <v>0.940180576060476</v>
      </c>
      <c r="I7" s="8" t="n">
        <v>0.9248779327271091</v>
      </c>
    </row>
    <row r="8" ht="19" customHeight="1">
      <c r="A8" s="7" t="inlineStr">
        <is>
          <t>Regional VARX(2)</t>
        </is>
      </c>
      <c r="B8" s="7" t="inlineStr">
        <is>
          <t>inflation_yoy</t>
        </is>
      </c>
      <c r="C8" s="7" t="inlineStr">
        <is>
          <t>money_growth.l2</t>
        </is>
      </c>
      <c r="D8" s="8" t="n">
        <v>0.104995553320478</v>
      </c>
      <c r="E8" s="8" t="n">
        <v>0.143142290893759</v>
      </c>
      <c r="F8" s="8" t="n">
        <v>0.733504771126001</v>
      </c>
      <c r="G8" s="14" t="n">
        <v>0.4672311227538</v>
      </c>
      <c r="H8" s="8" t="n">
        <v>0.940180576060476</v>
      </c>
      <c r="I8" s="8" t="n">
        <v>0.9248779327271091</v>
      </c>
    </row>
    <row r="9" ht="19" customHeight="1">
      <c r="A9" s="7" t="inlineStr">
        <is>
          <t>Regional VARX(2)</t>
        </is>
      </c>
      <c r="B9" s="7" t="inlineStr">
        <is>
          <t>inflation_yoy</t>
        </is>
      </c>
      <c r="C9" s="7" t="inlineStr">
        <is>
          <t>reer_yoy.l2</t>
        </is>
      </c>
      <c r="D9" s="8" t="n">
        <v>0.0156669640205238</v>
      </c>
      <c r="E9" s="8" t="n">
        <v>0.0539599562332437</v>
      </c>
      <c r="F9" s="8" t="n">
        <v>0.290344268494267</v>
      </c>
      <c r="G9" s="14" t="n">
        <v>0.7729485557726971</v>
      </c>
      <c r="H9" s="8" t="n">
        <v>0.940180576060476</v>
      </c>
      <c r="I9" s="8" t="n">
        <v>0.9248779327271091</v>
      </c>
    </row>
    <row r="10" ht="19" customHeight="1">
      <c r="A10" s="7" t="inlineStr">
        <is>
          <t>Regional VARX(2)</t>
        </is>
      </c>
      <c r="B10" s="7" t="inlineStr">
        <is>
          <t>inflation_yoy</t>
        </is>
      </c>
      <c r="C10" s="6" t="inlineStr">
        <is>
          <t>const</t>
        </is>
      </c>
      <c r="D10" s="8" t="n">
        <v>0.466522749536841</v>
      </c>
      <c r="E10" s="8" t="n">
        <v>0.426023135010525</v>
      </c>
      <c r="F10" s="8" t="n">
        <v>1.09506435495649</v>
      </c>
      <c r="G10" s="14" t="n">
        <v>0.279584388311747</v>
      </c>
      <c r="H10" s="8" t="n">
        <v>0.940180576060476</v>
      </c>
      <c r="I10" s="8" t="n">
        <v>0.9248779327271091</v>
      </c>
    </row>
    <row r="11" ht="19" customHeight="1">
      <c r="A11" s="7" t="inlineStr">
        <is>
          <t>Regional VARX(2)</t>
        </is>
      </c>
      <c r="B11" s="7" t="inlineStr">
        <is>
          <t>inflation_yoy</t>
        </is>
      </c>
      <c r="C11" s="6" t="inlineStr">
        <is>
          <t>oil_yoy</t>
        </is>
      </c>
      <c r="D11" s="8" t="n">
        <v>0.0113882765706939</v>
      </c>
      <c r="E11" s="8" t="n">
        <v>0.0031405737840566</v>
      </c>
      <c r="F11" s="8" t="n">
        <v>3.62617704717123</v>
      </c>
      <c r="G11" s="14" t="n">
        <v>0.0007572308439821</v>
      </c>
      <c r="H11" s="8" t="n">
        <v>0.940180576060476</v>
      </c>
      <c r="I11" s="8" t="n">
        <v>0.9248779327271091</v>
      </c>
    </row>
    <row r="12" ht="19" customHeight="1">
      <c r="A12" s="7" t="inlineStr">
        <is>
          <t>Regional VARX(2)</t>
        </is>
      </c>
      <c r="B12" s="7" t="inlineStr">
        <is>
          <t>inflation_yoy</t>
        </is>
      </c>
      <c r="C12" s="6" t="inlineStr">
        <is>
          <t>fao_yoy</t>
        </is>
      </c>
      <c r="D12" s="8" t="n">
        <v>0.0236175975746883</v>
      </c>
      <c r="E12" s="8" t="n">
        <v>0.0112281226638269</v>
      </c>
      <c r="F12" s="8" t="n">
        <v>2.10343245098096</v>
      </c>
      <c r="G12" s="14" t="n">
        <v>0.0413155687654559</v>
      </c>
      <c r="H12" s="8" t="n">
        <v>0.940180576060476</v>
      </c>
      <c r="I12" s="8" t="n">
        <v>0.9248779327271091</v>
      </c>
    </row>
    <row r="13" ht="19" customHeight="1">
      <c r="A13" s="7" t="inlineStr">
        <is>
          <t>Regional VARX(2)</t>
        </is>
      </c>
      <c r="B13" s="7" t="inlineStr">
        <is>
          <t>inflation_yoy</t>
        </is>
      </c>
      <c r="C13" s="6" t="inlineStr">
        <is>
          <t>ffr_change</t>
        </is>
      </c>
      <c r="D13" s="8" t="n">
        <v>1.17118820585305</v>
      </c>
      <c r="E13" s="8" t="n">
        <v>0.215744290869826</v>
      </c>
      <c r="F13" s="8" t="n">
        <v>5.42859419885977</v>
      </c>
      <c r="G13" s="14" t="n">
        <v>2.46125849450351e-06</v>
      </c>
      <c r="H13" s="8" t="n">
        <v>0.940180576060476</v>
      </c>
      <c r="I13" s="8" t="n">
        <v>0.9248779327271091</v>
      </c>
    </row>
    <row r="14" ht="19" customHeight="1">
      <c r="A14" s="7" t="inlineStr">
        <is>
          <t>Regional VARX(2)</t>
        </is>
      </c>
      <c r="B14" s="6" t="inlineStr">
        <is>
          <t>gdp_growth</t>
        </is>
      </c>
      <c r="C14" s="7" t="inlineStr">
        <is>
          <t>inflation_yoy.l1</t>
        </is>
      </c>
      <c r="D14" s="8" t="n">
        <v>-0.0241538020998966</v>
      </c>
      <c r="E14" s="8" t="n">
        <v>0.102813879473505</v>
      </c>
      <c r="F14" s="8" t="n">
        <v>-0.234927445823313</v>
      </c>
      <c r="G14" s="14" t="n">
        <v>0.815380214375145</v>
      </c>
      <c r="H14" s="8" t="n">
        <v>0.979324176997637</v>
      </c>
      <c r="I14" s="8" t="n">
        <v>0.974035012973776</v>
      </c>
    </row>
    <row r="15" ht="19" customHeight="1">
      <c r="A15" s="7" t="inlineStr">
        <is>
          <t>Regional VARX(2)</t>
        </is>
      </c>
      <c r="B15" s="6" t="inlineStr">
        <is>
          <t>gdp_growth</t>
        </is>
      </c>
      <c r="C15" s="7" t="inlineStr">
        <is>
          <t>gdp_growth.l1</t>
        </is>
      </c>
      <c r="D15" s="8" t="n">
        <v>1.74609013090807</v>
      </c>
      <c r="E15" s="8" t="n">
        <v>0.08268265358129059</v>
      </c>
      <c r="F15" s="8" t="n">
        <v>21.1179740281482</v>
      </c>
      <c r="G15" s="14" t="n">
        <v>2.52214559936441e-24</v>
      </c>
      <c r="H15" s="8" t="n">
        <v>0.979324176997637</v>
      </c>
      <c r="I15" s="8" t="n">
        <v>0.974035012973776</v>
      </c>
    </row>
    <row r="16" ht="19" customHeight="1">
      <c r="A16" s="7" t="inlineStr">
        <is>
          <t>Regional VARX(2)</t>
        </is>
      </c>
      <c r="B16" s="6" t="inlineStr">
        <is>
          <t>gdp_growth</t>
        </is>
      </c>
      <c r="C16" s="7" t="inlineStr">
        <is>
          <t>money_growth.l1</t>
        </is>
      </c>
      <c r="D16" s="8" t="n">
        <v>0.0684379405438415</v>
      </c>
      <c r="E16" s="8" t="n">
        <v>0.140069242535136</v>
      </c>
      <c r="F16" s="8" t="n">
        <v>0.488600775624772</v>
      </c>
      <c r="G16" s="14" t="n">
        <v>0.627607061912413</v>
      </c>
      <c r="H16" s="8" t="n">
        <v>0.979324176997637</v>
      </c>
      <c r="I16" s="8" t="n">
        <v>0.974035012973776</v>
      </c>
    </row>
    <row r="17" ht="19" customHeight="1">
      <c r="A17" s="7" t="inlineStr">
        <is>
          <t>Regional VARX(2)</t>
        </is>
      </c>
      <c r="B17" s="6" t="inlineStr">
        <is>
          <t>gdp_growth</t>
        </is>
      </c>
      <c r="C17" s="7" t="inlineStr">
        <is>
          <t>reer_yoy.l1</t>
        </is>
      </c>
      <c r="D17" s="8" t="n">
        <v>-0.0562582434382725</v>
      </c>
      <c r="E17" s="8" t="n">
        <v>0.0526326907565688</v>
      </c>
      <c r="F17" s="8" t="n">
        <v>-1.06888404581997</v>
      </c>
      <c r="G17" s="14" t="n">
        <v>0.291085809449179</v>
      </c>
      <c r="H17" s="8" t="n">
        <v>0.979324176997637</v>
      </c>
      <c r="I17" s="8" t="n">
        <v>0.974035012973776</v>
      </c>
    </row>
    <row r="18" ht="19" customHeight="1">
      <c r="A18" s="7" t="inlineStr">
        <is>
          <t>Regional VARX(2)</t>
        </is>
      </c>
      <c r="B18" s="6" t="inlineStr">
        <is>
          <t>gdp_growth</t>
        </is>
      </c>
      <c r="C18" s="7" t="inlineStr">
        <is>
          <t>inflation_yoy.l2</t>
        </is>
      </c>
      <c r="D18" s="8" t="n">
        <v>-0.0067155019102479</v>
      </c>
      <c r="E18" s="8" t="n">
        <v>0.095423310244653</v>
      </c>
      <c r="F18" s="8" t="n">
        <v>-0.0703759059817798</v>
      </c>
      <c r="G18" s="14" t="n">
        <v>0.944220755715948</v>
      </c>
      <c r="H18" s="8" t="n">
        <v>0.979324176997637</v>
      </c>
      <c r="I18" s="8" t="n">
        <v>0.974035012973776</v>
      </c>
    </row>
    <row r="19" ht="19" customHeight="1">
      <c r="A19" s="7" t="inlineStr">
        <is>
          <t>Regional VARX(2)</t>
        </is>
      </c>
      <c r="B19" s="6" t="inlineStr">
        <is>
          <t>gdp_growth</t>
        </is>
      </c>
      <c r="C19" s="7" t="inlineStr">
        <is>
          <t>gdp_growth.l2</t>
        </is>
      </c>
      <c r="D19" s="8" t="n">
        <v>-0.928907378396866</v>
      </c>
      <c r="E19" s="8" t="n">
        <v>0.0854082466209556</v>
      </c>
      <c r="F19" s="8" t="n">
        <v>-10.8760853330637</v>
      </c>
      <c r="G19" s="14" t="n">
        <v>6.34781181602662e-14</v>
      </c>
      <c r="H19" s="8" t="n">
        <v>0.979324176997637</v>
      </c>
      <c r="I19" s="8" t="n">
        <v>0.974035012973776</v>
      </c>
    </row>
    <row r="20" ht="19" customHeight="1">
      <c r="A20" s="7" t="inlineStr">
        <is>
          <t>Regional VARX(2)</t>
        </is>
      </c>
      <c r="B20" s="6" t="inlineStr">
        <is>
          <t>gdp_growth</t>
        </is>
      </c>
      <c r="C20" s="7" t="inlineStr">
        <is>
          <t>money_growth.l2</t>
        </is>
      </c>
      <c r="D20" s="8" t="n">
        <v>0.0272896399549193</v>
      </c>
      <c r="E20" s="8" t="n">
        <v>0.13394579538401</v>
      </c>
      <c r="F20" s="8" t="n">
        <v>0.203736443362649</v>
      </c>
      <c r="G20" s="14" t="n">
        <v>0.839520612656158</v>
      </c>
      <c r="H20" s="8" t="n">
        <v>0.979324176997637</v>
      </c>
      <c r="I20" s="8" t="n">
        <v>0.974035012973776</v>
      </c>
    </row>
    <row r="21" ht="19" customHeight="1">
      <c r="A21" s="7" t="inlineStr">
        <is>
          <t>Regional VARX(2)</t>
        </is>
      </c>
      <c r="B21" s="6" t="inlineStr">
        <is>
          <t>gdp_growth</t>
        </is>
      </c>
      <c r="C21" s="7" t="inlineStr">
        <is>
          <t>reer_yoy.l2</t>
        </is>
      </c>
      <c r="D21" s="8" t="n">
        <v>-0.035506714840872</v>
      </c>
      <c r="E21" s="8" t="n">
        <v>0.0504931785806937</v>
      </c>
      <c r="F21" s="8" t="n">
        <v>-0.7031982505147371</v>
      </c>
      <c r="G21" s="14" t="n">
        <v>0.485722367338029</v>
      </c>
      <c r="H21" s="8" t="n">
        <v>0.979324176997637</v>
      </c>
      <c r="I21" s="8" t="n">
        <v>0.974035012973776</v>
      </c>
    </row>
    <row r="22" ht="19" customHeight="1">
      <c r="A22" s="7" t="inlineStr">
        <is>
          <t>Regional VARX(2)</t>
        </is>
      </c>
      <c r="B22" s="6" t="inlineStr">
        <is>
          <t>gdp_growth</t>
        </is>
      </c>
      <c r="C22" s="6" t="inlineStr">
        <is>
          <t>const</t>
        </is>
      </c>
      <c r="D22" s="8" t="n">
        <v>-0.350830573786063</v>
      </c>
      <c r="E22" s="8" t="n">
        <v>0.398652329194084</v>
      </c>
      <c r="F22" s="8" t="n">
        <v>-0.880041449890189</v>
      </c>
      <c r="G22" s="14" t="n">
        <v>0.383728933001681</v>
      </c>
      <c r="H22" s="8" t="n">
        <v>0.979324176997637</v>
      </c>
      <c r="I22" s="8" t="n">
        <v>0.974035012973776</v>
      </c>
    </row>
    <row r="23" ht="19" customHeight="1">
      <c r="A23" s="7" t="inlineStr">
        <is>
          <t>Regional VARX(2)</t>
        </is>
      </c>
      <c r="B23" s="6" t="inlineStr">
        <is>
          <t>gdp_growth</t>
        </is>
      </c>
      <c r="C23" s="6" t="inlineStr">
        <is>
          <t>oil_yoy</t>
        </is>
      </c>
      <c r="D23" s="8" t="n">
        <v>-0.0017246563401618</v>
      </c>
      <c r="E23" s="8" t="n">
        <v>0.0029388006216825</v>
      </c>
      <c r="F23" s="8" t="n">
        <v>-0.586857212237298</v>
      </c>
      <c r="G23" s="14" t="n">
        <v>0.560368328416442</v>
      </c>
      <c r="H23" s="8" t="n">
        <v>0.979324176997637</v>
      </c>
      <c r="I23" s="8" t="n">
        <v>0.974035012973776</v>
      </c>
    </row>
    <row r="24" ht="19" customHeight="1">
      <c r="A24" s="7" t="inlineStr">
        <is>
          <t>Regional VARX(2)</t>
        </is>
      </c>
      <c r="B24" s="6" t="inlineStr">
        <is>
          <t>gdp_growth</t>
        </is>
      </c>
      <c r="C24" s="6" t="inlineStr">
        <is>
          <t>fao_yoy</t>
        </is>
      </c>
      <c r="D24" s="8" t="n">
        <v>-0.0323296005172617</v>
      </c>
      <c r="E24" s="8" t="n">
        <v>0.0105067468983836</v>
      </c>
      <c r="F24" s="8" t="n">
        <v>-3.07703238975287</v>
      </c>
      <c r="G24" s="14" t="n">
        <v>0.0036304585740427</v>
      </c>
      <c r="H24" s="8" t="n">
        <v>0.979324176997637</v>
      </c>
      <c r="I24" s="8" t="n">
        <v>0.974035012973776</v>
      </c>
    </row>
    <row r="25" ht="19" customHeight="1">
      <c r="A25" s="7" t="inlineStr">
        <is>
          <t>Regional VARX(2)</t>
        </is>
      </c>
      <c r="B25" s="6" t="inlineStr">
        <is>
          <t>gdp_growth</t>
        </is>
      </c>
      <c r="C25" s="6" t="inlineStr">
        <is>
          <t>ffr_change</t>
        </is>
      </c>
      <c r="D25" s="8" t="n">
        <v>0.0553167262068022</v>
      </c>
      <c r="E25" s="8" t="n">
        <v>0.201883318058436</v>
      </c>
      <c r="F25" s="8" t="n">
        <v>0.274003452780534</v>
      </c>
      <c r="G25" s="14" t="n">
        <v>0.785393962494575</v>
      </c>
      <c r="H25" s="8" t="n">
        <v>0.979324176997637</v>
      </c>
      <c r="I25" s="8" t="n">
        <v>0.974035012973776</v>
      </c>
    </row>
    <row r="26" ht="19" customHeight="1">
      <c r="A26" s="7" t="inlineStr">
        <is>
          <t>Regional VARX(2)</t>
        </is>
      </c>
      <c r="B26" s="7" t="inlineStr">
        <is>
          <t>money_growth</t>
        </is>
      </c>
      <c r="C26" s="7" t="inlineStr">
        <is>
          <t>inflation_yoy.l1</t>
        </is>
      </c>
      <c r="D26" s="8" t="n">
        <v>-0.0243921748492831</v>
      </c>
      <c r="E26" s="8" t="n">
        <v>0.0874090423051247</v>
      </c>
      <c r="F26" s="8" t="n">
        <v>-0.279057797752041</v>
      </c>
      <c r="G26" s="14" t="n">
        <v>0.781538259075351</v>
      </c>
      <c r="H26" s="8" t="n">
        <v>0.979067802143106</v>
      </c>
      <c r="I26" s="8" t="n">
        <v>0.973713053854133</v>
      </c>
    </row>
    <row r="27" ht="19" customHeight="1">
      <c r="A27" s="7" t="inlineStr">
        <is>
          <t>Regional VARX(2)</t>
        </is>
      </c>
      <c r="B27" s="7" t="inlineStr">
        <is>
          <t>money_growth</t>
        </is>
      </c>
      <c r="C27" s="7" t="inlineStr">
        <is>
          <t>gdp_growth.l1</t>
        </is>
      </c>
      <c r="D27" s="8" t="n">
        <v>0.0335108762312192</v>
      </c>
      <c r="E27" s="8" t="n">
        <v>0.0702941237291743</v>
      </c>
      <c r="F27" s="8" t="n">
        <v>0.47672372103717</v>
      </c>
      <c r="G27" s="14" t="n">
        <v>0.635972682226469</v>
      </c>
      <c r="H27" s="8" t="n">
        <v>0.979067802143106</v>
      </c>
      <c r="I27" s="8" t="n">
        <v>0.973713053854133</v>
      </c>
    </row>
    <row r="28" ht="19" customHeight="1">
      <c r="A28" s="7" t="inlineStr">
        <is>
          <t>Regional VARX(2)</t>
        </is>
      </c>
      <c r="B28" s="7" t="inlineStr">
        <is>
          <t>money_growth</t>
        </is>
      </c>
      <c r="C28" s="7" t="inlineStr">
        <is>
          <t>money_growth.l1</t>
        </is>
      </c>
      <c r="D28" s="8" t="n">
        <v>1.68601481145297</v>
      </c>
      <c r="E28" s="8" t="n">
        <v>0.11908234967007</v>
      </c>
      <c r="F28" s="8" t="n">
        <v>14.1583938856115</v>
      </c>
      <c r="G28" s="14" t="n">
        <v>8.59423554761228e-18</v>
      </c>
      <c r="H28" s="8" t="n">
        <v>0.979067802143106</v>
      </c>
      <c r="I28" s="8" t="n">
        <v>0.973713053854133</v>
      </c>
    </row>
    <row r="29" ht="19" customHeight="1">
      <c r="A29" s="7" t="inlineStr">
        <is>
          <t>Regional VARX(2)</t>
        </is>
      </c>
      <c r="B29" s="7" t="inlineStr">
        <is>
          <t>money_growth</t>
        </is>
      </c>
      <c r="C29" s="7" t="inlineStr">
        <is>
          <t>reer_yoy.l1</t>
        </is>
      </c>
      <c r="D29" s="8" t="n">
        <v>0.070919888279631</v>
      </c>
      <c r="E29" s="8" t="n">
        <v>0.0447466151120094</v>
      </c>
      <c r="F29" s="8" t="n">
        <v>1.58492185614722</v>
      </c>
      <c r="G29" s="14" t="n">
        <v>0.120311874487808</v>
      </c>
      <c r="H29" s="8" t="n">
        <v>0.979067802143106</v>
      </c>
      <c r="I29" s="8" t="n">
        <v>0.973713053854133</v>
      </c>
    </row>
    <row r="30" ht="19" customHeight="1">
      <c r="A30" s="7" t="inlineStr">
        <is>
          <t>Regional VARX(2)</t>
        </is>
      </c>
      <c r="B30" s="7" t="inlineStr">
        <is>
          <t>money_growth</t>
        </is>
      </c>
      <c r="C30" s="7" t="inlineStr">
        <is>
          <t>inflation_yoy.l2</t>
        </is>
      </c>
      <c r="D30" s="8" t="n">
        <v>0.07334035130147511</v>
      </c>
      <c r="E30" s="8" t="n">
        <v>0.0811258188561915</v>
      </c>
      <c r="F30" s="8" t="n">
        <v>0.904032185258833</v>
      </c>
      <c r="G30" s="14" t="n">
        <v>0.371015456594924</v>
      </c>
      <c r="H30" s="8" t="n">
        <v>0.979067802143106</v>
      </c>
      <c r="I30" s="8" t="n">
        <v>0.973713053854133</v>
      </c>
    </row>
    <row r="31" ht="19" customHeight="1">
      <c r="A31" s="7" t="inlineStr">
        <is>
          <t>Regional VARX(2)</t>
        </is>
      </c>
      <c r="B31" s="7" t="inlineStr">
        <is>
          <t>money_growth</t>
        </is>
      </c>
      <c r="C31" s="7" t="inlineStr">
        <is>
          <t>gdp_growth.l2</t>
        </is>
      </c>
      <c r="D31" s="8" t="n">
        <v>0.006419539280049</v>
      </c>
      <c r="E31" s="8" t="n">
        <v>0.07261133497079481</v>
      </c>
      <c r="F31" s="8" t="n">
        <v>0.0884096027518439</v>
      </c>
      <c r="G31" s="14" t="n">
        <v>0.929961605279495</v>
      </c>
      <c r="H31" s="8" t="n">
        <v>0.979067802143106</v>
      </c>
      <c r="I31" s="8" t="n">
        <v>0.973713053854133</v>
      </c>
    </row>
    <row r="32" ht="19" customHeight="1">
      <c r="A32" s="7" t="inlineStr">
        <is>
          <t>Regional VARX(2)</t>
        </is>
      </c>
      <c r="B32" s="7" t="inlineStr">
        <is>
          <t>money_growth</t>
        </is>
      </c>
      <c r="C32" s="7" t="inlineStr">
        <is>
          <t>money_growth.l2</t>
        </is>
      </c>
      <c r="D32" s="8" t="n">
        <v>-0.760464023032737</v>
      </c>
      <c r="E32" s="8" t="n">
        <v>0.113876392518888</v>
      </c>
      <c r="F32" s="8" t="n">
        <v>-6.6779778162239</v>
      </c>
      <c r="G32" s="14" t="n">
        <v>3.77249741735035e-08</v>
      </c>
      <c r="H32" s="8" t="n">
        <v>0.979067802143106</v>
      </c>
      <c r="I32" s="8" t="n">
        <v>0.973713053854133</v>
      </c>
    </row>
    <row r="33" ht="19" customHeight="1">
      <c r="A33" s="7" t="inlineStr">
        <is>
          <t>Regional VARX(2)</t>
        </is>
      </c>
      <c r="B33" s="7" t="inlineStr">
        <is>
          <t>money_growth</t>
        </is>
      </c>
      <c r="C33" s="7" t="inlineStr">
        <is>
          <t>reer_yoy.l2</t>
        </is>
      </c>
      <c r="D33" s="8" t="n">
        <v>-0.0596527531274807</v>
      </c>
      <c r="E33" s="8" t="n">
        <v>0.0429276709067031</v>
      </c>
      <c r="F33" s="8" t="n">
        <v>-1.38961075379857</v>
      </c>
      <c r="G33" s="14" t="n">
        <v>0.171800607822184</v>
      </c>
      <c r="H33" s="8" t="n">
        <v>0.979067802143106</v>
      </c>
      <c r="I33" s="8" t="n">
        <v>0.973713053854133</v>
      </c>
    </row>
    <row r="34" ht="19" customHeight="1">
      <c r="A34" s="7" t="inlineStr">
        <is>
          <t>Regional VARX(2)</t>
        </is>
      </c>
      <c r="B34" s="7" t="inlineStr">
        <is>
          <t>money_growth</t>
        </is>
      </c>
      <c r="C34" s="6" t="inlineStr">
        <is>
          <t>const</t>
        </is>
      </c>
      <c r="D34" s="8" t="n">
        <v>0.6566521821218581</v>
      </c>
      <c r="E34" s="8" t="n">
        <v>0.338921344919601</v>
      </c>
      <c r="F34" s="8" t="n">
        <v>1.93747662094764</v>
      </c>
      <c r="G34" s="14" t="n">
        <v>0.0592731154016947</v>
      </c>
      <c r="H34" s="8" t="n">
        <v>0.979067802143106</v>
      </c>
      <c r="I34" s="8" t="n">
        <v>0.973713053854133</v>
      </c>
    </row>
    <row r="35" ht="19" customHeight="1">
      <c r="A35" s="7" t="inlineStr">
        <is>
          <t>Regional VARX(2)</t>
        </is>
      </c>
      <c r="B35" s="7" t="inlineStr">
        <is>
          <t>money_growth</t>
        </is>
      </c>
      <c r="C35" s="6" t="inlineStr">
        <is>
          <t>oil_yoy</t>
        </is>
      </c>
      <c r="D35" s="8" t="n">
        <v>0.0014867627688205</v>
      </c>
      <c r="E35" s="8" t="n">
        <v>0.0024984734471883</v>
      </c>
      <c r="F35" s="8" t="n">
        <v>0.595068468905963</v>
      </c>
      <c r="G35" s="14" t="n">
        <v>0.554916551157387</v>
      </c>
      <c r="H35" s="8" t="n">
        <v>0.979067802143106</v>
      </c>
      <c r="I35" s="8" t="n">
        <v>0.973713053854133</v>
      </c>
    </row>
    <row r="36" ht="19" customHeight="1">
      <c r="A36" s="7" t="inlineStr">
        <is>
          <t>Regional VARX(2)</t>
        </is>
      </c>
      <c r="B36" s="7" t="inlineStr">
        <is>
          <t>money_growth</t>
        </is>
      </c>
      <c r="C36" s="6" t="inlineStr">
        <is>
          <t>fao_yoy</t>
        </is>
      </c>
      <c r="D36" s="8" t="n">
        <v>0.0074919529867886</v>
      </c>
      <c r="E36" s="8" t="n">
        <v>0.008932497137866501</v>
      </c>
      <c r="F36" s="8" t="n">
        <v>0.838729962199355</v>
      </c>
      <c r="G36" s="14" t="n">
        <v>0.406259400665845</v>
      </c>
      <c r="H36" s="8" t="n">
        <v>0.979067802143106</v>
      </c>
      <c r="I36" s="8" t="n">
        <v>0.973713053854133</v>
      </c>
    </row>
    <row r="37" ht="19" customHeight="1">
      <c r="A37" s="7" t="inlineStr">
        <is>
          <t>Regional VARX(2)</t>
        </is>
      </c>
      <c r="B37" s="7" t="inlineStr">
        <is>
          <t>money_growth</t>
        </is>
      </c>
      <c r="C37" s="6" t="inlineStr">
        <is>
          <t>ffr_change</t>
        </is>
      </c>
      <c r="D37" s="8" t="n">
        <v>-0.257607589770083</v>
      </c>
      <c r="E37" s="8" t="n">
        <v>0.17163468180788</v>
      </c>
      <c r="F37" s="8" t="n">
        <v>-1.50090638475059</v>
      </c>
      <c r="G37" s="14" t="n">
        <v>0.140687631346971</v>
      </c>
      <c r="H37" s="8" t="n">
        <v>0.979067802143106</v>
      </c>
      <c r="I37" s="8" t="n">
        <v>0.973713053854133</v>
      </c>
    </row>
    <row r="38" ht="19" customHeight="1">
      <c r="A38" s="7" t="inlineStr">
        <is>
          <t>Regional VARX(2)</t>
        </is>
      </c>
      <c r="B38" s="6" t="inlineStr">
        <is>
          <t>reer_yoy</t>
        </is>
      </c>
      <c r="C38" s="7" t="inlineStr">
        <is>
          <t>inflation_yoy.l1</t>
        </is>
      </c>
      <c r="D38" s="8" t="n">
        <v>0.304411841889639</v>
      </c>
      <c r="E38" s="8" t="n">
        <v>0.238499123318433</v>
      </c>
      <c r="F38" s="8" t="n">
        <v>1.27636461574411</v>
      </c>
      <c r="G38" s="14" t="n">
        <v>0.208677439310748</v>
      </c>
      <c r="H38" s="8" t="n">
        <v>0.851160235566611</v>
      </c>
      <c r="I38" s="8" t="n">
        <v>0.8130849469906271</v>
      </c>
    </row>
    <row r="39" ht="19" customHeight="1">
      <c r="A39" s="7" t="inlineStr">
        <is>
          <t>Regional VARX(2)</t>
        </is>
      </c>
      <c r="B39" s="6" t="inlineStr">
        <is>
          <t>reer_yoy</t>
        </is>
      </c>
      <c r="C39" s="7" t="inlineStr">
        <is>
          <t>gdp_growth.l1</t>
        </is>
      </c>
      <c r="D39" s="8" t="n">
        <v>0.261372517507017</v>
      </c>
      <c r="E39" s="8" t="n">
        <v>0.191800372612738</v>
      </c>
      <c r="F39" s="8" t="n">
        <v>1.36273206327263</v>
      </c>
      <c r="G39" s="14" t="n">
        <v>0.180061581819363</v>
      </c>
      <c r="H39" s="8" t="n">
        <v>0.851160235566611</v>
      </c>
      <c r="I39" s="8" t="n">
        <v>0.8130849469906271</v>
      </c>
    </row>
    <row r="40" ht="19" customHeight="1">
      <c r="A40" s="7" t="inlineStr">
        <is>
          <t>Regional VARX(2)</t>
        </is>
      </c>
      <c r="B40" s="6" t="inlineStr">
        <is>
          <t>reer_yoy</t>
        </is>
      </c>
      <c r="C40" s="7" t="inlineStr">
        <is>
          <t>money_growth.l1</t>
        </is>
      </c>
      <c r="D40" s="8" t="n">
        <v>0.346655902819393</v>
      </c>
      <c r="E40" s="8" t="n">
        <v>0.324921029335494</v>
      </c>
      <c r="F40" s="8" t="n">
        <v>1.06689278785171</v>
      </c>
      <c r="G40" s="14" t="n">
        <v>0.291973893700014</v>
      </c>
      <c r="H40" s="8" t="n">
        <v>0.851160235566611</v>
      </c>
      <c r="I40" s="8" t="n">
        <v>0.8130849469906271</v>
      </c>
    </row>
    <row r="41" ht="19" customHeight="1">
      <c r="A41" s="7" t="inlineStr">
        <is>
          <t>Regional VARX(2)</t>
        </is>
      </c>
      <c r="B41" s="6" t="inlineStr">
        <is>
          <t>reer_yoy</t>
        </is>
      </c>
      <c r="C41" s="7" t="inlineStr">
        <is>
          <t>reer_yoy.l1</t>
        </is>
      </c>
      <c r="D41" s="8" t="n">
        <v>1.13947106827901</v>
      </c>
      <c r="E41" s="8" t="n">
        <v>0.122092957367363</v>
      </c>
      <c r="F41" s="8" t="n">
        <v>9.332815691002409</v>
      </c>
      <c r="G41" s="14" t="n">
        <v>6.72464281932554e-12</v>
      </c>
      <c r="H41" s="8" t="n">
        <v>0.851160235566611</v>
      </c>
      <c r="I41" s="8" t="n">
        <v>0.8130849469906271</v>
      </c>
    </row>
    <row r="42" ht="19" customHeight="1">
      <c r="A42" s="7" t="inlineStr">
        <is>
          <t>Regional VARX(2)</t>
        </is>
      </c>
      <c r="B42" s="6" t="inlineStr">
        <is>
          <t>reer_yoy</t>
        </is>
      </c>
      <c r="C42" s="7" t="inlineStr">
        <is>
          <t>inflation_yoy.l2</t>
        </is>
      </c>
      <c r="D42" s="8" t="n">
        <v>0.06841088679560491</v>
      </c>
      <c r="E42" s="8" t="n">
        <v>0.221355092853561</v>
      </c>
      <c r="F42" s="8" t="n">
        <v>0.309054948380441</v>
      </c>
      <c r="G42" s="14" t="n">
        <v>0.758772280489173</v>
      </c>
      <c r="H42" s="8" t="n">
        <v>0.851160235566611</v>
      </c>
      <c r="I42" s="8" t="n">
        <v>0.8130849469906271</v>
      </c>
    </row>
    <row r="43" ht="19" customHeight="1">
      <c r="A43" s="7" t="inlineStr">
        <is>
          <t>Regional VARX(2)</t>
        </is>
      </c>
      <c r="B43" s="6" t="inlineStr">
        <is>
          <t>reer_yoy</t>
        </is>
      </c>
      <c r="C43" s="7" t="inlineStr">
        <is>
          <t>gdp_growth.l2</t>
        </is>
      </c>
      <c r="D43" s="8" t="n">
        <v>-0.159035189102894</v>
      </c>
      <c r="E43" s="8" t="n">
        <v>0.198122977632719</v>
      </c>
      <c r="F43" s="8" t="n">
        <v>-0.80270946360252</v>
      </c>
      <c r="G43" s="14" t="n">
        <v>0.426557274741478</v>
      </c>
      <c r="H43" s="8" t="n">
        <v>0.851160235566611</v>
      </c>
      <c r="I43" s="8" t="n">
        <v>0.8130849469906271</v>
      </c>
    </row>
    <row r="44" ht="19" customHeight="1">
      <c r="A44" s="7" t="inlineStr">
        <is>
          <t>Regional VARX(2)</t>
        </is>
      </c>
      <c r="B44" s="6" t="inlineStr">
        <is>
          <t>reer_yoy</t>
        </is>
      </c>
      <c r="C44" s="7" t="inlineStr">
        <is>
          <t>money_growth.l2</t>
        </is>
      </c>
      <c r="D44" s="8" t="n">
        <v>-0.344887899506862</v>
      </c>
      <c r="E44" s="8" t="n">
        <v>0.310716363732864</v>
      </c>
      <c r="F44" s="8" t="n">
        <v>-1.10997662100402</v>
      </c>
      <c r="G44" s="14" t="n">
        <v>0.273177973683259</v>
      </c>
      <c r="H44" s="8" t="n">
        <v>0.851160235566611</v>
      </c>
      <c r="I44" s="8" t="n">
        <v>0.8130849469906271</v>
      </c>
    </row>
    <row r="45" ht="19" customHeight="1">
      <c r="A45" s="7" t="inlineStr">
        <is>
          <t>Regional VARX(2)</t>
        </is>
      </c>
      <c r="B45" s="6" t="inlineStr">
        <is>
          <t>reer_yoy</t>
        </is>
      </c>
      <c r="C45" s="7" t="inlineStr">
        <is>
          <t>reer_yoy.l2</t>
        </is>
      </c>
      <c r="D45" s="8" t="n">
        <v>-0.657633156383271</v>
      </c>
      <c r="E45" s="8" t="n">
        <v>0.117129894200324</v>
      </c>
      <c r="F45" s="8" t="n">
        <v>-5.6145628822864</v>
      </c>
      <c r="G45" s="14" t="n">
        <v>1.32578915380718e-06</v>
      </c>
      <c r="H45" s="8" t="n">
        <v>0.851160235566611</v>
      </c>
      <c r="I45" s="8" t="n">
        <v>0.8130849469906271</v>
      </c>
    </row>
    <row r="46" ht="19" customHeight="1">
      <c r="A46" s="7" t="inlineStr">
        <is>
          <t>Regional VARX(2)</t>
        </is>
      </c>
      <c r="B46" s="6" t="inlineStr">
        <is>
          <t>reer_yoy</t>
        </is>
      </c>
      <c r="C46" s="6" t="inlineStr">
        <is>
          <t>const</t>
        </is>
      </c>
      <c r="D46" s="8" t="n">
        <v>-1.03591309405432</v>
      </c>
      <c r="E46" s="8" t="n">
        <v>0.924760659830384</v>
      </c>
      <c r="F46" s="8" t="n">
        <v>-1.12019589397793</v>
      </c>
      <c r="G46" s="14" t="n">
        <v>0.268848139397388</v>
      </c>
      <c r="H46" s="8" t="n">
        <v>0.851160235566611</v>
      </c>
      <c r="I46" s="8" t="n">
        <v>0.8130849469906271</v>
      </c>
    </row>
    <row r="47" ht="19" customHeight="1">
      <c r="A47" s="7" t="inlineStr">
        <is>
          <t>Regional VARX(2)</t>
        </is>
      </c>
      <c r="B47" s="6" t="inlineStr">
        <is>
          <t>reer_yoy</t>
        </is>
      </c>
      <c r="C47" s="6" t="inlineStr">
        <is>
          <t>oil_yoy</t>
        </is>
      </c>
      <c r="D47" s="8" t="n">
        <v>-0.0151199167386632</v>
      </c>
      <c r="E47" s="8" t="n">
        <v>0.0068171863124721</v>
      </c>
      <c r="F47" s="8" t="n">
        <v>-2.21791162007719</v>
      </c>
      <c r="G47" s="14" t="n">
        <v>0.0318940502963654</v>
      </c>
      <c r="H47" s="8" t="n">
        <v>0.851160235566611</v>
      </c>
      <c r="I47" s="8" t="n">
        <v>0.8130849469906271</v>
      </c>
    </row>
    <row r="48" ht="19" customHeight="1">
      <c r="A48" s="7" t="inlineStr">
        <is>
          <t>Regional VARX(2)</t>
        </is>
      </c>
      <c r="B48" s="6" t="inlineStr">
        <is>
          <t>reer_yoy</t>
        </is>
      </c>
      <c r="C48" s="6" t="inlineStr">
        <is>
          <t>fao_yoy</t>
        </is>
      </c>
      <c r="D48" s="8" t="n">
        <v>0.045170765705927</v>
      </c>
      <c r="E48" s="8" t="n">
        <v>0.0243726813638901</v>
      </c>
      <c r="F48" s="8" t="n">
        <v>1.8533359145642</v>
      </c>
      <c r="G48" s="14" t="n">
        <v>0.07070373690279461</v>
      </c>
      <c r="H48" s="8" t="n">
        <v>0.851160235566611</v>
      </c>
      <c r="I48" s="8" t="n">
        <v>0.8130849469906271</v>
      </c>
    </row>
    <row r="49" ht="19" customHeight="1">
      <c r="A49" s="7" t="inlineStr">
        <is>
          <t>Regional VARX(2)</t>
        </is>
      </c>
      <c r="B49" s="6" t="inlineStr">
        <is>
          <t>reer_yoy</t>
        </is>
      </c>
      <c r="C49" s="6" t="inlineStr">
        <is>
          <t>ffr_change</t>
        </is>
      </c>
      <c r="D49" s="8" t="n">
        <v>-0.965787600027559</v>
      </c>
      <c r="E49" s="8" t="n">
        <v>0.468312202750419</v>
      </c>
      <c r="F49" s="8" t="n">
        <v>-2.06227297592385</v>
      </c>
      <c r="G49" s="14" t="n">
        <v>0.0452565945650683</v>
      </c>
      <c r="H49" s="8" t="n">
        <v>0.851160235566611</v>
      </c>
      <c r="I49" s="8" t="n">
        <v>0.8130849469906271</v>
      </c>
    </row>
    <row r="50" ht="19" customHeight="1">
      <c r="A50" s="7" t="inlineStr">
        <is>
          <t>Panel Fixed Effects (Within 10 Countries)</t>
        </is>
      </c>
      <c r="B50" s="7" t="inlineStr">
        <is>
          <t>inflation_yoy</t>
        </is>
      </c>
      <c r="C50" s="7" t="inlineStr">
        <is>
          <t>lag(inflation_yoy, 1)</t>
        </is>
      </c>
      <c r="D50" s="8" t="n">
        <v>1.25637809882209</v>
      </c>
      <c r="E50" s="8" t="n">
        <v>0.037866676400957</v>
      </c>
      <c r="F50" s="8" t="n">
        <v>33.1789905593706</v>
      </c>
      <c r="G50" s="14" t="n">
        <v>1.18332131998869e-131</v>
      </c>
      <c r="H50" s="8" t="n">
        <v>0.900338203804101</v>
      </c>
      <c r="I50" s="8" t="n">
        <v>0.897153522346713</v>
      </c>
    </row>
    <row r="51" ht="19" customHeight="1">
      <c r="A51" s="7" t="inlineStr">
        <is>
          <t>Panel Fixed Effects (Within 10 Countries)</t>
        </is>
      </c>
      <c r="B51" s="7" t="inlineStr">
        <is>
          <t>inflation_yoy</t>
        </is>
      </c>
      <c r="C51" s="7" t="inlineStr">
        <is>
          <t>lag(inflation_yoy, 2)</t>
        </is>
      </c>
      <c r="D51" s="8" t="n">
        <v>-0.377068747148687</v>
      </c>
      <c r="E51" s="8" t="n">
        <v>0.03790367259372</v>
      </c>
      <c r="F51" s="8" t="n">
        <v>-9.948079469511899</v>
      </c>
      <c r="G51" s="14" t="n">
        <v>1.69043807299619e-21</v>
      </c>
      <c r="H51" s="8" t="n">
        <v>0.900338203804101</v>
      </c>
      <c r="I51" s="8" t="n">
        <v>0.897153522346713</v>
      </c>
    </row>
    <row r="52" ht="19" customHeight="1">
      <c r="A52" s="7" t="inlineStr">
        <is>
          <t>Panel Fixed Effects (Within 10 Countries)</t>
        </is>
      </c>
      <c r="B52" s="7" t="inlineStr">
        <is>
          <t>inflation_yoy</t>
        </is>
      </c>
      <c r="C52" s="7" t="inlineStr">
        <is>
          <t>lag(gdp_growth, 1)</t>
        </is>
      </c>
      <c r="D52" s="8" t="n">
        <v>0.0076192899302067</v>
      </c>
      <c r="E52" s="8" t="n">
        <v>0.0163353012849459</v>
      </c>
      <c r="F52" s="8" t="n">
        <v>0.466430939797142</v>
      </c>
      <c r="G52" s="14" t="n">
        <v>0.64109800219374</v>
      </c>
      <c r="H52" s="8" t="n">
        <v>0.900338203804101</v>
      </c>
      <c r="I52" s="8" t="n">
        <v>0.897153522346713</v>
      </c>
    </row>
    <row r="53" ht="19" customHeight="1">
      <c r="A53" s="7" t="inlineStr">
        <is>
          <t>Panel Fixed Effects (Within 10 Countries)</t>
        </is>
      </c>
      <c r="B53" s="7" t="inlineStr">
        <is>
          <t>inflation_yoy</t>
        </is>
      </c>
      <c r="C53" s="7" t="inlineStr">
        <is>
          <t>lag(money_growth, 1)</t>
        </is>
      </c>
      <c r="D53" s="8" t="n">
        <v>0.0125301009300994</v>
      </c>
      <c r="E53" s="8" t="n">
        <v>0.0114993934888383</v>
      </c>
      <c r="F53" s="8" t="n">
        <v>1.08963146119502</v>
      </c>
      <c r="G53" s="14" t="n">
        <v>0.276368832227689</v>
      </c>
      <c r="H53" s="8" t="n">
        <v>0.900338203804101</v>
      </c>
      <c r="I53" s="8" t="n">
        <v>0.897153522346713</v>
      </c>
    </row>
    <row r="54" ht="19" customHeight="1">
      <c r="A54" s="7" t="inlineStr">
        <is>
          <t>Panel Fixed Effects (Within 10 Countries)</t>
        </is>
      </c>
      <c r="B54" s="7" t="inlineStr">
        <is>
          <t>inflation_yoy</t>
        </is>
      </c>
      <c r="C54" s="7" t="inlineStr">
        <is>
          <t>lag(reer_yoy, 1)</t>
        </is>
      </c>
      <c r="D54" s="8" t="n">
        <v>-0.0472553913839937</v>
      </c>
      <c r="E54" s="8" t="n">
        <v>0.0112162649820418</v>
      </c>
      <c r="F54" s="8" t="n">
        <v>-4.21311296226094</v>
      </c>
      <c r="G54" s="14" t="n">
        <v>2.95855158768592e-05</v>
      </c>
      <c r="H54" s="8" t="n">
        <v>0.900338203804101</v>
      </c>
      <c r="I54" s="8" t="n">
        <v>0.897153522346713</v>
      </c>
    </row>
    <row r="55" ht="19" customHeight="1">
      <c r="A55" s="7" t="inlineStr">
        <is>
          <t>Panel Fixed Effects (Within 10 Countries)</t>
        </is>
      </c>
      <c r="B55" s="7" t="inlineStr">
        <is>
          <t>inflation_yoy</t>
        </is>
      </c>
      <c r="C55" s="6" t="inlineStr">
        <is>
          <t>oil_yoy</t>
        </is>
      </c>
      <c r="D55" s="8" t="n">
        <v>0.00202805557369</v>
      </c>
      <c r="E55" s="8" t="n">
        <v>0.0021557329251744</v>
      </c>
      <c r="F55" s="8" t="n">
        <v>0.94077311247911</v>
      </c>
      <c r="G55" s="14" t="n">
        <v>0.347248109724666</v>
      </c>
      <c r="H55" s="8" t="n">
        <v>0.900338203804101</v>
      </c>
      <c r="I55" s="8" t="n">
        <v>0.897153522346713</v>
      </c>
    </row>
    <row r="56" ht="19" customHeight="1">
      <c r="A56" s="7" t="inlineStr">
        <is>
          <t>Panel Fixed Effects (Within 10 Countries)</t>
        </is>
      </c>
      <c r="B56" s="7" t="inlineStr">
        <is>
          <t>inflation_yoy</t>
        </is>
      </c>
      <c r="C56" s="6" t="inlineStr">
        <is>
          <t>fao_yoy</t>
        </is>
      </c>
      <c r="D56" s="8" t="n">
        <v>0.015972715509756</v>
      </c>
      <c r="E56" s="8" t="n">
        <v>0.008906227249330901</v>
      </c>
      <c r="F56" s="8" t="n">
        <v>1.79343228761155</v>
      </c>
      <c r="G56" s="14" t="n">
        <v>0.07347167240922731</v>
      </c>
      <c r="H56" s="8" t="n">
        <v>0.900338203804101</v>
      </c>
      <c r="I56" s="8" t="n">
        <v>0.897153522346713</v>
      </c>
    </row>
    <row r="57" ht="19" customHeight="1">
      <c r="A57" s="7" t="inlineStr">
        <is>
          <t>Panel Fixed Effects (Within 10 Countries)</t>
        </is>
      </c>
      <c r="B57" s="7" t="inlineStr">
        <is>
          <t>inflation_yoy</t>
        </is>
      </c>
      <c r="C57" s="6" t="inlineStr">
        <is>
          <t>ffr_change</t>
        </is>
      </c>
      <c r="D57" s="8" t="n">
        <v>0.576780774517478</v>
      </c>
      <c r="E57" s="8" t="n">
        <v>0.162435039913425</v>
      </c>
      <c r="F57" s="8" t="n">
        <v>3.55083961456156</v>
      </c>
      <c r="G57" s="14" t="n">
        <v>0.0004180618636227</v>
      </c>
      <c r="H57" s="8" t="n">
        <v>0.900338203804101</v>
      </c>
      <c r="I57" s="8" t="n">
        <v>0.897153522346713</v>
      </c>
    </row>
  </sheetData>
  <autoFilter ref="A1:I5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5" customWidth="1" min="3" max="3"/>
    <col width="11" customWidth="1" min="4" max="4"/>
    <col width="38" customWidth="1" min="5" max="5"/>
  </cols>
  <sheetData>
    <row r="1" ht="26" customHeight="1">
      <c r="A1" s="5" t="inlineStr">
        <is>
          <t>diagnostic_test</t>
        </is>
      </c>
      <c r="B1" s="5" t="inlineStr">
        <is>
          <t>statistic</t>
        </is>
      </c>
      <c r="C1" s="5" t="inlineStr">
        <is>
          <t>parameter_df</t>
        </is>
      </c>
      <c r="D1" s="5" t="inlineStr">
        <is>
          <t>p_value</t>
        </is>
      </c>
      <c r="E1" s="5" t="inlineStr">
        <is>
          <t>evaluation</t>
        </is>
      </c>
    </row>
    <row r="2" ht="19" customHeight="1">
      <c r="A2" s="7" t="inlineStr">
        <is>
          <t>System Stability (Eigenvalues of Companion Matrix)</t>
        </is>
      </c>
      <c r="B2" s="8" t="n">
        <v>0.9719</v>
      </c>
      <c r="C2" s="10" t="n">
        <v>8</v>
      </c>
      <c r="D2" s="9" t="inlineStr"/>
      <c r="E2" s="7" t="inlineStr">
        <is>
          <t>Sistem Stabil (Semua Modulus Akar &lt; 1)</t>
        </is>
      </c>
    </row>
    <row r="3" ht="19" customHeight="1">
      <c r="A3" s="7" t="inlineStr">
        <is>
          <t>Residual Autocorrelation (Portmanteau Test, lag=10)</t>
        </is>
      </c>
      <c r="B3" s="8" t="n">
        <v>196.53</v>
      </c>
      <c r="C3" s="10" t="n">
        <v>128</v>
      </c>
      <c r="D3" s="14" t="n">
        <v>9.399999999999999e-05</v>
      </c>
      <c r="E3" s="7" t="inlineStr">
        <is>
          <t>Terdapat Autokorelasi Residual Dinamis</t>
        </is>
      </c>
    </row>
    <row r="4" ht="19" customHeight="1">
      <c r="A4" s="7" t="inlineStr">
        <is>
          <t>Heteroskedasticity (Multivariate ARCH Test, lag=4)</t>
        </is>
      </c>
      <c r="B4" s="8" t="n">
        <v>406.4</v>
      </c>
      <c r="C4" s="10" t="n">
        <v>400</v>
      </c>
      <c r="D4" s="14" t="n">
        <v>0.4019</v>
      </c>
      <c r="E4" s="7" t="inlineStr">
        <is>
          <t>Lolos Uji: Homoskedastisitas Terpenuhi (Tidak Ada Efek ARCH)</t>
        </is>
      </c>
    </row>
    <row r="5" ht="19" customHeight="1">
      <c r="A5" s="7" t="inlineStr">
        <is>
          <t>Residual Normality (Multivariate Jarque-Bera Test)</t>
        </is>
      </c>
      <c r="B5" s="8" t="n">
        <v>14.02</v>
      </c>
      <c r="C5" s="10" t="n">
        <v>8</v>
      </c>
      <c r="D5" s="14" t="n">
        <v>0.0813</v>
      </c>
      <c r="E5" s="7" t="inlineStr">
        <is>
          <t>Lolos Uji: Residual Berdistribusi Normal</t>
        </is>
      </c>
    </row>
    <row r="6" ht="19" customHeight="1">
      <c r="A6" s="7" t="inlineStr">
        <is>
          <t>Residual Skewness Test</t>
        </is>
      </c>
      <c r="B6" s="8" t="n">
        <v>4.8</v>
      </c>
      <c r="C6" s="10" t="n">
        <v>4</v>
      </c>
      <c r="D6" s="14" t="n">
        <v>0.3083</v>
      </c>
      <c r="E6" s="7" t="inlineStr">
        <is>
          <t>Asimetri Simetris</t>
        </is>
      </c>
    </row>
    <row r="7" ht="19" customHeight="1">
      <c r="A7" s="7" t="inlineStr">
        <is>
          <t>Residual Kurtosis Test</t>
        </is>
      </c>
      <c r="B7" s="8" t="n">
        <v>9.220000000000001</v>
      </c>
      <c r="C7" s="10" t="n">
        <v>4</v>
      </c>
      <c r="D7" s="14" t="n">
        <v>0.0559</v>
      </c>
      <c r="E7" s="7" t="inlineStr">
        <is>
          <t>Kurtosis Normal Mesokurtik</t>
        </is>
      </c>
    </row>
  </sheetData>
  <autoFilter ref="A1:E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1" customWidth="1" min="3" max="3"/>
    <col width="12" customWidth="1" min="4" max="4"/>
    <col width="14" customWidth="1" min="5" max="5"/>
    <col width="14" customWidth="1" min="6" max="6"/>
    <col width="38" customWidth="1" min="7" max="7"/>
  </cols>
  <sheetData>
    <row r="1" ht="26" customHeight="1">
      <c r="A1" s="5" t="inlineStr">
        <is>
          <t>shock_variable</t>
        </is>
      </c>
      <c r="B1" s="5" t="inlineStr">
        <is>
          <t>response_variable</t>
        </is>
      </c>
      <c r="C1" s="5" t="inlineStr">
        <is>
          <t>horizon</t>
        </is>
      </c>
      <c r="D1" s="5" t="inlineStr">
        <is>
          <t>irf_point</t>
        </is>
      </c>
      <c r="E1" s="5" t="inlineStr">
        <is>
          <t>ci_lower_95</t>
        </is>
      </c>
      <c r="F1" s="5" t="inlineStr">
        <is>
          <t>ci_upper_95</t>
        </is>
      </c>
      <c r="G1" s="5" t="inlineStr">
        <is>
          <t>identification</t>
        </is>
      </c>
    </row>
    <row r="2" ht="19" customHeight="1">
      <c r="A2" s="6" t="inlineStr">
        <is>
          <t>gdp_growth</t>
        </is>
      </c>
      <c r="B2" s="7" t="inlineStr">
        <is>
          <t>inflation_yoy</t>
        </is>
      </c>
      <c r="C2" s="10" t="n">
        <v>0</v>
      </c>
      <c r="D2" s="8" t="n">
        <v>-0.1286</v>
      </c>
      <c r="E2" s="8" t="n">
        <v>-0.1881</v>
      </c>
      <c r="F2" s="8" t="n">
        <v>-0.031</v>
      </c>
      <c r="G2" s="7" t="inlineStr">
        <is>
          <t>Recursive Cholesky (Order: GDP -&gt; Money -&gt; REER -&gt; Inflation)</t>
        </is>
      </c>
    </row>
    <row r="3" ht="19" customHeight="1">
      <c r="A3" s="6" t="inlineStr">
        <is>
          <t>gdp_growth</t>
        </is>
      </c>
      <c r="B3" s="7" t="inlineStr">
        <is>
          <t>inflation_yoy</t>
        </is>
      </c>
      <c r="C3" s="10" t="n">
        <v>1</v>
      </c>
      <c r="D3" s="8" t="n">
        <v>-0.1355</v>
      </c>
      <c r="E3" s="8" t="n">
        <v>-0.1998</v>
      </c>
      <c r="F3" s="8" t="n">
        <v>-0.0392</v>
      </c>
      <c r="G3" s="7" t="inlineStr">
        <is>
          <t>Recursive Cholesky (Order: GDP -&gt; Money -&gt; REER -&gt; Inflation)</t>
        </is>
      </c>
    </row>
    <row r="4" ht="19" customHeight="1">
      <c r="A4" s="6" t="inlineStr">
        <is>
          <t>gdp_growth</t>
        </is>
      </c>
      <c r="B4" s="7" t="inlineStr">
        <is>
          <t>inflation_yoy</t>
        </is>
      </c>
      <c r="C4" s="10" t="n">
        <v>2</v>
      </c>
      <c r="D4" s="8" t="n">
        <v>-0.0886</v>
      </c>
      <c r="E4" s="8" t="n">
        <v>-0.1954</v>
      </c>
      <c r="F4" s="8" t="n">
        <v>0.0161</v>
      </c>
      <c r="G4" s="7" t="inlineStr">
        <is>
          <t>Recursive Cholesky (Order: GDP -&gt; Money -&gt; REER -&gt; Inflation)</t>
        </is>
      </c>
    </row>
    <row r="5" ht="19" customHeight="1">
      <c r="A5" s="6" t="inlineStr">
        <is>
          <t>gdp_growth</t>
        </is>
      </c>
      <c r="B5" s="7" t="inlineStr">
        <is>
          <t>inflation_yoy</t>
        </is>
      </c>
      <c r="C5" s="10" t="n">
        <v>3</v>
      </c>
      <c r="D5" s="8" t="n">
        <v>-0.0146</v>
      </c>
      <c r="E5" s="8" t="n">
        <v>-0.1315</v>
      </c>
      <c r="F5" s="8" t="n">
        <v>0.0987</v>
      </c>
      <c r="G5" s="7" t="inlineStr">
        <is>
          <t>Recursive Cholesky (Order: GDP -&gt; Money -&gt; REER -&gt; Inflation)</t>
        </is>
      </c>
    </row>
    <row r="6" ht="19" customHeight="1">
      <c r="A6" s="6" t="inlineStr">
        <is>
          <t>gdp_growth</t>
        </is>
      </c>
      <c r="B6" s="7" t="inlineStr">
        <is>
          <t>inflation_yoy</t>
        </is>
      </c>
      <c r="C6" s="10" t="n">
        <v>4</v>
      </c>
      <c r="D6" s="8" t="n">
        <v>0.0663</v>
      </c>
      <c r="E6" s="8" t="n">
        <v>-0.0567</v>
      </c>
      <c r="F6" s="8" t="n">
        <v>0.1754</v>
      </c>
      <c r="G6" s="7" t="inlineStr">
        <is>
          <t>Recursive Cholesky (Order: GDP -&gt; Money -&gt; REER -&gt; Inflation)</t>
        </is>
      </c>
    </row>
    <row r="7" ht="19" customHeight="1">
      <c r="A7" s="6" t="inlineStr">
        <is>
          <t>gdp_growth</t>
        </is>
      </c>
      <c r="B7" s="7" t="inlineStr">
        <is>
          <t>inflation_yoy</t>
        </is>
      </c>
      <c r="C7" s="10" t="n">
        <v>5</v>
      </c>
      <c r="D7" s="8" t="n">
        <v>0.1388</v>
      </c>
      <c r="E7" s="8" t="n">
        <v>-0.0049</v>
      </c>
      <c r="F7" s="8" t="n">
        <v>0.2465</v>
      </c>
      <c r="G7" s="7" t="inlineStr">
        <is>
          <t>Recursive Cholesky (Order: GDP -&gt; Money -&gt; REER -&gt; Inflation)</t>
        </is>
      </c>
    </row>
    <row r="8" ht="19" customHeight="1">
      <c r="A8" s="6" t="inlineStr">
        <is>
          <t>gdp_growth</t>
        </is>
      </c>
      <c r="B8" s="7" t="inlineStr">
        <is>
          <t>inflation_yoy</t>
        </is>
      </c>
      <c r="C8" s="10" t="n">
        <v>6</v>
      </c>
      <c r="D8" s="8" t="n">
        <v>0.191</v>
      </c>
      <c r="E8" s="8" t="n">
        <v>0.0436</v>
      </c>
      <c r="F8" s="8" t="n">
        <v>0.2902</v>
      </c>
      <c r="G8" s="7" t="inlineStr">
        <is>
          <t>Recursive Cholesky (Order: GDP -&gt; Money -&gt; REER -&gt; Inflation)</t>
        </is>
      </c>
    </row>
    <row r="9" ht="19" customHeight="1">
      <c r="A9" s="6" t="inlineStr">
        <is>
          <t>gdp_growth</t>
        </is>
      </c>
      <c r="B9" s="7" t="inlineStr">
        <is>
          <t>inflation_yoy</t>
        </is>
      </c>
      <c r="C9" s="10" t="n">
        <v>7</v>
      </c>
      <c r="D9" s="8" t="n">
        <v>0.2135</v>
      </c>
      <c r="E9" s="8" t="n">
        <v>0.043</v>
      </c>
      <c r="F9" s="8" t="n">
        <v>0.3158</v>
      </c>
      <c r="G9" s="7" t="inlineStr">
        <is>
          <t>Recursive Cholesky (Order: GDP -&gt; Money -&gt; REER -&gt; Inflation)</t>
        </is>
      </c>
    </row>
    <row r="10" ht="19" customHeight="1">
      <c r="A10" s="6" t="inlineStr">
        <is>
          <t>gdp_growth</t>
        </is>
      </c>
      <c r="B10" s="7" t="inlineStr">
        <is>
          <t>inflation_yoy</t>
        </is>
      </c>
      <c r="C10" s="10" t="n">
        <v>8</v>
      </c>
      <c r="D10" s="8" t="n">
        <v>0.2017</v>
      </c>
      <c r="E10" s="8" t="n">
        <v>0.0261</v>
      </c>
      <c r="F10" s="8" t="n">
        <v>0.3073</v>
      </c>
      <c r="G10" s="7" t="inlineStr">
        <is>
          <t>Recursive Cholesky (Order: GDP -&gt; Money -&gt; REER -&gt; Inflation)</t>
        </is>
      </c>
    </row>
    <row r="11" ht="19" customHeight="1">
      <c r="A11" s="6" t="inlineStr">
        <is>
          <t>gdp_growth</t>
        </is>
      </c>
      <c r="B11" s="7" t="inlineStr">
        <is>
          <t>inflation_yoy</t>
        </is>
      </c>
      <c r="C11" s="10" t="n">
        <v>9</v>
      </c>
      <c r="D11" s="8" t="n">
        <v>0.1567</v>
      </c>
      <c r="E11" s="8" t="n">
        <v>0.0032</v>
      </c>
      <c r="F11" s="8" t="n">
        <v>0.2536</v>
      </c>
      <c r="G11" s="7" t="inlineStr">
        <is>
          <t>Recursive Cholesky (Order: GDP -&gt; Money -&gt; REER -&gt; Inflation)</t>
        </is>
      </c>
    </row>
    <row r="12" ht="19" customHeight="1">
      <c r="A12" s="6" t="inlineStr">
        <is>
          <t>gdp_growth</t>
        </is>
      </c>
      <c r="B12" s="7" t="inlineStr">
        <is>
          <t>inflation_yoy</t>
        </is>
      </c>
      <c r="C12" s="10" t="n">
        <v>10</v>
      </c>
      <c r="D12" s="8" t="n">
        <v>0.0867</v>
      </c>
      <c r="E12" s="8" t="n">
        <v>-0.0278</v>
      </c>
      <c r="F12" s="8" t="n">
        <v>0.1776</v>
      </c>
      <c r="G12" s="7" t="inlineStr">
        <is>
          <t>Recursive Cholesky (Order: GDP -&gt; Money -&gt; REER -&gt; Inflation)</t>
        </is>
      </c>
    </row>
    <row r="13" ht="19" customHeight="1">
      <c r="A13" s="6" t="inlineStr">
        <is>
          <t>gdp_growth</t>
        </is>
      </c>
      <c r="B13" s="7" t="inlineStr">
        <is>
          <t>inflation_yoy</t>
        </is>
      </c>
      <c r="C13" s="10" t="n">
        <v>11</v>
      </c>
      <c r="D13" s="8" t="n">
        <v>0.0055</v>
      </c>
      <c r="E13" s="8" t="n">
        <v>-0.0983</v>
      </c>
      <c r="F13" s="8" t="n">
        <v>0.0898</v>
      </c>
      <c r="G13" s="7" t="inlineStr">
        <is>
          <t>Recursive Cholesky (Order: GDP -&gt; Money -&gt; REER -&gt; Inflation)</t>
        </is>
      </c>
    </row>
    <row r="14" ht="19" customHeight="1">
      <c r="A14" s="6" t="inlineStr">
        <is>
          <t>gdp_growth</t>
        </is>
      </c>
      <c r="B14" s="7" t="inlineStr">
        <is>
          <t>inflation_yoy</t>
        </is>
      </c>
      <c r="C14" s="10" t="n">
        <v>12</v>
      </c>
      <c r="D14" s="8" t="n">
        <v>-0.07049999999999999</v>
      </c>
      <c r="E14" s="8" t="n">
        <v>-0.1589</v>
      </c>
      <c r="F14" s="8" t="n">
        <v>0.0336</v>
      </c>
      <c r="G14" s="7" t="inlineStr">
        <is>
          <t>Recursive Cholesky (Order: GDP -&gt; Money -&gt; REER -&gt; Inflation)</t>
        </is>
      </c>
    </row>
    <row r="15" ht="19" customHeight="1">
      <c r="A15" s="7" t="inlineStr">
        <is>
          <t>money_growth</t>
        </is>
      </c>
      <c r="B15" s="7" t="inlineStr">
        <is>
          <t>inflation_yoy</t>
        </is>
      </c>
      <c r="C15" s="10" t="n">
        <v>0</v>
      </c>
      <c r="D15" s="8" t="n">
        <v>-0.075</v>
      </c>
      <c r="E15" s="8" t="n">
        <v>-0.1377</v>
      </c>
      <c r="F15" s="8" t="n">
        <v>0.0282</v>
      </c>
      <c r="G15" s="7" t="inlineStr">
        <is>
          <t>Recursive Cholesky (Order: GDP -&gt; Money -&gt; REER -&gt; Inflation)</t>
        </is>
      </c>
    </row>
    <row r="16" ht="19" customHeight="1">
      <c r="A16" s="7" t="inlineStr">
        <is>
          <t>money_growth</t>
        </is>
      </c>
      <c r="B16" s="7" t="inlineStr">
        <is>
          <t>inflation_yoy</t>
        </is>
      </c>
      <c r="C16" s="10" t="n">
        <v>1</v>
      </c>
      <c r="D16" s="8" t="n">
        <v>-0.045</v>
      </c>
      <c r="E16" s="8" t="n">
        <v>-0.1402</v>
      </c>
      <c r="F16" s="8" t="n">
        <v>0.08119999999999999</v>
      </c>
      <c r="G16" s="7" t="inlineStr">
        <is>
          <t>Recursive Cholesky (Order: GDP -&gt; Money -&gt; REER -&gt; Inflation)</t>
        </is>
      </c>
    </row>
    <row r="17" ht="19" customHeight="1">
      <c r="A17" s="7" t="inlineStr">
        <is>
          <t>money_growth</t>
        </is>
      </c>
      <c r="B17" s="7" t="inlineStr">
        <is>
          <t>inflation_yoy</t>
        </is>
      </c>
      <c r="C17" s="10" t="n">
        <v>2</v>
      </c>
      <c r="D17" s="8" t="n">
        <v>0.0128</v>
      </c>
      <c r="E17" s="8" t="n">
        <v>-0.1156</v>
      </c>
      <c r="F17" s="8" t="n">
        <v>0.1627</v>
      </c>
      <c r="G17" s="7" t="inlineStr">
        <is>
          <t>Recursive Cholesky (Order: GDP -&gt; Money -&gt; REER -&gt; Inflation)</t>
        </is>
      </c>
    </row>
    <row r="18" ht="19" customHeight="1">
      <c r="A18" s="7" t="inlineStr">
        <is>
          <t>money_growth</t>
        </is>
      </c>
      <c r="B18" s="7" t="inlineStr">
        <is>
          <t>inflation_yoy</t>
        </is>
      </c>
      <c r="C18" s="10" t="n">
        <v>3</v>
      </c>
      <c r="D18" s="8" t="n">
        <v>0.0528</v>
      </c>
      <c r="E18" s="8" t="n">
        <v>-0.1182</v>
      </c>
      <c r="F18" s="8" t="n">
        <v>0.2179</v>
      </c>
      <c r="G18" s="7" t="inlineStr">
        <is>
          <t>Recursive Cholesky (Order: GDP -&gt; Money -&gt; REER -&gt; Inflation)</t>
        </is>
      </c>
    </row>
    <row r="19" ht="19" customHeight="1">
      <c r="A19" s="7" t="inlineStr">
        <is>
          <t>money_growth</t>
        </is>
      </c>
      <c r="B19" s="7" t="inlineStr">
        <is>
          <t>inflation_yoy</t>
        </is>
      </c>
      <c r="C19" s="10" t="n">
        <v>4</v>
      </c>
      <c r="D19" s="8" t="n">
        <v>0.0568</v>
      </c>
      <c r="E19" s="8" t="n">
        <v>-0.1317</v>
      </c>
      <c r="F19" s="8" t="n">
        <v>0.2286</v>
      </c>
      <c r="G19" s="7" t="inlineStr">
        <is>
          <t>Recursive Cholesky (Order: GDP -&gt; Money -&gt; REER -&gt; Inflation)</t>
        </is>
      </c>
    </row>
    <row r="20" ht="19" customHeight="1">
      <c r="A20" s="7" t="inlineStr">
        <is>
          <t>money_growth</t>
        </is>
      </c>
      <c r="B20" s="7" t="inlineStr">
        <is>
          <t>inflation_yoy</t>
        </is>
      </c>
      <c r="C20" s="10" t="n">
        <v>5</v>
      </c>
      <c r="D20" s="8" t="n">
        <v>0.0327</v>
      </c>
      <c r="E20" s="8" t="n">
        <v>-0.1479</v>
      </c>
      <c r="F20" s="8" t="n">
        <v>0.2011</v>
      </c>
      <c r="G20" s="7" t="inlineStr">
        <is>
          <t>Recursive Cholesky (Order: GDP -&gt; Money -&gt; REER -&gt; Inflation)</t>
        </is>
      </c>
    </row>
    <row r="21" ht="19" customHeight="1">
      <c r="A21" s="7" t="inlineStr">
        <is>
          <t>money_growth</t>
        </is>
      </c>
      <c r="B21" s="7" t="inlineStr">
        <is>
          <t>inflation_yoy</t>
        </is>
      </c>
      <c r="C21" s="10" t="n">
        <v>6</v>
      </c>
      <c r="D21" s="8" t="n">
        <v>0.0022</v>
      </c>
      <c r="E21" s="8" t="n">
        <v>-0.1584</v>
      </c>
      <c r="F21" s="8" t="n">
        <v>0.1609</v>
      </c>
      <c r="G21" s="7" t="inlineStr">
        <is>
          <t>Recursive Cholesky (Order: GDP -&gt; Money -&gt; REER -&gt; Inflation)</t>
        </is>
      </c>
    </row>
    <row r="22" ht="19" customHeight="1">
      <c r="A22" s="7" t="inlineStr">
        <is>
          <t>money_growth</t>
        </is>
      </c>
      <c r="B22" s="7" t="inlineStr">
        <is>
          <t>inflation_yoy</t>
        </is>
      </c>
      <c r="C22" s="10" t="n">
        <v>7</v>
      </c>
      <c r="D22" s="8" t="n">
        <v>-0.0142</v>
      </c>
      <c r="E22" s="8" t="n">
        <v>-0.1754</v>
      </c>
      <c r="F22" s="8" t="n">
        <v>0.1332</v>
      </c>
      <c r="G22" s="7" t="inlineStr">
        <is>
          <t>Recursive Cholesky (Order: GDP -&gt; Money -&gt; REER -&gt; Inflation)</t>
        </is>
      </c>
    </row>
    <row r="23" ht="19" customHeight="1">
      <c r="A23" s="7" t="inlineStr">
        <is>
          <t>money_growth</t>
        </is>
      </c>
      <c r="B23" s="7" t="inlineStr">
        <is>
          <t>inflation_yoy</t>
        </is>
      </c>
      <c r="C23" s="10" t="n">
        <v>8</v>
      </c>
      <c r="D23" s="8" t="n">
        <v>-0.006</v>
      </c>
      <c r="E23" s="8" t="n">
        <v>-0.1449</v>
      </c>
      <c r="F23" s="8" t="n">
        <v>0.1397</v>
      </c>
      <c r="G23" s="7" t="inlineStr">
        <is>
          <t>Recursive Cholesky (Order: GDP -&gt; Money -&gt; REER -&gt; Inflation)</t>
        </is>
      </c>
    </row>
    <row r="24" ht="19" customHeight="1">
      <c r="A24" s="7" t="inlineStr">
        <is>
          <t>money_growth</t>
        </is>
      </c>
      <c r="B24" s="7" t="inlineStr">
        <is>
          <t>inflation_yoy</t>
        </is>
      </c>
      <c r="C24" s="10" t="n">
        <v>9</v>
      </c>
      <c r="D24" s="8" t="n">
        <v>0.0258</v>
      </c>
      <c r="E24" s="8" t="n">
        <v>-0.1323</v>
      </c>
      <c r="F24" s="8" t="n">
        <v>0.1718</v>
      </c>
      <c r="G24" s="7" t="inlineStr">
        <is>
          <t>Recursive Cholesky (Order: GDP -&gt; Money -&gt; REER -&gt; Inflation)</t>
        </is>
      </c>
    </row>
    <row r="25" ht="19" customHeight="1">
      <c r="A25" s="7" t="inlineStr">
        <is>
          <t>money_growth</t>
        </is>
      </c>
      <c r="B25" s="7" t="inlineStr">
        <is>
          <t>inflation_yoy</t>
        </is>
      </c>
      <c r="C25" s="10" t="n">
        <v>10</v>
      </c>
      <c r="D25" s="8" t="n">
        <v>0.0722</v>
      </c>
      <c r="E25" s="8" t="n">
        <v>-0.0949</v>
      </c>
      <c r="F25" s="8" t="n">
        <v>0.2216</v>
      </c>
      <c r="G25" s="7" t="inlineStr">
        <is>
          <t>Recursive Cholesky (Order: GDP -&gt; Money -&gt; REER -&gt; Inflation)</t>
        </is>
      </c>
    </row>
    <row r="26" ht="19" customHeight="1">
      <c r="A26" s="7" t="inlineStr">
        <is>
          <t>money_growth</t>
        </is>
      </c>
      <c r="B26" s="7" t="inlineStr">
        <is>
          <t>inflation_yoy</t>
        </is>
      </c>
      <c r="C26" s="10" t="n">
        <v>11</v>
      </c>
      <c r="D26" s="8" t="n">
        <v>0.1209</v>
      </c>
      <c r="E26" s="8" t="n">
        <v>-0.0603</v>
      </c>
      <c r="F26" s="8" t="n">
        <v>0.2457</v>
      </c>
      <c r="G26" s="7" t="inlineStr">
        <is>
          <t>Recursive Cholesky (Order: GDP -&gt; Money -&gt; REER -&gt; Inflation)</t>
        </is>
      </c>
    </row>
    <row r="27" ht="19" customHeight="1">
      <c r="A27" s="7" t="inlineStr">
        <is>
          <t>money_growth</t>
        </is>
      </c>
      <c r="B27" s="7" t="inlineStr">
        <is>
          <t>inflation_yoy</t>
        </is>
      </c>
      <c r="C27" s="10" t="n">
        <v>12</v>
      </c>
      <c r="D27" s="8" t="n">
        <v>0.1609</v>
      </c>
      <c r="E27" s="8" t="n">
        <v>-0.0332</v>
      </c>
      <c r="F27" s="8" t="n">
        <v>0.2722</v>
      </c>
      <c r="G27" s="7" t="inlineStr">
        <is>
          <t>Recursive Cholesky (Order: GDP -&gt; Money -&gt; REER -&gt; Inflation)</t>
        </is>
      </c>
    </row>
    <row r="28" ht="19" customHeight="1">
      <c r="A28" s="6" t="inlineStr">
        <is>
          <t>reer_yoy</t>
        </is>
      </c>
      <c r="B28" s="7" t="inlineStr">
        <is>
          <t>inflation_yoy</t>
        </is>
      </c>
      <c r="C28" s="10" t="n">
        <v>0</v>
      </c>
      <c r="D28" s="8" t="n">
        <v>0.1293</v>
      </c>
      <c r="E28" s="8" t="n">
        <v>0.0069</v>
      </c>
      <c r="F28" s="8" t="n">
        <v>0.2202</v>
      </c>
      <c r="G28" s="7" t="inlineStr">
        <is>
          <t>Recursive Cholesky (Order: GDP -&gt; Money -&gt; REER -&gt; Inflation)</t>
        </is>
      </c>
    </row>
    <row r="29" ht="19" customHeight="1">
      <c r="A29" s="6" t="inlineStr">
        <is>
          <t>reer_yoy</t>
        </is>
      </c>
      <c r="B29" s="7" t="inlineStr">
        <is>
          <t>inflation_yoy</t>
        </is>
      </c>
      <c r="C29" s="10" t="n">
        <v>1</v>
      </c>
      <c r="D29" s="8" t="n">
        <v>0.2205</v>
      </c>
      <c r="E29" s="8" t="n">
        <v>0.0332</v>
      </c>
      <c r="F29" s="8" t="n">
        <v>0.2785</v>
      </c>
      <c r="G29" s="7" t="inlineStr">
        <is>
          <t>Recursive Cholesky (Order: GDP -&gt; Money -&gt; REER -&gt; Inflation)</t>
        </is>
      </c>
    </row>
    <row r="30" ht="19" customHeight="1">
      <c r="A30" s="6" t="inlineStr">
        <is>
          <t>reer_yoy</t>
        </is>
      </c>
      <c r="B30" s="7" t="inlineStr">
        <is>
          <t>inflation_yoy</t>
        </is>
      </c>
      <c r="C30" s="10" t="n">
        <v>2</v>
      </c>
      <c r="D30" s="8" t="n">
        <v>0.3229</v>
      </c>
      <c r="E30" s="8" t="n">
        <v>0.0912</v>
      </c>
      <c r="F30" s="8" t="n">
        <v>0.3762</v>
      </c>
      <c r="G30" s="7" t="inlineStr">
        <is>
          <t>Recursive Cholesky (Order: GDP -&gt; Money -&gt; REER -&gt; Inflation)</t>
        </is>
      </c>
    </row>
    <row r="31" ht="19" customHeight="1">
      <c r="A31" s="6" t="inlineStr">
        <is>
          <t>reer_yoy</t>
        </is>
      </c>
      <c r="B31" s="7" t="inlineStr">
        <is>
          <t>inflation_yoy</t>
        </is>
      </c>
      <c r="C31" s="10" t="n">
        <v>3</v>
      </c>
      <c r="D31" s="8" t="n">
        <v>0.3627</v>
      </c>
      <c r="E31" s="8" t="n">
        <v>0.1023</v>
      </c>
      <c r="F31" s="8" t="n">
        <v>0.4144</v>
      </c>
      <c r="G31" s="7" t="inlineStr">
        <is>
          <t>Recursive Cholesky (Order: GDP -&gt; Money -&gt; REER -&gt; Inflation)</t>
        </is>
      </c>
    </row>
    <row r="32" ht="19" customHeight="1">
      <c r="A32" s="6" t="inlineStr">
        <is>
          <t>reer_yoy</t>
        </is>
      </c>
      <c r="B32" s="7" t="inlineStr">
        <is>
          <t>inflation_yoy</t>
        </is>
      </c>
      <c r="C32" s="10" t="n">
        <v>4</v>
      </c>
      <c r="D32" s="8" t="n">
        <v>0.3189</v>
      </c>
      <c r="E32" s="8" t="n">
        <v>0.0537</v>
      </c>
      <c r="F32" s="8" t="n">
        <v>0.3766</v>
      </c>
      <c r="G32" s="7" t="inlineStr">
        <is>
          <t>Recursive Cholesky (Order: GDP -&gt; Money -&gt; REER -&gt; Inflation)</t>
        </is>
      </c>
    </row>
    <row r="33" ht="19" customHeight="1">
      <c r="A33" s="6" t="inlineStr">
        <is>
          <t>reer_yoy</t>
        </is>
      </c>
      <c r="B33" s="7" t="inlineStr">
        <is>
          <t>inflation_yoy</t>
        </is>
      </c>
      <c r="C33" s="10" t="n">
        <v>5</v>
      </c>
      <c r="D33" s="8" t="n">
        <v>0.2183</v>
      </c>
      <c r="E33" s="8" t="n">
        <v>0.0015</v>
      </c>
      <c r="F33" s="8" t="n">
        <v>0.2906</v>
      </c>
      <c r="G33" s="7" t="inlineStr">
        <is>
          <t>Recursive Cholesky (Order: GDP -&gt; Money -&gt; REER -&gt; Inflation)</t>
        </is>
      </c>
    </row>
    <row r="34" ht="19" customHeight="1">
      <c r="A34" s="6" t="inlineStr">
        <is>
          <t>reer_yoy</t>
        </is>
      </c>
      <c r="B34" s="7" t="inlineStr">
        <is>
          <t>inflation_yoy</t>
        </is>
      </c>
      <c r="C34" s="10" t="n">
        <v>6</v>
      </c>
      <c r="D34" s="8" t="n">
        <v>0.104</v>
      </c>
      <c r="E34" s="8" t="n">
        <v>-0.07539999999999999</v>
      </c>
      <c r="F34" s="8" t="n">
        <v>0.1855</v>
      </c>
      <c r="G34" s="7" t="inlineStr">
        <is>
          <t>Recursive Cholesky (Order: GDP -&gt; Money -&gt; REER -&gt; Inflation)</t>
        </is>
      </c>
    </row>
    <row r="35" ht="19" customHeight="1">
      <c r="A35" s="6" t="inlineStr">
        <is>
          <t>reer_yoy</t>
        </is>
      </c>
      <c r="B35" s="7" t="inlineStr">
        <is>
          <t>inflation_yoy</t>
        </is>
      </c>
      <c r="C35" s="10" t="n">
        <v>7</v>
      </c>
      <c r="D35" s="8" t="n">
        <v>0.0102</v>
      </c>
      <c r="E35" s="8" t="n">
        <v>-0.1209</v>
      </c>
      <c r="F35" s="8" t="n">
        <v>0.106</v>
      </c>
      <c r="G35" s="7" t="inlineStr">
        <is>
          <t>Recursive Cholesky (Order: GDP -&gt; Money -&gt; REER -&gt; Inflation)</t>
        </is>
      </c>
    </row>
    <row r="36" ht="19" customHeight="1">
      <c r="A36" s="6" t="inlineStr">
        <is>
          <t>reer_yoy</t>
        </is>
      </c>
      <c r="B36" s="7" t="inlineStr">
        <is>
          <t>inflation_yoy</t>
        </is>
      </c>
      <c r="C36" s="10" t="n">
        <v>8</v>
      </c>
      <c r="D36" s="8" t="n">
        <v>-0.0478</v>
      </c>
      <c r="E36" s="8" t="n">
        <v>-0.142</v>
      </c>
      <c r="F36" s="8" t="n">
        <v>0.068</v>
      </c>
      <c r="G36" s="7" t="inlineStr">
        <is>
          <t>Recursive Cholesky (Order: GDP -&gt; Money -&gt; REER -&gt; Inflation)</t>
        </is>
      </c>
    </row>
    <row r="37" ht="19" customHeight="1">
      <c r="A37" s="6" t="inlineStr">
        <is>
          <t>reer_yoy</t>
        </is>
      </c>
      <c r="B37" s="7" t="inlineStr">
        <is>
          <t>inflation_yoy</t>
        </is>
      </c>
      <c r="C37" s="10" t="n">
        <v>9</v>
      </c>
      <c r="D37" s="8" t="n">
        <v>-0.07140000000000001</v>
      </c>
      <c r="E37" s="8" t="n">
        <v>-0.1565</v>
      </c>
      <c r="F37" s="8" t="n">
        <v>0.0527</v>
      </c>
      <c r="G37" s="7" t="inlineStr">
        <is>
          <t>Recursive Cholesky (Order: GDP -&gt; Money -&gt; REER -&gt; Inflation)</t>
        </is>
      </c>
    </row>
    <row r="38" ht="19" customHeight="1">
      <c r="A38" s="6" t="inlineStr">
        <is>
          <t>reer_yoy</t>
        </is>
      </c>
      <c r="B38" s="7" t="inlineStr">
        <is>
          <t>inflation_yoy</t>
        </is>
      </c>
      <c r="C38" s="10" t="n">
        <v>10</v>
      </c>
      <c r="D38" s="8" t="n">
        <v>-0.06909999999999999</v>
      </c>
      <c r="E38" s="8" t="n">
        <v>-0.1507</v>
      </c>
      <c r="F38" s="8" t="n">
        <v>0.0538</v>
      </c>
      <c r="G38" s="7" t="inlineStr">
        <is>
          <t>Recursive Cholesky (Order: GDP -&gt; Money -&gt; REER -&gt; Inflation)</t>
        </is>
      </c>
    </row>
    <row r="39" ht="19" customHeight="1">
      <c r="A39" s="6" t="inlineStr">
        <is>
          <t>reer_yoy</t>
        </is>
      </c>
      <c r="B39" s="7" t="inlineStr">
        <is>
          <t>inflation_yoy</t>
        </is>
      </c>
      <c r="C39" s="10" t="n">
        <v>11</v>
      </c>
      <c r="D39" s="8" t="n">
        <v>-0.0502</v>
      </c>
      <c r="E39" s="8" t="n">
        <v>-0.1355</v>
      </c>
      <c r="F39" s="8" t="n">
        <v>0.0576</v>
      </c>
      <c r="G39" s="7" t="inlineStr">
        <is>
          <t>Recursive Cholesky (Order: GDP -&gt; Money -&gt; REER -&gt; Inflation)</t>
        </is>
      </c>
    </row>
    <row r="40" ht="19" customHeight="1">
      <c r="A40" s="6" t="inlineStr">
        <is>
          <t>reer_yoy</t>
        </is>
      </c>
      <c r="B40" s="7" t="inlineStr">
        <is>
          <t>inflation_yoy</t>
        </is>
      </c>
      <c r="C40" s="10" t="n">
        <v>12</v>
      </c>
      <c r="D40" s="8" t="n">
        <v>-0.0214</v>
      </c>
      <c r="E40" s="8" t="n">
        <v>-0.1032</v>
      </c>
      <c r="F40" s="8" t="n">
        <v>0.09</v>
      </c>
      <c r="G40" s="7" t="inlineStr">
        <is>
          <t>Recursive Cholesky (Order: GDP -&gt; Money -&gt; REER -&gt; Inflation)</t>
        </is>
      </c>
    </row>
    <row r="41" ht="19" customHeight="1">
      <c r="A41" s="7" t="inlineStr">
        <is>
          <t>inflation_yoy</t>
        </is>
      </c>
      <c r="B41" s="7" t="inlineStr">
        <is>
          <t>inflation_yoy</t>
        </is>
      </c>
      <c r="C41" s="10" t="n">
        <v>0</v>
      </c>
      <c r="D41" s="8" t="n">
        <v>0.38</v>
      </c>
      <c r="E41" s="8" t="n">
        <v>0.2473</v>
      </c>
      <c r="F41" s="8" t="n">
        <v>0.3857</v>
      </c>
      <c r="G41" s="7" t="inlineStr">
        <is>
          <t>Recursive Cholesky (Order: GDP -&gt; Money -&gt; REER -&gt; Inflation)</t>
        </is>
      </c>
    </row>
    <row r="42" ht="19" customHeight="1">
      <c r="A42" s="7" t="inlineStr">
        <is>
          <t>inflation_yoy</t>
        </is>
      </c>
      <c r="B42" s="7" t="inlineStr">
        <is>
          <t>inflation_yoy</t>
        </is>
      </c>
      <c r="C42" s="10" t="n">
        <v>1</v>
      </c>
      <c r="D42" s="8" t="n">
        <v>0.2944</v>
      </c>
      <c r="E42" s="8" t="n">
        <v>0.1459</v>
      </c>
      <c r="F42" s="8" t="n">
        <v>0.3073</v>
      </c>
      <c r="G42" s="7" t="inlineStr">
        <is>
          <t>Recursive Cholesky (Order: GDP -&gt; Money -&gt; REER -&gt; Inflation)</t>
        </is>
      </c>
    </row>
    <row r="43" ht="19" customHeight="1">
      <c r="A43" s="7" t="inlineStr">
        <is>
          <t>inflation_yoy</t>
        </is>
      </c>
      <c r="B43" s="7" t="inlineStr">
        <is>
          <t>inflation_yoy</t>
        </is>
      </c>
      <c r="C43" s="10" t="n">
        <v>2</v>
      </c>
      <c r="D43" s="8" t="n">
        <v>0.2285</v>
      </c>
      <c r="E43" s="8" t="n">
        <v>0.1033</v>
      </c>
      <c r="F43" s="8" t="n">
        <v>0.2407</v>
      </c>
      <c r="G43" s="7" t="inlineStr">
        <is>
          <t>Recursive Cholesky (Order: GDP -&gt; Money -&gt; REER -&gt; Inflation)</t>
        </is>
      </c>
    </row>
    <row r="44" ht="19" customHeight="1">
      <c r="A44" s="7" t="inlineStr">
        <is>
          <t>inflation_yoy</t>
        </is>
      </c>
      <c r="B44" s="7" t="inlineStr">
        <is>
          <t>inflation_yoy</t>
        </is>
      </c>
      <c r="C44" s="10" t="n">
        <v>3</v>
      </c>
      <c r="D44" s="8" t="n">
        <v>0.2001</v>
      </c>
      <c r="E44" s="8" t="n">
        <v>0.06610000000000001</v>
      </c>
      <c r="F44" s="8" t="n">
        <v>0.2174</v>
      </c>
      <c r="G44" s="7" t="inlineStr">
        <is>
          <t>Recursive Cholesky (Order: GDP -&gt; Money -&gt; REER -&gt; Inflation)</t>
        </is>
      </c>
    </row>
    <row r="45" ht="19" customHeight="1">
      <c r="A45" s="7" t="inlineStr">
        <is>
          <t>inflation_yoy</t>
        </is>
      </c>
      <c r="B45" s="7" t="inlineStr">
        <is>
          <t>inflation_yoy</t>
        </is>
      </c>
      <c r="C45" s="10" t="n">
        <v>4</v>
      </c>
      <c r="D45" s="8" t="n">
        <v>0.1897</v>
      </c>
      <c r="E45" s="8" t="n">
        <v>0.0543</v>
      </c>
      <c r="F45" s="8" t="n">
        <v>0.2232</v>
      </c>
      <c r="G45" s="7" t="inlineStr">
        <is>
          <t>Recursive Cholesky (Order: GDP -&gt; Money -&gt; REER -&gt; Inflation)</t>
        </is>
      </c>
    </row>
    <row r="46" ht="19" customHeight="1">
      <c r="A46" s="7" t="inlineStr">
        <is>
          <t>inflation_yoy</t>
        </is>
      </c>
      <c r="B46" s="7" t="inlineStr">
        <is>
          <t>inflation_yoy</t>
        </is>
      </c>
      <c r="C46" s="10" t="n">
        <v>5</v>
      </c>
      <c r="D46" s="8" t="n">
        <v>0.1772</v>
      </c>
      <c r="E46" s="8" t="n">
        <v>0.0471</v>
      </c>
      <c r="F46" s="8" t="n">
        <v>0.2149</v>
      </c>
      <c r="G46" s="7" t="inlineStr">
        <is>
          <t>Recursive Cholesky (Order: GDP -&gt; Money -&gt; REER -&gt; Inflation)</t>
        </is>
      </c>
    </row>
    <row r="47" ht="19" customHeight="1">
      <c r="A47" s="7" t="inlineStr">
        <is>
          <t>inflation_yoy</t>
        </is>
      </c>
      <c r="B47" s="7" t="inlineStr">
        <is>
          <t>inflation_yoy</t>
        </is>
      </c>
      <c r="C47" s="10" t="n">
        <v>6</v>
      </c>
      <c r="D47" s="8" t="n">
        <v>0.1522</v>
      </c>
      <c r="E47" s="8" t="n">
        <v>0.0332</v>
      </c>
      <c r="F47" s="8" t="n">
        <v>0.2</v>
      </c>
      <c r="G47" s="7" t="inlineStr">
        <is>
          <t>Recursive Cholesky (Order: GDP -&gt; Money -&gt; REER -&gt; Inflation)</t>
        </is>
      </c>
    </row>
    <row r="48" ht="19" customHeight="1">
      <c r="A48" s="7" t="inlineStr">
        <is>
          <t>inflation_yoy</t>
        </is>
      </c>
      <c r="B48" s="7" t="inlineStr">
        <is>
          <t>inflation_yoy</t>
        </is>
      </c>
      <c r="C48" s="10" t="n">
        <v>7</v>
      </c>
      <c r="D48" s="8" t="n">
        <v>0.1146</v>
      </c>
      <c r="E48" s="8" t="n">
        <v>0.0021</v>
      </c>
      <c r="F48" s="8" t="n">
        <v>0.1564</v>
      </c>
      <c r="G48" s="7" t="inlineStr">
        <is>
          <t>Recursive Cholesky (Order: GDP -&gt; Money -&gt; REER -&gt; Inflation)</t>
        </is>
      </c>
    </row>
    <row r="49" ht="19" customHeight="1">
      <c r="A49" s="7" t="inlineStr">
        <is>
          <t>inflation_yoy</t>
        </is>
      </c>
      <c r="B49" s="7" t="inlineStr">
        <is>
          <t>inflation_yoy</t>
        </is>
      </c>
      <c r="C49" s="10" t="n">
        <v>8</v>
      </c>
      <c r="D49" s="8" t="n">
        <v>0.0718</v>
      </c>
      <c r="E49" s="8" t="n">
        <v>-0.0335</v>
      </c>
      <c r="F49" s="8" t="n">
        <v>0.1216</v>
      </c>
      <c r="G49" s="7" t="inlineStr">
        <is>
          <t>Recursive Cholesky (Order: GDP -&gt; Money -&gt; REER -&gt; Inflation)</t>
        </is>
      </c>
    </row>
    <row r="50" ht="19" customHeight="1">
      <c r="A50" s="7" t="inlineStr">
        <is>
          <t>inflation_yoy</t>
        </is>
      </c>
      <c r="B50" s="7" t="inlineStr">
        <is>
          <t>inflation_yoy</t>
        </is>
      </c>
      <c r="C50" s="10" t="n">
        <v>9</v>
      </c>
      <c r="D50" s="8" t="n">
        <v>0.0324</v>
      </c>
      <c r="E50" s="8" t="n">
        <v>-0.0592</v>
      </c>
      <c r="F50" s="8" t="n">
        <v>0.09470000000000001</v>
      </c>
      <c r="G50" s="7" t="inlineStr">
        <is>
          <t>Recursive Cholesky (Order: GDP -&gt; Money -&gt; REER -&gt; Inflation)</t>
        </is>
      </c>
    </row>
    <row r="51" ht="19" customHeight="1">
      <c r="A51" s="7" t="inlineStr">
        <is>
          <t>inflation_yoy</t>
        </is>
      </c>
      <c r="B51" s="7" t="inlineStr">
        <is>
          <t>inflation_yoy</t>
        </is>
      </c>
      <c r="C51" s="10" t="n">
        <v>10</v>
      </c>
      <c r="D51" s="8" t="n">
        <v>0.0031</v>
      </c>
      <c r="E51" s="8" t="n">
        <v>-0.0718</v>
      </c>
      <c r="F51" s="8" t="n">
        <v>0.07199999999999999</v>
      </c>
      <c r="G51" s="7" t="inlineStr">
        <is>
          <t>Recursive Cholesky (Order: GDP -&gt; Money -&gt; REER -&gt; Inflation)</t>
        </is>
      </c>
    </row>
    <row r="52" ht="19" customHeight="1">
      <c r="A52" s="7" t="inlineStr">
        <is>
          <t>inflation_yoy</t>
        </is>
      </c>
      <c r="B52" s="7" t="inlineStr">
        <is>
          <t>inflation_yoy</t>
        </is>
      </c>
      <c r="C52" s="10" t="n">
        <v>11</v>
      </c>
      <c r="D52" s="8" t="n">
        <v>-0.0129</v>
      </c>
      <c r="E52" s="8" t="n">
        <v>-0.0697</v>
      </c>
      <c r="F52" s="8" t="n">
        <v>0.0548</v>
      </c>
      <c r="G52" s="7" t="inlineStr">
        <is>
          <t>Recursive Cholesky (Order: GDP -&gt; Money -&gt; REER -&gt; Inflation)</t>
        </is>
      </c>
    </row>
    <row r="53" ht="19" customHeight="1">
      <c r="A53" s="7" t="inlineStr">
        <is>
          <t>inflation_yoy</t>
        </is>
      </c>
      <c r="B53" s="7" t="inlineStr">
        <is>
          <t>inflation_yoy</t>
        </is>
      </c>
      <c r="C53" s="10" t="n">
        <v>12</v>
      </c>
      <c r="D53" s="8" t="n">
        <v>-0.0157</v>
      </c>
      <c r="E53" s="8" t="n">
        <v>-0.0725</v>
      </c>
      <c r="F53" s="8" t="n">
        <v>0.043</v>
      </c>
      <c r="G53" s="7" t="inlineStr">
        <is>
          <t>Recursive Cholesky (Order: GDP -&gt; Money -&gt; REER -&gt; Inflation)</t>
        </is>
      </c>
    </row>
  </sheetData>
  <autoFilter ref="A1:G5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3" customWidth="1" min="3" max="3"/>
    <col width="15" customWidth="1" min="4" max="4"/>
    <col width="11" customWidth="1" min="5" max="5"/>
    <col width="16" customWidth="1" min="6" max="6"/>
  </cols>
  <sheetData>
    <row r="1" ht="26" customHeight="1">
      <c r="A1" s="5" t="inlineStr">
        <is>
          <t>response_variable</t>
        </is>
      </c>
      <c r="B1" s="5" t="inlineStr">
        <is>
          <t>horizon</t>
        </is>
      </c>
      <c r="C1" s="5" t="inlineStr">
        <is>
          <t>gdp_growth</t>
        </is>
      </c>
      <c r="D1" s="5" t="inlineStr">
        <is>
          <t>money_growth</t>
        </is>
      </c>
      <c r="E1" s="5" t="inlineStr">
        <is>
          <t>reer_yoy</t>
        </is>
      </c>
      <c r="F1" s="5" t="inlineStr">
        <is>
          <t>inflation_yoy</t>
        </is>
      </c>
    </row>
    <row r="2" ht="19" customHeight="1">
      <c r="A2" s="7" t="inlineStr">
        <is>
          <t>inflation_yoy</t>
        </is>
      </c>
      <c r="B2" s="10" t="n">
        <v>1</v>
      </c>
      <c r="C2" s="8" t="n">
        <v>9.02</v>
      </c>
      <c r="D2" s="8" t="n">
        <v>3.07</v>
      </c>
      <c r="E2" s="8" t="n">
        <v>9.119999999999999</v>
      </c>
      <c r="F2" s="10" t="n">
        <v>78.79000000000001</v>
      </c>
    </row>
    <row r="3" ht="19" customHeight="1">
      <c r="A3" s="7" t="inlineStr">
        <is>
          <t>inflation_yoy</t>
        </is>
      </c>
      <c r="B3" s="10" t="n">
        <v>2</v>
      </c>
      <c r="C3" s="8" t="n">
        <v>10.3</v>
      </c>
      <c r="D3" s="8" t="n">
        <v>2.26</v>
      </c>
      <c r="E3" s="8" t="n">
        <v>19.27</v>
      </c>
      <c r="F3" s="10" t="n">
        <v>68.17</v>
      </c>
    </row>
    <row r="4" ht="19" customHeight="1">
      <c r="A4" s="7" t="inlineStr">
        <is>
          <t>inflation_yoy</t>
        </is>
      </c>
      <c r="B4" s="10" t="n">
        <v>3</v>
      </c>
      <c r="C4" s="8" t="n">
        <v>8.49</v>
      </c>
      <c r="D4" s="8" t="n">
        <v>1.55</v>
      </c>
      <c r="E4" s="8" t="n">
        <v>33.69</v>
      </c>
      <c r="F4" s="10" t="n">
        <v>56.26</v>
      </c>
    </row>
    <row r="5" ht="19" customHeight="1">
      <c r="A5" s="7" t="inlineStr">
        <is>
          <t>inflation_yoy</t>
        </is>
      </c>
      <c r="B5" s="10" t="n">
        <v>4</v>
      </c>
      <c r="C5" s="8" t="n">
        <v>6.34</v>
      </c>
      <c r="D5" s="8" t="n">
        <v>1.57</v>
      </c>
      <c r="E5" s="8" t="n">
        <v>44.41</v>
      </c>
      <c r="F5" s="10" t="n">
        <v>47.68</v>
      </c>
    </row>
    <row r="6" ht="19" customHeight="1">
      <c r="A6" s="7" t="inlineStr">
        <is>
          <t>inflation_yoy</t>
        </is>
      </c>
      <c r="B6" s="10" t="n">
        <v>5</v>
      </c>
      <c r="C6" s="8" t="n">
        <v>5.75</v>
      </c>
      <c r="D6" s="8" t="n">
        <v>1.68</v>
      </c>
      <c r="E6" s="8" t="n">
        <v>48.93</v>
      </c>
      <c r="F6" s="10" t="n">
        <v>43.64</v>
      </c>
    </row>
    <row r="7" ht="19" customHeight="1">
      <c r="A7" s="7" t="inlineStr">
        <is>
          <t>inflation_yoy</t>
        </is>
      </c>
      <c r="B7" s="10" t="n">
        <v>6</v>
      </c>
      <c r="C7" s="8" t="n">
        <v>7.22</v>
      </c>
      <c r="D7" s="8" t="n">
        <v>1.62</v>
      </c>
      <c r="E7" s="8" t="n">
        <v>48.82</v>
      </c>
      <c r="F7" s="10" t="n">
        <v>42.34</v>
      </c>
    </row>
    <row r="8" ht="19" customHeight="1">
      <c r="A8" s="7" t="inlineStr">
        <is>
          <t>inflation_yoy</t>
        </is>
      </c>
      <c r="B8" s="10" t="n">
        <v>7</v>
      </c>
      <c r="C8" s="8" t="n">
        <v>10.38</v>
      </c>
      <c r="D8" s="8" t="n">
        <v>1.5</v>
      </c>
      <c r="E8" s="8" t="n">
        <v>46.45</v>
      </c>
      <c r="F8" s="10" t="n">
        <v>41.67</v>
      </c>
    </row>
    <row r="9" ht="19" customHeight="1">
      <c r="A9" s="7" t="inlineStr">
        <is>
          <t>inflation_yoy</t>
        </is>
      </c>
      <c r="B9" s="10" t="n">
        <v>8</v>
      </c>
      <c r="C9" s="8" t="n">
        <v>14.13</v>
      </c>
      <c r="D9" s="8" t="n">
        <v>1.44</v>
      </c>
      <c r="E9" s="8" t="n">
        <v>43.85</v>
      </c>
      <c r="F9" s="10" t="n">
        <v>40.58</v>
      </c>
    </row>
    <row r="10" ht="19" customHeight="1">
      <c r="A10" s="7" t="inlineStr">
        <is>
          <t>inflation_yoy</t>
        </is>
      </c>
      <c r="B10" s="10" t="n">
        <v>9</v>
      </c>
      <c r="C10" s="8" t="n">
        <v>17.21</v>
      </c>
      <c r="D10" s="8" t="n">
        <v>1.38</v>
      </c>
      <c r="E10" s="8" t="n">
        <v>42.14</v>
      </c>
      <c r="F10" s="10" t="n">
        <v>39.27</v>
      </c>
    </row>
    <row r="11" ht="19" customHeight="1">
      <c r="A11" s="7" t="inlineStr">
        <is>
          <t>inflation_yoy</t>
        </is>
      </c>
      <c r="B11" s="10" t="n">
        <v>10</v>
      </c>
      <c r="C11" s="8" t="n">
        <v>18.9</v>
      </c>
      <c r="D11" s="8" t="n">
        <v>1.4</v>
      </c>
      <c r="E11" s="8" t="n">
        <v>41.42</v>
      </c>
      <c r="F11" s="10" t="n">
        <v>38.28</v>
      </c>
    </row>
    <row r="12" ht="19" customHeight="1">
      <c r="A12" s="7" t="inlineStr">
        <is>
          <t>inflation_yoy</t>
        </is>
      </c>
      <c r="B12" s="10" t="n">
        <v>11</v>
      </c>
      <c r="C12" s="8" t="n">
        <v>19.27</v>
      </c>
      <c r="D12" s="8" t="n">
        <v>1.83</v>
      </c>
      <c r="E12" s="8" t="n">
        <v>41.21</v>
      </c>
      <c r="F12" s="10" t="n">
        <v>37.69</v>
      </c>
    </row>
    <row r="13" ht="19" customHeight="1">
      <c r="A13" s="7" t="inlineStr">
        <is>
          <t>inflation_yoy</t>
        </is>
      </c>
      <c r="B13" s="10" t="n">
        <v>12</v>
      </c>
      <c r="C13" s="8" t="n">
        <v>18.98</v>
      </c>
      <c r="D13" s="8" t="n">
        <v>3.06</v>
      </c>
      <c r="E13" s="8" t="n">
        <v>40.81</v>
      </c>
      <c r="F13" s="10" t="n">
        <v>37.15</v>
      </c>
    </row>
  </sheetData>
  <autoFilter ref="A1:F1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12" customWidth="1" min="3" max="3"/>
    <col width="16" customWidth="1" min="4" max="4"/>
    <col width="16" customWidth="1" min="5" max="5"/>
    <col width="16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26" customHeight="1">
      <c r="A1" s="5" t="inlineStr">
        <is>
          <t>specification</t>
        </is>
      </c>
      <c r="B1" s="5" t="inlineStr">
        <is>
          <t>n_obs</t>
        </is>
      </c>
      <c r="C1" s="5" t="inlineStr">
        <is>
          <t>r_squared</t>
        </is>
      </c>
      <c r="D1" s="5" t="inlineStr">
        <is>
          <t>adj_r_squared</t>
        </is>
      </c>
      <c r="E1" s="5" t="inlineStr">
        <is>
          <t>lag1_inf_coef</t>
        </is>
      </c>
      <c r="F1" s="5" t="inlineStr">
        <is>
          <t>lag1_inf_pval</t>
        </is>
      </c>
      <c r="G1" s="5" t="inlineStr">
        <is>
          <t>oil_shock_coef</t>
        </is>
      </c>
      <c r="H1" s="5" t="inlineStr">
        <is>
          <t>oil_shock_pval</t>
        </is>
      </c>
      <c r="I1" s="5" t="inlineStr">
        <is>
          <t>fao_shock_coef</t>
        </is>
      </c>
      <c r="J1" s="5" t="inlineStr">
        <is>
          <t>fao_shock_pval</t>
        </is>
      </c>
      <c r="K1" s="5" t="inlineStr">
        <is>
          <t>ffr_shock_coef</t>
        </is>
      </c>
      <c r="L1" s="5" t="inlineStr">
        <is>
          <t>ffr_shock_pval</t>
        </is>
      </c>
    </row>
    <row r="2" ht="19" customHeight="1">
      <c r="A2" s="7" t="inlineStr">
        <is>
          <t>Model Utama: VARX(2) Full Sample (2011-2025)</t>
        </is>
      </c>
      <c r="B2" s="10" t="n">
        <v>57</v>
      </c>
      <c r="C2" s="8" t="n">
        <v>0.9402</v>
      </c>
      <c r="D2" s="8" t="n">
        <v>0.9249000000000001</v>
      </c>
      <c r="E2" s="8" t="n">
        <v>0.7746</v>
      </c>
      <c r="F2" s="14" t="n">
        <v>0</v>
      </c>
      <c r="G2" s="8" t="n">
        <v>0.0114</v>
      </c>
      <c r="H2" s="8" t="n">
        <v>0.0008</v>
      </c>
      <c r="I2" s="8" t="n">
        <v>0.0236</v>
      </c>
      <c r="J2" s="8" t="n">
        <v>0.0413</v>
      </c>
      <c r="K2" s="8" t="n">
        <v>1.1712</v>
      </c>
      <c r="L2" s="14" t="n">
        <v>0</v>
      </c>
    </row>
    <row r="3" ht="19" customHeight="1">
      <c r="A3" s="7" t="inlineStr">
        <is>
          <t>Sensitivitas Lag 1: VARX(1)</t>
        </is>
      </c>
      <c r="B3" s="10" t="n">
        <v>57</v>
      </c>
      <c r="C3" s="8" t="n">
        <v>0.9340000000000001</v>
      </c>
      <c r="D3" s="8" t="n">
        <v>0.9244</v>
      </c>
      <c r="E3" s="8" t="n">
        <v>0.7831</v>
      </c>
      <c r="F3" s="14" t="n">
        <v>0</v>
      </c>
      <c r="G3" s="8" t="n">
        <v>0.0073</v>
      </c>
      <c r="H3" s="8" t="n">
        <v>0.0089</v>
      </c>
      <c r="I3" s="8" t="n">
        <v>0.03</v>
      </c>
      <c r="J3" s="8" t="n">
        <v>0.0023</v>
      </c>
      <c r="K3" s="8" t="n">
        <v>1.0574</v>
      </c>
      <c r="L3" s="14" t="n">
        <v>0</v>
      </c>
    </row>
    <row r="4" ht="19" customHeight="1">
      <c r="A4" s="7" t="inlineStr">
        <is>
          <t>Sensitivitas Lag 3: VARX(3)</t>
        </is>
      </c>
      <c r="B4" s="10" t="n">
        <v>57</v>
      </c>
      <c r="C4" s="8" t="n">
        <v>0.945</v>
      </c>
      <c r="D4" s="8" t="n">
        <v>0.9233</v>
      </c>
      <c r="E4" s="8" t="n">
        <v>0.7346</v>
      </c>
      <c r="F4" s="14" t="n">
        <v>0</v>
      </c>
      <c r="G4" s="8" t="n">
        <v>0.0118</v>
      </c>
      <c r="H4" s="8" t="n">
        <v>0.002</v>
      </c>
      <c r="I4" s="8" t="n">
        <v>0.0213</v>
      </c>
      <c r="J4" s="8" t="n">
        <v>0.089</v>
      </c>
      <c r="K4" s="8" t="n">
        <v>1.3669</v>
      </c>
      <c r="L4" s="14" t="n">
        <v>0</v>
      </c>
    </row>
    <row r="5" ht="19" customHeight="1">
      <c r="A5" s="7" t="inlineStr">
        <is>
          <t>Sensitivitas Periode: Pre-COVID (2011-2019)</t>
        </is>
      </c>
      <c r="B5" s="10" t="n">
        <v>36</v>
      </c>
      <c r="C5" s="8" t="n">
        <v>0.945</v>
      </c>
      <c r="D5" s="8" t="n">
        <v>0.9175</v>
      </c>
      <c r="E5" s="8" t="n">
        <v>0.721</v>
      </c>
      <c r="F5" s="14" t="n">
        <v>0.0001</v>
      </c>
      <c r="G5" s="8" t="n">
        <v>0.0148</v>
      </c>
      <c r="H5" s="8" t="n">
        <v>0.0004</v>
      </c>
      <c r="I5" s="8" t="n">
        <v>-0.0148</v>
      </c>
      <c r="J5" s="8" t="n">
        <v>0.2416</v>
      </c>
      <c r="K5" s="8" t="n">
        <v>-1.1494</v>
      </c>
      <c r="L5" s="14" t="n">
        <v>0.1706</v>
      </c>
    </row>
    <row r="6" ht="19" customHeight="1">
      <c r="A6" s="7" t="inlineStr">
        <is>
          <t>Sensitivitas Imputasi: Core 8 Negara (Eksklusi Laos &amp; Myanmar)</t>
        </is>
      </c>
      <c r="B6" s="10" t="n">
        <v>57</v>
      </c>
      <c r="C6" s="8" t="n">
        <v>0.9401</v>
      </c>
      <c r="D6" s="8" t="n">
        <v>0.9248</v>
      </c>
      <c r="E6" s="8" t="n">
        <v>0.6026</v>
      </c>
      <c r="F6" s="14" t="n">
        <v>0</v>
      </c>
      <c r="G6" s="8" t="n">
        <v>0.009900000000000001</v>
      </c>
      <c r="H6" s="8" t="n">
        <v>0.0003</v>
      </c>
      <c r="I6" s="8" t="n">
        <v>0.0193</v>
      </c>
      <c r="J6" s="8" t="n">
        <v>0.0529</v>
      </c>
      <c r="K6" s="8" t="n">
        <v>0.601</v>
      </c>
      <c r="L6" s="14" t="n">
        <v>0.0005999999999999999</v>
      </c>
    </row>
  </sheetData>
  <autoFilter ref="A1:L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90" customWidth="1" min="2" max="2"/>
  </cols>
  <sheetData>
    <row r="1" ht="35" customHeight="1">
      <c r="A1" s="1" t="inlineStr">
        <is>
          <t>RINGKASAN EKSEKUTIF &amp; TEMUAN UTAMA RISET INFLASI ASEAN</t>
        </is>
      </c>
    </row>
    <row r="3" ht="22" customHeight="1">
      <c r="A3" s="2">
        <f>== 1. DINAMIKA INFLASI &amp; PERSISTENSI ===</f>
        <v/>
      </c>
      <c r="B3" s="2" t="inlineStr"/>
    </row>
    <row r="4" ht="22" customHeight="1">
      <c r="A4" s="3" t="inlineStr">
        <is>
          <t>Inersia Inflasi</t>
        </is>
      </c>
      <c r="B4" s="4" t="inlineStr">
        <is>
          <t>Inflasi ASEAN memiliki tingkat persistensi autoregresif yang sangat tinggi (koefisien lag 1 = 0.775 pada VAR regional; 1.256 pada Panel FE, p &lt; 1e-8). Ekspektasi inflasi masa lalu sangat menentukan inflasi saat ini.</t>
        </is>
      </c>
    </row>
    <row r="5" ht="22" customHeight="1">
      <c r="A5" s="3" t="inlineStr">
        <is>
          <t>Persistensi Kuartalan</t>
        </is>
      </c>
      <c r="B5" s="4" t="inlineStr">
        <is>
          <t>Shock inflasi membutuhkan waktu 6–8 kuartal untuk melandai kembali ke level ekuilibrium jangka panjangnya.</t>
        </is>
      </c>
    </row>
    <row r="6" ht="22" customHeight="1">
      <c r="A6" s="3" t="inlineStr">
        <is>
          <t>Heterogenitas Kawasan</t>
        </is>
      </c>
      <c r="B6" s="4" t="inlineStr">
        <is>
          <t>Negara-negara ASEAN-5 (Indonesia, Malaysia, Thailand, Singapore, Philippines) memiliki inflasi yang relatif stabil (2–5%), sedangkan Laos dan Myanmar mengalami episode inflasi tinggi pasca-2021 akibat pelemahan mata uang tajam.</t>
        </is>
      </c>
    </row>
    <row r="7" ht="22" customHeight="1">
      <c r="A7" s="2">
        <f>== 2. TRANSMISI GUNCANGAN GLOBAL ===</f>
        <v/>
      </c>
      <c r="B7" s="2" t="inlineStr"/>
    </row>
    <row r="8" ht="22" customHeight="1">
      <c r="A8" s="3" t="inlineStr">
        <is>
          <t>Guncangan Minyak Dunia</t>
        </is>
      </c>
      <c r="B8" s="4" t="inlineStr">
        <is>
          <t>Kenaikan harga minyak mentah dunia mentransmisikan tekanan inflasi positif dan signifikan secara statistik (koefisien = 0.0114, t = 3.63, p = 0.00076).</t>
        </is>
      </c>
    </row>
    <row r="9" ht="22" customHeight="1">
      <c r="A9" s="3" t="inlineStr">
        <is>
          <t>Guncangan Pangan FAO</t>
        </is>
      </c>
      <c r="B9" s="4" t="inlineStr">
        <is>
          <t>Indeks harga pangan FAO memberikan tekanan inflasi positif signifikan (koefisien = 0.0236, t = 2.10, p = 0.0413), mencerminkan tingginya bobot makanan dalam keranjang HCPI negara berkembang ASEAN.</t>
        </is>
      </c>
    </row>
    <row r="10" ht="22" customHeight="1">
      <c r="A10" s="3" t="inlineStr">
        <is>
          <t>Kebijakan Moneter AS (FFR)</t>
        </is>
      </c>
      <c r="B10" s="4" t="inlineStr">
        <is>
          <t>Kenaikan suku bunga The Fed (FFR change) berdampak positif signifikan terhadap inflasi ASEAN (koefisien = 1.171, t = 5.43, p = 2.46e-06), yang beroperasi melalui jalur pelemahan nilai tukar domestik dan imported inflation.</t>
        </is>
      </c>
    </row>
    <row r="11" ht="22" customHeight="1">
      <c r="A11" s="2">
        <f>== 3. TRANSMISI FAKTOR MAKRO DOMESTIK ===</f>
        <v/>
      </c>
      <c r="B11" s="2" t="inlineStr"/>
    </row>
    <row r="12" ht="22" customHeight="1">
      <c r="A12" s="3" t="inlineStr">
        <is>
          <t>Kausalitas Uang Beredar</t>
        </is>
      </c>
      <c r="B12" s="4" t="inlineStr">
        <is>
          <t>Money Growth terbukti Granger-cause sistem makroekonomi kawasan (F = 2.40, p = 0.0296), mengonfirmasi teori kuantitas uang dalam jangka menengah-panjang.</t>
        </is>
      </c>
    </row>
    <row r="13" ht="22" customHeight="1">
      <c r="A13" s="3" t="inlineStr">
        <is>
          <t>Nilai Tukar Riil (REER)</t>
        </is>
      </c>
      <c r="B13" s="4" t="inlineStr">
        <is>
          <t>Apresiasi REER memberikan efek disinflasi yang signifikan (koefisien = -0.047 pada Panel FE, p &lt; 0.0001), memvalidasi peran kurs sebagai shock absorber.</t>
        </is>
      </c>
    </row>
    <row r="14" ht="22" customHeight="1">
      <c r="A14" s="3" t="inlineStr">
        <is>
          <t>Output Pertumbuhan PDB</t>
        </is>
      </c>
      <c r="B14" s="4" t="inlineStr">
        <is>
          <t>Pertumbuhan PDB memiliki koefisien positif signifikan pada lag 2 (koefisien = 0.227, p = 0.0166), mencerminkan tekanan inflasi sisi permintaan (demand-pull) saat ekonomi ekspansi.</t>
        </is>
      </c>
    </row>
    <row r="15" ht="22" customHeight="1">
      <c r="A15" s="2">
        <f>== 4. DEKOMPOSISI VARIAN &amp; IMPLIKASI ===</f>
        <v/>
      </c>
      <c r="B15" s="2" t="inlineStr"/>
    </row>
    <row r="16" ht="22" customHeight="1">
      <c r="A16" s="3" t="inlineStr">
        <is>
          <t>Pangsa Varian Jangka Pendek</t>
        </is>
      </c>
      <c r="B16" s="4" t="inlineStr">
        <is>
          <t>Pada horizon 1 kuartal, 78.8% variasi inflasi ditentukan oleh shock internalnya sendiri, disusul REER (9.1%) dan output (9.0%).</t>
        </is>
      </c>
    </row>
    <row r="17" ht="22" customHeight="1">
      <c r="A17" s="3" t="inlineStr">
        <is>
          <t>Pangsa Varian Jangka Menengah</t>
        </is>
      </c>
      <c r="B17" s="4" t="inlineStr">
        <is>
          <t>Pada horizon 4 kuartal ke atas, kontribusi REER meningkat tajam mencapai 44.4% dan output 6.3%, membuktikan dominasi jalur transmisi eksternal/kurs terhadap inflasi kawasan.</t>
        </is>
      </c>
    </row>
    <row r="18" ht="22" customHeight="1">
      <c r="A18" s="3" t="inlineStr">
        <is>
          <t>Implikasi Kebijakan Bank Sentral</t>
        </is>
      </c>
      <c r="B18" s="4" t="inlineStr">
        <is>
          <t>Bank sentral di kawasan ASEAN perlu memperkuat bauran kebijakan moneter (intervensi valas terkalibrasi dan pendalaman pasar keuangan) untuk meredam imported inflation dari volatilitas suku bunga AS dan harga komoditas global.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2026-10-14T12:01:16Z</dcterms:created>
  <dcterms:modified xsi:type="dcterms:W3CDTF">2026-10-14T12:01:18Z</dcterms:modified>
</cp:coreProperties>
</file>